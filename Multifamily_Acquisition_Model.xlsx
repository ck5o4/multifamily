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Annual CF" sheetId="3" state="visible" r:id="rId3"/>
    <sheet name="Waterfall" sheetId="4" state="visible" r:id="rId4"/>
    <sheet name="Sensitivity" sheetId="5" state="visible" r:id="rId5"/>
    <sheet name="Stoa Benchmarks" sheetId="6" state="visible" r:id="rId6"/>
    <sheet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0x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000000"/>
    </font>
    <font>
      <name val="Arial"/>
      <b val="1"/>
    </font>
    <font>
      <name val="Arial"/>
      <color rgb="FF0000FF"/>
    </font>
    <font>
      <name val="Arial"/>
      <color rgb="FF00800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6" fillId="3" borderId="0" pivotButton="0" quotePrefix="0" xfId="0"/>
    <xf numFmtId="165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3" fontId="5" fillId="0" borderId="0" pivotButton="0" quotePrefix="0" xfId="0"/>
    <xf numFmtId="164" fontId="0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4" fillId="2" borderId="0" pivotButton="0" quotePrefix="0" xfId="0"/>
    <xf numFmtId="10" fontId="4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4" fontId="3" fillId="0" borderId="0" pivotButton="0" quotePrefix="0" xfId="0"/>
    <xf numFmtId="10" fontId="4" fillId="2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6" fontId="0" fillId="2" borderId="0" pivotButton="0" quotePrefix="0" xfId="0"/>
    <xf numFmtId="3" fontId="2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MULTIFAMILY ACQUISITION MODEL</t>
        </is>
      </c>
    </row>
    <row r="3">
      <c r="A3" s="2" t="inlineStr">
        <is>
          <t>Original model. Mechanics mirror standard institutional development/acquisition underwriting</t>
        </is>
      </c>
    </row>
    <row r="4">
      <c r="A4" s="2" t="inlineStr">
        <is>
          <t>(same equation structure as the Stoa-era model you provided), rebuilt from scratch.</t>
        </is>
      </c>
    </row>
    <row r="5">
      <c r="A5" s="2" t="inlineStr"/>
    </row>
    <row r="6">
      <c r="A6" s="2" t="inlineStr">
        <is>
          <t>HOW TO USE:</t>
        </is>
      </c>
    </row>
    <row r="7">
      <c r="A7" s="2" t="inlineStr">
        <is>
          <t>1. Enter values ONLY in blue-font cells on the Inputs tab. Yellow cells are the key drivers.</t>
        </is>
      </c>
    </row>
    <row r="8">
      <c r="A8" s="2" t="inlineStr">
        <is>
          <t>2. All other cells are formulas - do not overwrite.</t>
        </is>
      </c>
    </row>
    <row r="9">
      <c r="A9" s="2" t="inlineStr">
        <is>
          <t>3. Check the Checks tab: all cells in column B should read OK.</t>
        </is>
      </c>
    </row>
    <row r="10">
      <c r="A10" s="2" t="inlineStr">
        <is>
          <t>4. Forecast runs 11 years so a 10-year hold still has forward NOI for exit pricing.</t>
        </is>
      </c>
    </row>
    <row r="11">
      <c r="A11" s="2" t="inlineStr">
        <is>
          <t>5. Sale price convention: forward (next-year) NOI divided by exit cap rate.</t>
        </is>
      </c>
    </row>
    <row r="12">
      <c r="A12" s="2" t="inlineStr">
        <is>
          <t>6. Loan is sized to the LESSER of Max LTV and Min DSCR constraint - matches bank sizing.</t>
        </is>
      </c>
    </row>
    <row r="13">
      <c r="A13" s="2" t="inlineStr">
        <is>
          <t>7. Waterfall: LP preferred return (cumulative, non-compounding annually) -&gt; LP return of</t>
        </is>
      </c>
    </row>
    <row r="14">
      <c r="A14" s="2" t="inlineStr">
        <is>
          <t xml:space="preserve">   capital -&gt; GP return of capital -&gt; residual split LP/GP. Set LP% = 100% if the investor</t>
        </is>
      </c>
    </row>
    <row r="15">
      <c r="A15" s="2" t="inlineStr">
        <is>
          <t xml:space="preserve">   funds all equity.</t>
        </is>
      </c>
    </row>
    <row r="16">
      <c r="A16" s="2" t="inlineStr"/>
    </row>
    <row r="17">
      <c r="A17" s="2" t="inlineStr">
        <is>
          <t>Assumption provenance and every change vs. the Stoa-era model: see Stoa Benchmarks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ACQUISITION</t>
        </is>
      </c>
      <c r="E1" s="3" t="inlineStr">
        <is>
          <t>RENT ROLL (in-place)</t>
        </is>
      </c>
    </row>
    <row r="2">
      <c r="A2" t="inlineStr">
        <is>
          <t>Purchase Price</t>
        </is>
      </c>
      <c r="B2" s="4" t="n">
        <v>600000</v>
      </c>
      <c r="E2" s="5" t="inlineStr">
        <is>
          <t># Units</t>
        </is>
      </c>
      <c r="F2" s="5" t="inlineStr">
        <is>
          <t>Unit Type</t>
        </is>
      </c>
      <c r="G2" s="5" t="inlineStr">
        <is>
          <t>SF</t>
        </is>
      </c>
      <c r="H2" s="5" t="inlineStr">
        <is>
          <t>Rent/Month</t>
        </is>
      </c>
      <c r="I2" s="5" t="inlineStr">
        <is>
          <t>Rent/SF</t>
        </is>
      </c>
    </row>
    <row r="3">
      <c r="A3" t="inlineStr">
        <is>
          <t>Closing Costs (% of Price)</t>
        </is>
      </c>
      <c r="B3" s="6" t="n">
        <v>0.02</v>
      </c>
      <c r="E3" s="7" t="n">
        <v>4</v>
      </c>
      <c r="F3" s="7" t="inlineStr">
        <is>
          <t>1 BR/ 1 BA</t>
        </is>
      </c>
      <c r="G3" s="7" t="n">
        <v>700</v>
      </c>
      <c r="H3" s="8" t="n">
        <v>900</v>
      </c>
      <c r="I3" s="9">
        <f>IFERROR(H3/G3,0)</f>
        <v/>
      </c>
    </row>
    <row r="4">
      <c r="A4" t="inlineStr">
        <is>
          <t>Loan Fee (% of Loan)</t>
        </is>
      </c>
      <c r="B4" s="6" t="n">
        <v>0.01</v>
      </c>
      <c r="E4" s="7" t="n">
        <v>4</v>
      </c>
      <c r="F4" s="7" t="inlineStr">
        <is>
          <t>2 BR/ 2 BA</t>
        </is>
      </c>
      <c r="G4" s="7" t="n">
        <v>1000</v>
      </c>
      <c r="H4" s="8" t="n">
        <v>1100</v>
      </c>
      <c r="I4" s="9">
        <f>IFERROR(H4/G4,0)</f>
        <v/>
      </c>
    </row>
    <row r="5">
      <c r="A5" t="inlineStr">
        <is>
          <t>Total Units</t>
        </is>
      </c>
      <c r="B5" s="10">
        <f>E11</f>
        <v/>
      </c>
      <c r="E5" s="7" t="n">
        <v>0</v>
      </c>
      <c r="F5" s="7" t="inlineStr">
        <is>
          <t>BR/BA</t>
        </is>
      </c>
      <c r="G5" s="7" t="n">
        <v>0</v>
      </c>
      <c r="H5" s="8" t="n">
        <v>0</v>
      </c>
      <c r="I5" s="9">
        <f>IFERROR(H5/G5,0)</f>
        <v/>
      </c>
    </row>
    <row r="6">
      <c r="A6" t="inlineStr">
        <is>
          <t>Price / Unit</t>
        </is>
      </c>
      <c r="B6" s="11">
        <f>IFERROR(B2/B5,0)</f>
        <v/>
      </c>
      <c r="E6" s="7" t="n">
        <v>0</v>
      </c>
      <c r="F6" s="7" t="inlineStr">
        <is>
          <t>BR/BA</t>
        </is>
      </c>
      <c r="G6" s="7" t="n">
        <v>0</v>
      </c>
      <c r="H6" s="8" t="n">
        <v>0</v>
      </c>
      <c r="I6" s="9">
        <f>IFERROR(H6/G6,0)</f>
        <v/>
      </c>
    </row>
    <row r="7">
      <c r="E7" s="7" t="n">
        <v>0</v>
      </c>
      <c r="F7" s="7" t="inlineStr">
        <is>
          <t>BR/BA</t>
        </is>
      </c>
      <c r="G7" s="7" t="n">
        <v>0</v>
      </c>
      <c r="H7" s="8" t="n">
        <v>0</v>
      </c>
      <c r="I7" s="9">
        <f>IFERROR(H7/G7,0)</f>
        <v/>
      </c>
    </row>
    <row r="8">
      <c r="A8" s="3" t="inlineStr">
        <is>
          <t>INCOME</t>
        </is>
      </c>
      <c r="E8" s="7" t="n">
        <v>0</v>
      </c>
      <c r="F8" s="7" t="inlineStr">
        <is>
          <t>BR/BA</t>
        </is>
      </c>
      <c r="G8" s="7" t="n">
        <v>0</v>
      </c>
      <c r="H8" s="8" t="n">
        <v>0</v>
      </c>
      <c r="I8" s="9">
        <f>IFERROR(H8/G8,0)</f>
        <v/>
      </c>
    </row>
    <row r="9">
      <c r="A9" t="inlineStr">
        <is>
          <t>Vacancy %</t>
        </is>
      </c>
      <c r="B9" s="6" t="n">
        <v>0.07000000000000001</v>
      </c>
      <c r="E9" s="7" t="n">
        <v>0</v>
      </c>
      <c r="F9" s="7" t="inlineStr">
        <is>
          <t>BR/BA</t>
        </is>
      </c>
      <c r="G9" s="7" t="n">
        <v>0</v>
      </c>
      <c r="H9" s="8" t="n">
        <v>0</v>
      </c>
      <c r="I9" s="9">
        <f>IFERROR(H9/G9,0)</f>
        <v/>
      </c>
    </row>
    <row r="10">
      <c r="A10" t="inlineStr">
        <is>
          <t>Bad Debt %</t>
        </is>
      </c>
      <c r="B10" s="6" t="n">
        <v>0.005</v>
      </c>
      <c r="E10" s="7" t="n">
        <v>0</v>
      </c>
      <c r="F10" s="7" t="inlineStr">
        <is>
          <t>BR/BA</t>
        </is>
      </c>
      <c r="G10" s="7" t="n">
        <v>0</v>
      </c>
      <c r="H10" s="8" t="n">
        <v>0</v>
      </c>
      <c r="I10" s="9">
        <f>IFERROR(H10/G10,0)</f>
        <v/>
      </c>
    </row>
    <row r="11">
      <c r="A11" t="inlineStr">
        <is>
          <t>Concessions %</t>
        </is>
      </c>
      <c r="B11" s="6" t="n">
        <v>0</v>
      </c>
      <c r="E11" s="12">
        <f>SUM(E3:E10)</f>
        <v/>
      </c>
      <c r="G11" s="13">
        <f>IFERROR(SUMPRODUCT(G3:G10,E3:E10)/E11,0)</f>
        <v/>
      </c>
      <c r="H11" s="11">
        <f>IFERROR(SUMPRODUCT(H3:H10,E3:E10)/E11,0)</f>
        <v/>
      </c>
      <c r="I11" s="9">
        <f>IFERROR(H11/G11,0)</f>
        <v/>
      </c>
    </row>
    <row r="12">
      <c r="A12" t="inlineStr">
        <is>
          <t>Other Income ($/Unit/Month)</t>
        </is>
      </c>
      <c r="B12" s="8" t="n">
        <v>40</v>
      </c>
    </row>
    <row r="13">
      <c r="A13" t="inlineStr">
        <is>
          <t>Rent Growth (Annual)</t>
        </is>
      </c>
      <c r="B13" s="6" t="n">
        <v>0.02</v>
      </c>
      <c r="E13" s="3" t="inlineStr">
        <is>
          <t>REFINANCE  (Refi Year 0 = none)</t>
        </is>
      </c>
    </row>
    <row r="14">
      <c r="A14" t="inlineStr">
        <is>
          <t>Other Income Growth (Annual)</t>
        </is>
      </c>
      <c r="B14" s="6" t="n">
        <v>0.02</v>
      </c>
      <c r="E14" t="inlineStr">
        <is>
          <t>Refi Year (0 = none)</t>
        </is>
      </c>
      <c r="F14" s="14" t="n">
        <v>0</v>
      </c>
    </row>
    <row r="15">
      <c r="E15" t="inlineStr">
        <is>
          <t>Refi Valuation Cap Rate</t>
        </is>
      </c>
      <c r="F15" s="15" t="n">
        <v>0.07000000000000001</v>
      </c>
    </row>
    <row r="16">
      <c r="A16" s="3" t="inlineStr">
        <is>
          <t>OPERATING EXPENSES ($/Unit/Year)</t>
        </is>
      </c>
      <c r="E16" t="inlineStr">
        <is>
          <t>Refi LTV</t>
        </is>
      </c>
      <c r="F16" s="6" t="n">
        <v>0.75</v>
      </c>
    </row>
    <row r="17">
      <c r="A17" t="inlineStr">
        <is>
          <t>Payroll (0 for small props - see Benchmarks)</t>
        </is>
      </c>
      <c r="B17" s="8" t="n">
        <v>0</v>
      </c>
      <c r="E17" t="inlineStr">
        <is>
          <t>Refi Min DSCR</t>
        </is>
      </c>
      <c r="F17" s="16" t="n">
        <v>1.25</v>
      </c>
    </row>
    <row r="18">
      <c r="A18" t="inlineStr">
        <is>
          <t>General &amp; Administrative</t>
        </is>
      </c>
      <c r="B18" s="8" t="n">
        <v>480</v>
      </c>
      <c r="E18" t="inlineStr">
        <is>
          <t>Refi Interest Rate</t>
        </is>
      </c>
      <c r="F18" s="15" t="n">
        <v>0.0675</v>
      </c>
    </row>
    <row r="19">
      <c r="A19" t="inlineStr">
        <is>
          <t>Marketing</t>
        </is>
      </c>
      <c r="B19" s="8" t="n">
        <v>415</v>
      </c>
      <c r="E19" t="inlineStr">
        <is>
          <t>Refi Amortization (Years)</t>
        </is>
      </c>
      <c r="F19" s="17" t="n">
        <v>25</v>
      </c>
    </row>
    <row r="20">
      <c r="A20" t="inlineStr">
        <is>
          <t>Repairs &amp; Maintenance</t>
        </is>
      </c>
      <c r="B20" s="8" t="n">
        <v>515</v>
      </c>
      <c r="E20" t="inlineStr">
        <is>
          <t>Refi Cost (% of New Loan)</t>
        </is>
      </c>
      <c r="F20" s="6" t="n">
        <v>0.02</v>
      </c>
    </row>
    <row r="21">
      <c r="A21" t="inlineStr">
        <is>
          <t>Contract Services</t>
        </is>
      </c>
      <c r="B21" s="8" t="n">
        <v>0</v>
      </c>
    </row>
    <row r="22">
      <c r="A22" t="inlineStr">
        <is>
          <t>Utilities</t>
        </is>
      </c>
      <c r="B22" s="8" t="n">
        <v>755</v>
      </c>
      <c r="E22" s="3" t="inlineStr">
        <is>
          <t>COMPUTED REFI (do not edit)</t>
        </is>
      </c>
    </row>
    <row r="23">
      <c r="A23" t="inlineStr">
        <is>
          <t>Other</t>
        </is>
      </c>
      <c r="B23" s="8" t="n">
        <v>105</v>
      </c>
      <c r="E23" t="inlineStr">
        <is>
          <t>Refi Value (NOI / Val Cap)</t>
        </is>
      </c>
      <c r="F23" s="11">
        <f>IFERROR(IF($F$14=0,0,INDEX('Annual CF'!C25:N25,MATCH($F$14,'Annual CF'!C2:N2,0))/$F$15),0)</f>
        <v/>
      </c>
    </row>
    <row r="24">
      <c r="A24" t="inlineStr">
        <is>
          <t>Insurance</t>
        </is>
      </c>
      <c r="B24" s="8" t="n">
        <v>2000</v>
      </c>
      <c r="E24" t="inlineStr">
        <is>
          <t>New Loan Amount</t>
        </is>
      </c>
      <c r="F24" s="11">
        <f>IFERROR(IF($F$14=0,0,MIN($F$16*$F$23,PV($F$18/12,$F$19*12,-(INDEX('Annual CF'!C25:N25,MATCH($F$14,'Annual CF'!C2:N2,0))/$F$17)/12))),0)</f>
        <v/>
      </c>
    </row>
    <row r="25">
      <c r="A25" t="inlineStr">
        <is>
          <t>Property Taxes (Annual $, total)</t>
        </is>
      </c>
      <c r="B25" s="4" t="n">
        <v>7000</v>
      </c>
      <c r="E25" t="inlineStr">
        <is>
          <t>Old Loan Payoff at Refi</t>
        </is>
      </c>
      <c r="F25" s="11">
        <f>IFERROR(IF($F$14=0,0,INDEX('Annual CF'!C35:N35,MATCH($F$14,'Annual CF'!C2:N2,0))),0)</f>
        <v/>
      </c>
    </row>
    <row r="26">
      <c r="A26" t="inlineStr">
        <is>
          <t>Property Management Fee (% of EGR)</t>
        </is>
      </c>
      <c r="B26" s="6" t="n">
        <v>0.08</v>
      </c>
      <c r="E26" t="inlineStr">
        <is>
          <t>Refi Costs</t>
        </is>
      </c>
      <c r="F26" s="11">
        <f>$F$24*$F$20</f>
        <v/>
      </c>
    </row>
    <row r="27">
      <c r="A27" t="inlineStr">
        <is>
          <t>Asset Management Fee (% of EGR)</t>
        </is>
      </c>
      <c r="B27" s="6" t="n">
        <v>0</v>
      </c>
      <c r="E27" t="inlineStr">
        <is>
          <t>Net Cash-Out at Refi</t>
        </is>
      </c>
      <c r="F27" s="18">
        <f>$F$24-$F$25-$F$26</f>
        <v/>
      </c>
    </row>
    <row r="28">
      <c r="A28" t="inlineStr">
        <is>
          <t>Capital Expense Reserve ($/Unit/Year)</t>
        </is>
      </c>
      <c r="B28" s="8" t="n">
        <v>250</v>
      </c>
      <c r="E28" t="inlineStr">
        <is>
          <t>New Monthly Payment</t>
        </is>
      </c>
      <c r="F28" s="11">
        <f>IFERROR(IF($F$14=0,0,PMT($F$18/12,$F$19*12,-$F$24)),0)</f>
        <v/>
      </c>
    </row>
    <row r="29">
      <c r="A29" t="inlineStr">
        <is>
          <t>Expense Growth (Annual)</t>
        </is>
      </c>
      <c r="B29" s="6" t="n">
        <v>0.025</v>
      </c>
    </row>
    <row r="30">
      <c r="E30" s="3" t="inlineStr">
        <is>
          <t>VALUE-ADD / RENOVATION  (0 units = none)</t>
        </is>
      </c>
    </row>
    <row r="31">
      <c r="A31" s="3" t="inlineStr">
        <is>
          <t>DEBT</t>
        </is>
      </c>
      <c r="E31" t="inlineStr">
        <is>
          <t>Units to Renovate</t>
        </is>
      </c>
      <c r="F31" s="14" t="n">
        <v>0</v>
      </c>
    </row>
    <row r="32">
      <c r="A32" t="inlineStr">
        <is>
          <t>Max Loan-To-Value (LTV)</t>
        </is>
      </c>
      <c r="B32" s="6" t="n">
        <v>0.75</v>
      </c>
      <c r="E32" t="inlineStr">
        <is>
          <t>Renovation Cost per Unit</t>
        </is>
      </c>
      <c r="F32" s="8" t="n">
        <v>0</v>
      </c>
    </row>
    <row r="33">
      <c r="A33" t="inlineStr">
        <is>
          <t>Min DSCR (Lender Constraint)</t>
        </is>
      </c>
      <c r="B33" s="16" t="n">
        <v>1.25</v>
      </c>
      <c r="E33" t="inlineStr">
        <is>
          <t>Rent Premium per Unit / Month</t>
        </is>
      </c>
      <c r="F33" s="4" t="n">
        <v>0</v>
      </c>
    </row>
    <row r="34">
      <c r="A34" t="inlineStr">
        <is>
          <t>Interest Rate (Fixed)</t>
        </is>
      </c>
      <c r="B34" s="19" t="n">
        <v>0.0675</v>
      </c>
      <c r="E34" t="inlineStr">
        <is>
          <t>Units Renovated per Year</t>
        </is>
      </c>
      <c r="F34" s="17" t="n">
        <v>0</v>
      </c>
    </row>
    <row r="35">
      <c r="A35" t="inlineStr">
        <is>
          <t>Amortization (Years)</t>
        </is>
      </c>
      <c r="B35" s="17" t="n">
        <v>25</v>
      </c>
      <c r="E35" t="inlineStr">
        <is>
          <t>Downtime Months per Turn</t>
        </is>
      </c>
      <c r="F35" s="17" t="n">
        <v>1</v>
      </c>
    </row>
    <row r="36">
      <c r="A36" t="inlineStr">
        <is>
          <t>Interest-Only Period (Years)</t>
        </is>
      </c>
      <c r="B36" s="17" t="n">
        <v>0</v>
      </c>
      <c r="E36" t="inlineStr">
        <is>
          <t>Renovation Start Year</t>
        </is>
      </c>
      <c r="F36" s="17" t="n">
        <v>1</v>
      </c>
    </row>
    <row r="38">
      <c r="E38" t="inlineStr">
        <is>
          <t>Total Renovation Budget</t>
        </is>
      </c>
      <c r="F38" s="18">
        <f>$F$31*$F$32</f>
        <v/>
      </c>
    </row>
    <row r="39">
      <c r="A39" s="3" t="inlineStr">
        <is>
          <t>EXIT</t>
        </is>
      </c>
      <c r="E39" t="inlineStr">
        <is>
          <t>Years to Complete</t>
        </is>
      </c>
      <c r="F39" s="13">
        <f>IFERROR(ROUNDUP($F$31/$F$34,0),0)</f>
        <v/>
      </c>
    </row>
    <row r="40">
      <c r="A40" t="inlineStr">
        <is>
          <t>Hold Period (Years, 1-10)</t>
        </is>
      </c>
      <c r="B40" s="14" t="n">
        <v>5</v>
      </c>
    </row>
    <row r="41">
      <c r="A41" t="inlineStr">
        <is>
          <t>Exit Cap Rate</t>
        </is>
      </c>
      <c r="B41" s="19" t="n">
        <v>0.075</v>
      </c>
    </row>
    <row r="42">
      <c r="A42" t="inlineStr">
        <is>
          <t>Cost of Sale (% of Sale Price)</t>
        </is>
      </c>
      <c r="B42" s="6" t="n">
        <v>0.03</v>
      </c>
    </row>
    <row r="44">
      <c r="A44" s="3" t="inlineStr">
        <is>
          <t>EQUITY / INVESTOR STRUCTURE</t>
        </is>
      </c>
    </row>
    <row r="45">
      <c r="A45" t="inlineStr">
        <is>
          <t>LP (Investor) % of Equity</t>
        </is>
      </c>
      <c r="B45" s="6" t="n">
        <v>0.9</v>
      </c>
    </row>
    <row r="46">
      <c r="A46" t="inlineStr">
        <is>
          <t>GP (You) % of Equity</t>
        </is>
      </c>
      <c r="B46" s="20">
        <f>1-B45</f>
        <v/>
      </c>
    </row>
    <row r="47">
      <c r="A47" t="inlineStr">
        <is>
          <t>LP Preferred Return (Annual)</t>
        </is>
      </c>
      <c r="B47" s="6" t="n">
        <v>0.08</v>
      </c>
    </row>
    <row r="48">
      <c r="A48" t="inlineStr">
        <is>
          <t>Residual Split - LP %</t>
        </is>
      </c>
      <c r="B48" s="6" t="n">
        <v>0.7</v>
      </c>
    </row>
    <row r="49">
      <c r="A49" t="inlineStr">
        <is>
          <t>Residual Split - GP %</t>
        </is>
      </c>
      <c r="B49" s="20">
        <f>1-B48</f>
        <v/>
      </c>
    </row>
    <row r="51">
      <c r="A51" s="3" t="inlineStr">
        <is>
          <t>COMPUTED (do not edit)</t>
        </is>
      </c>
    </row>
    <row r="52">
      <c r="A52" t="inlineStr">
        <is>
          <t>Loan Amount</t>
        </is>
      </c>
      <c r="B52" s="11">
        <f>MIN(B32*B2, PV(B34/12, B35*12, -('Annual CF'!D25/B33)/12))</f>
        <v/>
      </c>
    </row>
    <row r="53">
      <c r="A53" t="inlineStr">
        <is>
          <t>Monthly Debt Service Payment</t>
        </is>
      </c>
      <c r="B53" s="11">
        <f>PMT(B34/12,B35*12,-B52)</f>
        <v/>
      </c>
    </row>
    <row r="54">
      <c r="A54" t="inlineStr">
        <is>
          <t>Total Equity Required</t>
        </is>
      </c>
      <c r="B54" s="18">
        <f>B2+B2*B3+B52*B4-B52+$F$38</f>
        <v/>
      </c>
    </row>
    <row r="55">
      <c r="A55" t="inlineStr">
        <is>
          <t>LP Capital</t>
        </is>
      </c>
      <c r="B55" s="11">
        <f>B54*B45</f>
        <v/>
      </c>
    </row>
    <row r="56">
      <c r="A56" t="inlineStr">
        <is>
          <t>GP Capital</t>
        </is>
      </c>
      <c r="B56" s="11">
        <f>B54-B55</f>
        <v/>
      </c>
    </row>
    <row r="57">
      <c r="A57" t="inlineStr">
        <is>
          <t>Going-In Cap Rate (Yr1 NOI / Price)</t>
        </is>
      </c>
      <c r="B57" s="21">
        <f>IFERROR('Annual CF'!D25/B2,0)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ANNUAL CASH FLOW</t>
        </is>
      </c>
    </row>
    <row r="2">
      <c r="B2" s="3" t="inlineStr">
        <is>
          <t>Year</t>
        </is>
      </c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</row>
    <row r="4">
      <c r="B4" s="3" t="inlineStr">
        <is>
          <t>Revenue</t>
        </is>
      </c>
    </row>
    <row r="5">
      <c r="B5" s="2" t="inlineStr">
        <is>
          <t>Gross Potential Rent</t>
        </is>
      </c>
      <c r="D5" s="22">
        <f>(SUMPRODUCT(Inputs!$E$3:$E$10,Inputs!$H$3:$H$10)+MIN(Inputs!$F$31,MAX(0,(D$2-Inputs!$F$36+1)*Inputs!$F$34))*Inputs!$F$33)*12*(1+Inputs!$B$13)^(D$2-1)</f>
        <v/>
      </c>
      <c r="E5" s="22">
        <f>(SUMPRODUCT(Inputs!$E$3:$E$10,Inputs!$H$3:$H$10)+MIN(Inputs!$F$31,MAX(0,(E$2-Inputs!$F$36+1)*Inputs!$F$34))*Inputs!$F$33)*12*(1+Inputs!$B$13)^(E$2-1)</f>
        <v/>
      </c>
      <c r="F5" s="22">
        <f>(SUMPRODUCT(Inputs!$E$3:$E$10,Inputs!$H$3:$H$10)+MIN(Inputs!$F$31,MAX(0,(F$2-Inputs!$F$36+1)*Inputs!$F$34))*Inputs!$F$33)*12*(1+Inputs!$B$13)^(F$2-1)</f>
        <v/>
      </c>
      <c r="G5" s="22">
        <f>(SUMPRODUCT(Inputs!$E$3:$E$10,Inputs!$H$3:$H$10)+MIN(Inputs!$F$31,MAX(0,(G$2-Inputs!$F$36+1)*Inputs!$F$34))*Inputs!$F$33)*12*(1+Inputs!$B$13)^(G$2-1)</f>
        <v/>
      </c>
      <c r="H5" s="22">
        <f>(SUMPRODUCT(Inputs!$E$3:$E$10,Inputs!$H$3:$H$10)+MIN(Inputs!$F$31,MAX(0,(H$2-Inputs!$F$36+1)*Inputs!$F$34))*Inputs!$F$33)*12*(1+Inputs!$B$13)^(H$2-1)</f>
        <v/>
      </c>
      <c r="I5" s="22">
        <f>(SUMPRODUCT(Inputs!$E$3:$E$10,Inputs!$H$3:$H$10)+MIN(Inputs!$F$31,MAX(0,(I$2-Inputs!$F$36+1)*Inputs!$F$34))*Inputs!$F$33)*12*(1+Inputs!$B$13)^(I$2-1)</f>
        <v/>
      </c>
      <c r="J5" s="22">
        <f>(SUMPRODUCT(Inputs!$E$3:$E$10,Inputs!$H$3:$H$10)+MIN(Inputs!$F$31,MAX(0,(J$2-Inputs!$F$36+1)*Inputs!$F$34))*Inputs!$F$33)*12*(1+Inputs!$B$13)^(J$2-1)</f>
        <v/>
      </c>
      <c r="K5" s="22">
        <f>(SUMPRODUCT(Inputs!$E$3:$E$10,Inputs!$H$3:$H$10)+MIN(Inputs!$F$31,MAX(0,(K$2-Inputs!$F$36+1)*Inputs!$F$34))*Inputs!$F$33)*12*(1+Inputs!$B$13)^(K$2-1)</f>
        <v/>
      </c>
      <c r="L5" s="22">
        <f>(SUMPRODUCT(Inputs!$E$3:$E$10,Inputs!$H$3:$H$10)+MIN(Inputs!$F$31,MAX(0,(L$2-Inputs!$F$36+1)*Inputs!$F$34))*Inputs!$F$33)*12*(1+Inputs!$B$13)^(L$2-1)</f>
        <v/>
      </c>
      <c r="M5" s="22">
        <f>(SUMPRODUCT(Inputs!$E$3:$E$10,Inputs!$H$3:$H$10)+MIN(Inputs!$F$31,MAX(0,(M$2-Inputs!$F$36+1)*Inputs!$F$34))*Inputs!$F$33)*12*(1+Inputs!$B$13)^(M$2-1)</f>
        <v/>
      </c>
      <c r="N5" s="22">
        <f>(SUMPRODUCT(Inputs!$E$3:$E$10,Inputs!$H$3:$H$10)+MIN(Inputs!$F$31,MAX(0,(N$2-Inputs!$F$36+1)*Inputs!$F$34))*Inputs!$F$33)*12*(1+Inputs!$B$13)^(N$2-1)</f>
        <v/>
      </c>
    </row>
    <row r="6">
      <c r="B6" s="2" t="inlineStr">
        <is>
          <t>Physical Vacancy + Reno Downtime</t>
        </is>
      </c>
      <c r="D6" s="22">
        <f>-(D5*Inputs!$B$9+(MIN(Inputs!$F$31,MAX(0,(D$2-Inputs!$F$36+1)*Inputs!$F$34))-MIN(Inputs!$F$31,MAX(0,(D$2-Inputs!$F$36)*Inputs!$F$34)))*Inputs!$F$35*Inputs!$H$11*(1+Inputs!$B$13)^(D$2-1))</f>
        <v/>
      </c>
      <c r="E6" s="22">
        <f>-(E5*Inputs!$B$9+(MIN(Inputs!$F$31,MAX(0,(E$2-Inputs!$F$36+1)*Inputs!$F$34))-MIN(Inputs!$F$31,MAX(0,(E$2-Inputs!$F$36)*Inputs!$F$34)))*Inputs!$F$35*Inputs!$H$11*(1+Inputs!$B$13)^(E$2-1))</f>
        <v/>
      </c>
      <c r="F6" s="22">
        <f>-(F5*Inputs!$B$9+(MIN(Inputs!$F$31,MAX(0,(F$2-Inputs!$F$36+1)*Inputs!$F$34))-MIN(Inputs!$F$31,MAX(0,(F$2-Inputs!$F$36)*Inputs!$F$34)))*Inputs!$F$35*Inputs!$H$11*(1+Inputs!$B$13)^(F$2-1))</f>
        <v/>
      </c>
      <c r="G6" s="22">
        <f>-(G5*Inputs!$B$9+(MIN(Inputs!$F$31,MAX(0,(G$2-Inputs!$F$36+1)*Inputs!$F$34))-MIN(Inputs!$F$31,MAX(0,(G$2-Inputs!$F$36)*Inputs!$F$34)))*Inputs!$F$35*Inputs!$H$11*(1+Inputs!$B$13)^(G$2-1))</f>
        <v/>
      </c>
      <c r="H6" s="22">
        <f>-(H5*Inputs!$B$9+(MIN(Inputs!$F$31,MAX(0,(H$2-Inputs!$F$36+1)*Inputs!$F$34))-MIN(Inputs!$F$31,MAX(0,(H$2-Inputs!$F$36)*Inputs!$F$34)))*Inputs!$F$35*Inputs!$H$11*(1+Inputs!$B$13)^(H$2-1))</f>
        <v/>
      </c>
      <c r="I6" s="22">
        <f>-(I5*Inputs!$B$9+(MIN(Inputs!$F$31,MAX(0,(I$2-Inputs!$F$36+1)*Inputs!$F$34))-MIN(Inputs!$F$31,MAX(0,(I$2-Inputs!$F$36)*Inputs!$F$34)))*Inputs!$F$35*Inputs!$H$11*(1+Inputs!$B$13)^(I$2-1))</f>
        <v/>
      </c>
      <c r="J6" s="22">
        <f>-(J5*Inputs!$B$9+(MIN(Inputs!$F$31,MAX(0,(J$2-Inputs!$F$36+1)*Inputs!$F$34))-MIN(Inputs!$F$31,MAX(0,(J$2-Inputs!$F$36)*Inputs!$F$34)))*Inputs!$F$35*Inputs!$H$11*(1+Inputs!$B$13)^(J$2-1))</f>
        <v/>
      </c>
      <c r="K6" s="22">
        <f>-(K5*Inputs!$B$9+(MIN(Inputs!$F$31,MAX(0,(K$2-Inputs!$F$36+1)*Inputs!$F$34))-MIN(Inputs!$F$31,MAX(0,(K$2-Inputs!$F$36)*Inputs!$F$34)))*Inputs!$F$35*Inputs!$H$11*(1+Inputs!$B$13)^(K$2-1))</f>
        <v/>
      </c>
      <c r="L6" s="22">
        <f>-(L5*Inputs!$B$9+(MIN(Inputs!$F$31,MAX(0,(L$2-Inputs!$F$36+1)*Inputs!$F$34))-MIN(Inputs!$F$31,MAX(0,(L$2-Inputs!$F$36)*Inputs!$F$34)))*Inputs!$F$35*Inputs!$H$11*(1+Inputs!$B$13)^(L$2-1))</f>
        <v/>
      </c>
      <c r="M6" s="22">
        <f>-(M5*Inputs!$B$9+(MIN(Inputs!$F$31,MAX(0,(M$2-Inputs!$F$36+1)*Inputs!$F$34))-MIN(Inputs!$F$31,MAX(0,(M$2-Inputs!$F$36)*Inputs!$F$34)))*Inputs!$F$35*Inputs!$H$11*(1+Inputs!$B$13)^(M$2-1))</f>
        <v/>
      </c>
      <c r="N6" s="22">
        <f>-(N5*Inputs!$B$9+(MIN(Inputs!$F$31,MAX(0,(N$2-Inputs!$F$36+1)*Inputs!$F$34))-MIN(Inputs!$F$31,MAX(0,(N$2-Inputs!$F$36)*Inputs!$F$34)))*Inputs!$F$35*Inputs!$H$11*(1+Inputs!$B$13)^(N$2-1))</f>
        <v/>
      </c>
    </row>
    <row r="7">
      <c r="B7" s="2" t="inlineStr">
        <is>
          <t>Bad Debt</t>
        </is>
      </c>
      <c r="D7" s="22">
        <f>-D5*Inputs!$B$10</f>
        <v/>
      </c>
      <c r="E7" s="22">
        <f>-E5*Inputs!$B$10</f>
        <v/>
      </c>
      <c r="F7" s="22">
        <f>-F5*Inputs!$B$10</f>
        <v/>
      </c>
      <c r="G7" s="22">
        <f>-G5*Inputs!$B$10</f>
        <v/>
      </c>
      <c r="H7" s="22">
        <f>-H5*Inputs!$B$10</f>
        <v/>
      </c>
      <c r="I7" s="22">
        <f>-I5*Inputs!$B$10</f>
        <v/>
      </c>
      <c r="J7" s="22">
        <f>-J5*Inputs!$B$10</f>
        <v/>
      </c>
      <c r="K7" s="22">
        <f>-K5*Inputs!$B$10</f>
        <v/>
      </c>
      <c r="L7" s="22">
        <f>-L5*Inputs!$B$10</f>
        <v/>
      </c>
      <c r="M7" s="22">
        <f>-M5*Inputs!$B$10</f>
        <v/>
      </c>
      <c r="N7" s="22">
        <f>-N5*Inputs!$B$10</f>
        <v/>
      </c>
    </row>
    <row r="8">
      <c r="B8" s="2" t="inlineStr">
        <is>
          <t>Concessions</t>
        </is>
      </c>
      <c r="D8" s="22">
        <f>-D5*Inputs!$B$11</f>
        <v/>
      </c>
      <c r="E8" s="22">
        <f>-E5*Inputs!$B$11</f>
        <v/>
      </c>
      <c r="F8" s="22">
        <f>-F5*Inputs!$B$11</f>
        <v/>
      </c>
      <c r="G8" s="22">
        <f>-G5*Inputs!$B$11</f>
        <v/>
      </c>
      <c r="H8" s="22">
        <f>-H5*Inputs!$B$11</f>
        <v/>
      </c>
      <c r="I8" s="22">
        <f>-I5*Inputs!$B$11</f>
        <v/>
      </c>
      <c r="J8" s="22">
        <f>-J5*Inputs!$B$11</f>
        <v/>
      </c>
      <c r="K8" s="22">
        <f>-K5*Inputs!$B$11</f>
        <v/>
      </c>
      <c r="L8" s="22">
        <f>-L5*Inputs!$B$11</f>
        <v/>
      </c>
      <c r="M8" s="22">
        <f>-M5*Inputs!$B$11</f>
        <v/>
      </c>
      <c r="N8" s="22">
        <f>-N5*Inputs!$B$11</f>
        <v/>
      </c>
    </row>
    <row r="9">
      <c r="B9" s="3" t="inlineStr">
        <is>
          <t>Net Rental Income</t>
        </is>
      </c>
      <c r="D9" s="18">
        <f>SUM(D5:D8)</f>
        <v/>
      </c>
      <c r="E9" s="18">
        <f>SUM(E5:E8)</f>
        <v/>
      </c>
      <c r="F9" s="18">
        <f>SUM(F5:F8)</f>
        <v/>
      </c>
      <c r="G9" s="18">
        <f>SUM(G5:G8)</f>
        <v/>
      </c>
      <c r="H9" s="18">
        <f>SUM(H5:H8)</f>
        <v/>
      </c>
      <c r="I9" s="18">
        <f>SUM(I5:I8)</f>
        <v/>
      </c>
      <c r="J9" s="18">
        <f>SUM(J5:J8)</f>
        <v/>
      </c>
      <c r="K9" s="18">
        <f>SUM(K5:K8)</f>
        <v/>
      </c>
      <c r="L9" s="18">
        <f>SUM(L5:L8)</f>
        <v/>
      </c>
      <c r="M9" s="18">
        <f>SUM(M5:M8)</f>
        <v/>
      </c>
      <c r="N9" s="18">
        <f>SUM(N5:N8)</f>
        <v/>
      </c>
    </row>
    <row r="10">
      <c r="B10" s="2" t="inlineStr">
        <is>
          <t>Other Income</t>
        </is>
      </c>
      <c r="D10" s="22">
        <f>Inputs!$B$5*Inputs!$B$12*12*(1-Inputs!$B$9)*(1+Inputs!$B$14)^(D$2-1)</f>
        <v/>
      </c>
      <c r="E10" s="22">
        <f>Inputs!$B$5*Inputs!$B$12*12*(1-Inputs!$B$9)*(1+Inputs!$B$14)^(E$2-1)</f>
        <v/>
      </c>
      <c r="F10" s="22">
        <f>Inputs!$B$5*Inputs!$B$12*12*(1-Inputs!$B$9)*(1+Inputs!$B$14)^(F$2-1)</f>
        <v/>
      </c>
      <c r="G10" s="22">
        <f>Inputs!$B$5*Inputs!$B$12*12*(1-Inputs!$B$9)*(1+Inputs!$B$14)^(G$2-1)</f>
        <v/>
      </c>
      <c r="H10" s="22">
        <f>Inputs!$B$5*Inputs!$B$12*12*(1-Inputs!$B$9)*(1+Inputs!$B$14)^(H$2-1)</f>
        <v/>
      </c>
      <c r="I10" s="22">
        <f>Inputs!$B$5*Inputs!$B$12*12*(1-Inputs!$B$9)*(1+Inputs!$B$14)^(I$2-1)</f>
        <v/>
      </c>
      <c r="J10" s="22">
        <f>Inputs!$B$5*Inputs!$B$12*12*(1-Inputs!$B$9)*(1+Inputs!$B$14)^(J$2-1)</f>
        <v/>
      </c>
      <c r="K10" s="22">
        <f>Inputs!$B$5*Inputs!$B$12*12*(1-Inputs!$B$9)*(1+Inputs!$B$14)^(K$2-1)</f>
        <v/>
      </c>
      <c r="L10" s="22">
        <f>Inputs!$B$5*Inputs!$B$12*12*(1-Inputs!$B$9)*(1+Inputs!$B$14)^(L$2-1)</f>
        <v/>
      </c>
      <c r="M10" s="22">
        <f>Inputs!$B$5*Inputs!$B$12*12*(1-Inputs!$B$9)*(1+Inputs!$B$14)^(M$2-1)</f>
        <v/>
      </c>
      <c r="N10" s="22">
        <f>Inputs!$B$5*Inputs!$B$12*12*(1-Inputs!$B$9)*(1+Inputs!$B$14)^(N$2-1)</f>
        <v/>
      </c>
    </row>
    <row r="11">
      <c r="B11" s="3" t="inlineStr">
        <is>
          <t>Effective Gross Revenue</t>
        </is>
      </c>
      <c r="D11" s="18">
        <f>D9+D10</f>
        <v/>
      </c>
      <c r="E11" s="18">
        <f>E9+E10</f>
        <v/>
      </c>
      <c r="F11" s="18">
        <f>F9+F10</f>
        <v/>
      </c>
      <c r="G11" s="18">
        <f>G9+G10</f>
        <v/>
      </c>
      <c r="H11" s="18">
        <f>H9+H10</f>
        <v/>
      </c>
      <c r="I11" s="18">
        <f>I9+I10</f>
        <v/>
      </c>
      <c r="J11" s="18">
        <f>J9+J10</f>
        <v/>
      </c>
      <c r="K11" s="18">
        <f>K9+K10</f>
        <v/>
      </c>
      <c r="L11" s="18">
        <f>L9+L10</f>
        <v/>
      </c>
      <c r="M11" s="18">
        <f>M9+M10</f>
        <v/>
      </c>
      <c r="N11" s="18">
        <f>N9+N10</f>
        <v/>
      </c>
    </row>
    <row r="13">
      <c r="B13" s="3" t="inlineStr">
        <is>
          <t>Expenses</t>
        </is>
      </c>
    </row>
    <row r="14">
      <c r="B14" s="2" t="inlineStr">
        <is>
          <t>Payroll</t>
        </is>
      </c>
      <c r="D14" s="22">
        <f>-Inputs!$B$17*Inputs!$B$5*(1+Inputs!$B$29)^(D$2-1)</f>
        <v/>
      </c>
      <c r="E14" s="22">
        <f>-Inputs!$B$17*Inputs!$B$5*(1+Inputs!$B$29)^(E$2-1)</f>
        <v/>
      </c>
      <c r="F14" s="22">
        <f>-Inputs!$B$17*Inputs!$B$5*(1+Inputs!$B$29)^(F$2-1)</f>
        <v/>
      </c>
      <c r="G14" s="22">
        <f>-Inputs!$B$17*Inputs!$B$5*(1+Inputs!$B$29)^(G$2-1)</f>
        <v/>
      </c>
      <c r="H14" s="22">
        <f>-Inputs!$B$17*Inputs!$B$5*(1+Inputs!$B$29)^(H$2-1)</f>
        <v/>
      </c>
      <c r="I14" s="22">
        <f>-Inputs!$B$17*Inputs!$B$5*(1+Inputs!$B$29)^(I$2-1)</f>
        <v/>
      </c>
      <c r="J14" s="22">
        <f>-Inputs!$B$17*Inputs!$B$5*(1+Inputs!$B$29)^(J$2-1)</f>
        <v/>
      </c>
      <c r="K14" s="22">
        <f>-Inputs!$B$17*Inputs!$B$5*(1+Inputs!$B$29)^(K$2-1)</f>
        <v/>
      </c>
      <c r="L14" s="22">
        <f>-Inputs!$B$17*Inputs!$B$5*(1+Inputs!$B$29)^(L$2-1)</f>
        <v/>
      </c>
      <c r="M14" s="22">
        <f>-Inputs!$B$17*Inputs!$B$5*(1+Inputs!$B$29)^(M$2-1)</f>
        <v/>
      </c>
      <c r="N14" s="22">
        <f>-Inputs!$B$17*Inputs!$B$5*(1+Inputs!$B$29)^(N$2-1)</f>
        <v/>
      </c>
    </row>
    <row r="15">
      <c r="B15" s="2" t="inlineStr">
        <is>
          <t>General &amp; Administrative</t>
        </is>
      </c>
      <c r="D15" s="22">
        <f>-Inputs!$B$18*Inputs!$B$5*(1+Inputs!$B$29)^(D$2-1)</f>
        <v/>
      </c>
      <c r="E15" s="22">
        <f>-Inputs!$B$18*Inputs!$B$5*(1+Inputs!$B$29)^(E$2-1)</f>
        <v/>
      </c>
      <c r="F15" s="22">
        <f>-Inputs!$B$18*Inputs!$B$5*(1+Inputs!$B$29)^(F$2-1)</f>
        <v/>
      </c>
      <c r="G15" s="22">
        <f>-Inputs!$B$18*Inputs!$B$5*(1+Inputs!$B$29)^(G$2-1)</f>
        <v/>
      </c>
      <c r="H15" s="22">
        <f>-Inputs!$B$18*Inputs!$B$5*(1+Inputs!$B$29)^(H$2-1)</f>
        <v/>
      </c>
      <c r="I15" s="22">
        <f>-Inputs!$B$18*Inputs!$B$5*(1+Inputs!$B$29)^(I$2-1)</f>
        <v/>
      </c>
      <c r="J15" s="22">
        <f>-Inputs!$B$18*Inputs!$B$5*(1+Inputs!$B$29)^(J$2-1)</f>
        <v/>
      </c>
      <c r="K15" s="22">
        <f>-Inputs!$B$18*Inputs!$B$5*(1+Inputs!$B$29)^(K$2-1)</f>
        <v/>
      </c>
      <c r="L15" s="22">
        <f>-Inputs!$B$18*Inputs!$B$5*(1+Inputs!$B$29)^(L$2-1)</f>
        <v/>
      </c>
      <c r="M15" s="22">
        <f>-Inputs!$B$18*Inputs!$B$5*(1+Inputs!$B$29)^(M$2-1)</f>
        <v/>
      </c>
      <c r="N15" s="22">
        <f>-Inputs!$B$18*Inputs!$B$5*(1+Inputs!$B$29)^(N$2-1)</f>
        <v/>
      </c>
    </row>
    <row r="16">
      <c r="B16" s="2" t="inlineStr">
        <is>
          <t>Marketing</t>
        </is>
      </c>
      <c r="D16" s="22">
        <f>-Inputs!$B$19*Inputs!$B$5*(1+Inputs!$B$29)^(D$2-1)</f>
        <v/>
      </c>
      <c r="E16" s="22">
        <f>-Inputs!$B$19*Inputs!$B$5*(1+Inputs!$B$29)^(E$2-1)</f>
        <v/>
      </c>
      <c r="F16" s="22">
        <f>-Inputs!$B$19*Inputs!$B$5*(1+Inputs!$B$29)^(F$2-1)</f>
        <v/>
      </c>
      <c r="G16" s="22">
        <f>-Inputs!$B$19*Inputs!$B$5*(1+Inputs!$B$29)^(G$2-1)</f>
        <v/>
      </c>
      <c r="H16" s="22">
        <f>-Inputs!$B$19*Inputs!$B$5*(1+Inputs!$B$29)^(H$2-1)</f>
        <v/>
      </c>
      <c r="I16" s="22">
        <f>-Inputs!$B$19*Inputs!$B$5*(1+Inputs!$B$29)^(I$2-1)</f>
        <v/>
      </c>
      <c r="J16" s="22">
        <f>-Inputs!$B$19*Inputs!$B$5*(1+Inputs!$B$29)^(J$2-1)</f>
        <v/>
      </c>
      <c r="K16" s="22">
        <f>-Inputs!$B$19*Inputs!$B$5*(1+Inputs!$B$29)^(K$2-1)</f>
        <v/>
      </c>
      <c r="L16" s="22">
        <f>-Inputs!$B$19*Inputs!$B$5*(1+Inputs!$B$29)^(L$2-1)</f>
        <v/>
      </c>
      <c r="M16" s="22">
        <f>-Inputs!$B$19*Inputs!$B$5*(1+Inputs!$B$29)^(M$2-1)</f>
        <v/>
      </c>
      <c r="N16" s="22">
        <f>-Inputs!$B$19*Inputs!$B$5*(1+Inputs!$B$29)^(N$2-1)</f>
        <v/>
      </c>
    </row>
    <row r="17">
      <c r="B17" s="2" t="inlineStr">
        <is>
          <t>Repairs &amp; Maintenance</t>
        </is>
      </c>
      <c r="D17" s="22">
        <f>-Inputs!$B$20*Inputs!$B$5*(1+Inputs!$B$29)^(D$2-1)</f>
        <v/>
      </c>
      <c r="E17" s="22">
        <f>-Inputs!$B$20*Inputs!$B$5*(1+Inputs!$B$29)^(E$2-1)</f>
        <v/>
      </c>
      <c r="F17" s="22">
        <f>-Inputs!$B$20*Inputs!$B$5*(1+Inputs!$B$29)^(F$2-1)</f>
        <v/>
      </c>
      <c r="G17" s="22">
        <f>-Inputs!$B$20*Inputs!$B$5*(1+Inputs!$B$29)^(G$2-1)</f>
        <v/>
      </c>
      <c r="H17" s="22">
        <f>-Inputs!$B$20*Inputs!$B$5*(1+Inputs!$B$29)^(H$2-1)</f>
        <v/>
      </c>
      <c r="I17" s="22">
        <f>-Inputs!$B$20*Inputs!$B$5*(1+Inputs!$B$29)^(I$2-1)</f>
        <v/>
      </c>
      <c r="J17" s="22">
        <f>-Inputs!$B$20*Inputs!$B$5*(1+Inputs!$B$29)^(J$2-1)</f>
        <v/>
      </c>
      <c r="K17" s="22">
        <f>-Inputs!$B$20*Inputs!$B$5*(1+Inputs!$B$29)^(K$2-1)</f>
        <v/>
      </c>
      <c r="L17" s="22">
        <f>-Inputs!$B$20*Inputs!$B$5*(1+Inputs!$B$29)^(L$2-1)</f>
        <v/>
      </c>
      <c r="M17" s="22">
        <f>-Inputs!$B$20*Inputs!$B$5*(1+Inputs!$B$29)^(M$2-1)</f>
        <v/>
      </c>
      <c r="N17" s="22">
        <f>-Inputs!$B$20*Inputs!$B$5*(1+Inputs!$B$29)^(N$2-1)</f>
        <v/>
      </c>
    </row>
    <row r="18">
      <c r="B18" s="2" t="inlineStr">
        <is>
          <t>Contract Services</t>
        </is>
      </c>
      <c r="D18" s="22">
        <f>-Inputs!$B$21*Inputs!$B$5*(1+Inputs!$B$29)^(D$2-1)</f>
        <v/>
      </c>
      <c r="E18" s="22">
        <f>-Inputs!$B$21*Inputs!$B$5*(1+Inputs!$B$29)^(E$2-1)</f>
        <v/>
      </c>
      <c r="F18" s="22">
        <f>-Inputs!$B$21*Inputs!$B$5*(1+Inputs!$B$29)^(F$2-1)</f>
        <v/>
      </c>
      <c r="G18" s="22">
        <f>-Inputs!$B$21*Inputs!$B$5*(1+Inputs!$B$29)^(G$2-1)</f>
        <v/>
      </c>
      <c r="H18" s="22">
        <f>-Inputs!$B$21*Inputs!$B$5*(1+Inputs!$B$29)^(H$2-1)</f>
        <v/>
      </c>
      <c r="I18" s="22">
        <f>-Inputs!$B$21*Inputs!$B$5*(1+Inputs!$B$29)^(I$2-1)</f>
        <v/>
      </c>
      <c r="J18" s="22">
        <f>-Inputs!$B$21*Inputs!$B$5*(1+Inputs!$B$29)^(J$2-1)</f>
        <v/>
      </c>
      <c r="K18" s="22">
        <f>-Inputs!$B$21*Inputs!$B$5*(1+Inputs!$B$29)^(K$2-1)</f>
        <v/>
      </c>
      <c r="L18" s="22">
        <f>-Inputs!$B$21*Inputs!$B$5*(1+Inputs!$B$29)^(L$2-1)</f>
        <v/>
      </c>
      <c r="M18" s="22">
        <f>-Inputs!$B$21*Inputs!$B$5*(1+Inputs!$B$29)^(M$2-1)</f>
        <v/>
      </c>
      <c r="N18" s="22">
        <f>-Inputs!$B$21*Inputs!$B$5*(1+Inputs!$B$29)^(N$2-1)</f>
        <v/>
      </c>
    </row>
    <row r="19">
      <c r="B19" s="2" t="inlineStr">
        <is>
          <t>Utilities</t>
        </is>
      </c>
      <c r="D19" s="22">
        <f>-Inputs!$B$22*Inputs!$B$5*(1+Inputs!$B$29)^(D$2-1)</f>
        <v/>
      </c>
      <c r="E19" s="22">
        <f>-Inputs!$B$22*Inputs!$B$5*(1+Inputs!$B$29)^(E$2-1)</f>
        <v/>
      </c>
      <c r="F19" s="22">
        <f>-Inputs!$B$22*Inputs!$B$5*(1+Inputs!$B$29)^(F$2-1)</f>
        <v/>
      </c>
      <c r="G19" s="22">
        <f>-Inputs!$B$22*Inputs!$B$5*(1+Inputs!$B$29)^(G$2-1)</f>
        <v/>
      </c>
      <c r="H19" s="22">
        <f>-Inputs!$B$22*Inputs!$B$5*(1+Inputs!$B$29)^(H$2-1)</f>
        <v/>
      </c>
      <c r="I19" s="22">
        <f>-Inputs!$B$22*Inputs!$B$5*(1+Inputs!$B$29)^(I$2-1)</f>
        <v/>
      </c>
      <c r="J19" s="22">
        <f>-Inputs!$B$22*Inputs!$B$5*(1+Inputs!$B$29)^(J$2-1)</f>
        <v/>
      </c>
      <c r="K19" s="22">
        <f>-Inputs!$B$22*Inputs!$B$5*(1+Inputs!$B$29)^(K$2-1)</f>
        <v/>
      </c>
      <c r="L19" s="22">
        <f>-Inputs!$B$22*Inputs!$B$5*(1+Inputs!$B$29)^(L$2-1)</f>
        <v/>
      </c>
      <c r="M19" s="22">
        <f>-Inputs!$B$22*Inputs!$B$5*(1+Inputs!$B$29)^(M$2-1)</f>
        <v/>
      </c>
      <c r="N19" s="22">
        <f>-Inputs!$B$22*Inputs!$B$5*(1+Inputs!$B$29)^(N$2-1)</f>
        <v/>
      </c>
    </row>
    <row r="20">
      <c r="B20" s="2" t="inlineStr">
        <is>
          <t>Other</t>
        </is>
      </c>
      <c r="D20" s="22">
        <f>-Inputs!$B$23*Inputs!$B$5*(1+Inputs!$B$29)^(D$2-1)</f>
        <v/>
      </c>
      <c r="E20" s="22">
        <f>-Inputs!$B$23*Inputs!$B$5*(1+Inputs!$B$29)^(E$2-1)</f>
        <v/>
      </c>
      <c r="F20" s="22">
        <f>-Inputs!$B$23*Inputs!$B$5*(1+Inputs!$B$29)^(F$2-1)</f>
        <v/>
      </c>
      <c r="G20" s="22">
        <f>-Inputs!$B$23*Inputs!$B$5*(1+Inputs!$B$29)^(G$2-1)</f>
        <v/>
      </c>
      <c r="H20" s="22">
        <f>-Inputs!$B$23*Inputs!$B$5*(1+Inputs!$B$29)^(H$2-1)</f>
        <v/>
      </c>
      <c r="I20" s="22">
        <f>-Inputs!$B$23*Inputs!$B$5*(1+Inputs!$B$29)^(I$2-1)</f>
        <v/>
      </c>
      <c r="J20" s="22">
        <f>-Inputs!$B$23*Inputs!$B$5*(1+Inputs!$B$29)^(J$2-1)</f>
        <v/>
      </c>
      <c r="K20" s="22">
        <f>-Inputs!$B$23*Inputs!$B$5*(1+Inputs!$B$29)^(K$2-1)</f>
        <v/>
      </c>
      <c r="L20" s="22">
        <f>-Inputs!$B$23*Inputs!$B$5*(1+Inputs!$B$29)^(L$2-1)</f>
        <v/>
      </c>
      <c r="M20" s="22">
        <f>-Inputs!$B$23*Inputs!$B$5*(1+Inputs!$B$29)^(M$2-1)</f>
        <v/>
      </c>
      <c r="N20" s="22">
        <f>-Inputs!$B$23*Inputs!$B$5*(1+Inputs!$B$29)^(N$2-1)</f>
        <v/>
      </c>
    </row>
    <row r="21">
      <c r="B21" s="2" t="inlineStr">
        <is>
          <t>Insurance</t>
        </is>
      </c>
      <c r="D21" s="22">
        <f>-Inputs!$B$24*Inputs!$B$5*(1+Inputs!$B$29)^(D$2-1)</f>
        <v/>
      </c>
      <c r="E21" s="22">
        <f>-Inputs!$B$24*Inputs!$B$5*(1+Inputs!$B$29)^(E$2-1)</f>
        <v/>
      </c>
      <c r="F21" s="22">
        <f>-Inputs!$B$24*Inputs!$B$5*(1+Inputs!$B$29)^(F$2-1)</f>
        <v/>
      </c>
      <c r="G21" s="22">
        <f>-Inputs!$B$24*Inputs!$B$5*(1+Inputs!$B$29)^(G$2-1)</f>
        <v/>
      </c>
      <c r="H21" s="22">
        <f>-Inputs!$B$24*Inputs!$B$5*(1+Inputs!$B$29)^(H$2-1)</f>
        <v/>
      </c>
      <c r="I21" s="22">
        <f>-Inputs!$B$24*Inputs!$B$5*(1+Inputs!$B$29)^(I$2-1)</f>
        <v/>
      </c>
      <c r="J21" s="22">
        <f>-Inputs!$B$24*Inputs!$B$5*(1+Inputs!$B$29)^(J$2-1)</f>
        <v/>
      </c>
      <c r="K21" s="22">
        <f>-Inputs!$B$24*Inputs!$B$5*(1+Inputs!$B$29)^(K$2-1)</f>
        <v/>
      </c>
      <c r="L21" s="22">
        <f>-Inputs!$B$24*Inputs!$B$5*(1+Inputs!$B$29)^(L$2-1)</f>
        <v/>
      </c>
      <c r="M21" s="22">
        <f>-Inputs!$B$24*Inputs!$B$5*(1+Inputs!$B$29)^(M$2-1)</f>
        <v/>
      </c>
      <c r="N21" s="22">
        <f>-Inputs!$B$24*Inputs!$B$5*(1+Inputs!$B$29)^(N$2-1)</f>
        <v/>
      </c>
    </row>
    <row r="22">
      <c r="B22" s="2" t="inlineStr">
        <is>
          <t>Property Taxes</t>
        </is>
      </c>
      <c r="D22" s="22">
        <f>-Inputs!$B$25*(1+Inputs!$B$29)^(D$2-1)</f>
        <v/>
      </c>
      <c r="E22" s="22">
        <f>-Inputs!$B$25*(1+Inputs!$B$29)^(E$2-1)</f>
        <v/>
      </c>
      <c r="F22" s="22">
        <f>-Inputs!$B$25*(1+Inputs!$B$29)^(F$2-1)</f>
        <v/>
      </c>
      <c r="G22" s="22">
        <f>-Inputs!$B$25*(1+Inputs!$B$29)^(G$2-1)</f>
        <v/>
      </c>
      <c r="H22" s="22">
        <f>-Inputs!$B$25*(1+Inputs!$B$29)^(H$2-1)</f>
        <v/>
      </c>
      <c r="I22" s="22">
        <f>-Inputs!$B$25*(1+Inputs!$B$29)^(I$2-1)</f>
        <v/>
      </c>
      <c r="J22" s="22">
        <f>-Inputs!$B$25*(1+Inputs!$B$29)^(J$2-1)</f>
        <v/>
      </c>
      <c r="K22" s="22">
        <f>-Inputs!$B$25*(1+Inputs!$B$29)^(K$2-1)</f>
        <v/>
      </c>
      <c r="L22" s="22">
        <f>-Inputs!$B$25*(1+Inputs!$B$29)^(L$2-1)</f>
        <v/>
      </c>
      <c r="M22" s="22">
        <f>-Inputs!$B$25*(1+Inputs!$B$29)^(M$2-1)</f>
        <v/>
      </c>
      <c r="N22" s="22">
        <f>-Inputs!$B$25*(1+Inputs!$B$29)^(N$2-1)</f>
        <v/>
      </c>
    </row>
    <row r="23">
      <c r="B23" s="2" t="inlineStr">
        <is>
          <t>Property Management Fee</t>
        </is>
      </c>
      <c r="D23" s="22">
        <f>-D11*Inputs!$B$26</f>
        <v/>
      </c>
      <c r="E23" s="22">
        <f>-E11*Inputs!$B$26</f>
        <v/>
      </c>
      <c r="F23" s="22">
        <f>-F11*Inputs!$B$26</f>
        <v/>
      </c>
      <c r="G23" s="22">
        <f>-G11*Inputs!$B$26</f>
        <v/>
      </c>
      <c r="H23" s="22">
        <f>-H11*Inputs!$B$26</f>
        <v/>
      </c>
      <c r="I23" s="22">
        <f>-I11*Inputs!$B$26</f>
        <v/>
      </c>
      <c r="J23" s="22">
        <f>-J11*Inputs!$B$26</f>
        <v/>
      </c>
      <c r="K23" s="22">
        <f>-K11*Inputs!$B$26</f>
        <v/>
      </c>
      <c r="L23" s="22">
        <f>-L11*Inputs!$B$26</f>
        <v/>
      </c>
      <c r="M23" s="22">
        <f>-M11*Inputs!$B$26</f>
        <v/>
      </c>
      <c r="N23" s="22">
        <f>-N11*Inputs!$B$26</f>
        <v/>
      </c>
    </row>
    <row r="24">
      <c r="B24" s="3" t="inlineStr">
        <is>
          <t>Total Operating Expenses</t>
        </is>
      </c>
      <c r="D24" s="18">
        <f>SUM(D14:D23)</f>
        <v/>
      </c>
      <c r="E24" s="18">
        <f>SUM(E14:E23)</f>
        <v/>
      </c>
      <c r="F24" s="18">
        <f>SUM(F14:F23)</f>
        <v/>
      </c>
      <c r="G24" s="18">
        <f>SUM(G14:G23)</f>
        <v/>
      </c>
      <c r="H24" s="18">
        <f>SUM(H14:H23)</f>
        <v/>
      </c>
      <c r="I24" s="18">
        <f>SUM(I14:I23)</f>
        <v/>
      </c>
      <c r="J24" s="18">
        <f>SUM(J14:J23)</f>
        <v/>
      </c>
      <c r="K24" s="18">
        <f>SUM(K14:K23)</f>
        <v/>
      </c>
      <c r="L24" s="18">
        <f>SUM(L14:L23)</f>
        <v/>
      </c>
      <c r="M24" s="18">
        <f>SUM(M14:M23)</f>
        <v/>
      </c>
      <c r="N24" s="18">
        <f>SUM(N14:N23)</f>
        <v/>
      </c>
    </row>
    <row r="25">
      <c r="B25" s="3" t="inlineStr">
        <is>
          <t>Net Operating Income</t>
        </is>
      </c>
      <c r="D25" s="18">
        <f>D11+D24</f>
        <v/>
      </c>
      <c r="E25" s="18">
        <f>E11+E24</f>
        <v/>
      </c>
      <c r="F25" s="18">
        <f>F11+F24</f>
        <v/>
      </c>
      <c r="G25" s="18">
        <f>G11+G24</f>
        <v/>
      </c>
      <c r="H25" s="18">
        <f>H11+H24</f>
        <v/>
      </c>
      <c r="I25" s="18">
        <f>I11+I24</f>
        <v/>
      </c>
      <c r="J25" s="18">
        <f>J11+J24</f>
        <v/>
      </c>
      <c r="K25" s="18">
        <f>K11+K24</f>
        <v/>
      </c>
      <c r="L25" s="18">
        <f>L11+L24</f>
        <v/>
      </c>
      <c r="M25" s="18">
        <f>M11+M24</f>
        <v/>
      </c>
      <c r="N25" s="18">
        <f>N11+N24</f>
        <v/>
      </c>
    </row>
    <row r="26">
      <c r="B26" s="2" t="inlineStr">
        <is>
          <t>Capital Expense Reserve</t>
        </is>
      </c>
      <c r="D26" s="22">
        <f>-Inputs!$B$5*Inputs!$B$28*(1+Inputs!$B$29)^(D$2-1)</f>
        <v/>
      </c>
      <c r="E26" s="22">
        <f>-Inputs!$B$5*Inputs!$B$28*(1+Inputs!$B$29)^(E$2-1)</f>
        <v/>
      </c>
      <c r="F26" s="22">
        <f>-Inputs!$B$5*Inputs!$B$28*(1+Inputs!$B$29)^(F$2-1)</f>
        <v/>
      </c>
      <c r="G26" s="22">
        <f>-Inputs!$B$5*Inputs!$B$28*(1+Inputs!$B$29)^(G$2-1)</f>
        <v/>
      </c>
      <c r="H26" s="22">
        <f>-Inputs!$B$5*Inputs!$B$28*(1+Inputs!$B$29)^(H$2-1)</f>
        <v/>
      </c>
      <c r="I26" s="22">
        <f>-Inputs!$B$5*Inputs!$B$28*(1+Inputs!$B$29)^(I$2-1)</f>
        <v/>
      </c>
      <c r="J26" s="22">
        <f>-Inputs!$B$5*Inputs!$B$28*(1+Inputs!$B$29)^(J$2-1)</f>
        <v/>
      </c>
      <c r="K26" s="22">
        <f>-Inputs!$B$5*Inputs!$B$28*(1+Inputs!$B$29)^(K$2-1)</f>
        <v/>
      </c>
      <c r="L26" s="22">
        <f>-Inputs!$B$5*Inputs!$B$28*(1+Inputs!$B$29)^(L$2-1)</f>
        <v/>
      </c>
      <c r="M26" s="22">
        <f>-Inputs!$B$5*Inputs!$B$28*(1+Inputs!$B$29)^(M$2-1)</f>
        <v/>
      </c>
      <c r="N26" s="22">
        <f>-Inputs!$B$5*Inputs!$B$28*(1+Inputs!$B$29)^(N$2-1)</f>
        <v/>
      </c>
    </row>
    <row r="27">
      <c r="B27" s="2" t="inlineStr">
        <is>
          <t>Asset Management Fee</t>
        </is>
      </c>
      <c r="D27" s="22">
        <f>-D11*Inputs!$B$27</f>
        <v/>
      </c>
      <c r="E27" s="22">
        <f>-E11*Inputs!$B$27</f>
        <v/>
      </c>
      <c r="F27" s="22">
        <f>-F11*Inputs!$B$27</f>
        <v/>
      </c>
      <c r="G27" s="22">
        <f>-G11*Inputs!$B$27</f>
        <v/>
      </c>
      <c r="H27" s="22">
        <f>-H11*Inputs!$B$27</f>
        <v/>
      </c>
      <c r="I27" s="22">
        <f>-I11*Inputs!$B$27</f>
        <v/>
      </c>
      <c r="J27" s="22">
        <f>-J11*Inputs!$B$27</f>
        <v/>
      </c>
      <c r="K27" s="22">
        <f>-K11*Inputs!$B$27</f>
        <v/>
      </c>
      <c r="L27" s="22">
        <f>-L11*Inputs!$B$27</f>
        <v/>
      </c>
      <c r="M27" s="22">
        <f>-M11*Inputs!$B$27</f>
        <v/>
      </c>
      <c r="N27" s="22">
        <f>-N11*Inputs!$B$27</f>
        <v/>
      </c>
    </row>
    <row r="28">
      <c r="B28" s="3" t="inlineStr">
        <is>
          <t>Cash Flow Before Debt Service</t>
        </is>
      </c>
      <c r="D28" s="18">
        <f>D25+D26+D27</f>
        <v/>
      </c>
      <c r="E28" s="18">
        <f>E25+E26+E27</f>
        <v/>
      </c>
      <c r="F28" s="18">
        <f>F25+F26+F27</f>
        <v/>
      </c>
      <c r="G28" s="18">
        <f>G25+G26+G27</f>
        <v/>
      </c>
      <c r="H28" s="18">
        <f>H25+H26+H27</f>
        <v/>
      </c>
      <c r="I28" s="18">
        <f>I25+I26+I27</f>
        <v/>
      </c>
      <c r="J28" s="18">
        <f>J25+J26+J27</f>
        <v/>
      </c>
      <c r="K28" s="18">
        <f>K25+K26+K27</f>
        <v/>
      </c>
      <c r="L28" s="18">
        <f>L25+L26+L27</f>
        <v/>
      </c>
      <c r="M28" s="18">
        <f>M25+M26+M27</f>
        <v/>
      </c>
      <c r="N28" s="18">
        <f>N25+N26+N27</f>
        <v/>
      </c>
    </row>
    <row r="30">
      <c r="B30" s="3" t="inlineStr">
        <is>
          <t>Debt Service</t>
        </is>
      </c>
    </row>
    <row r="31">
      <c r="B31" t="inlineStr">
        <is>
          <t>Beginning Loan Balance</t>
        </is>
      </c>
      <c r="D31" s="11">
        <f>IF(D$2=1,Inputs!$B$52,IF(AND(Inputs!$F$14&gt;0,D$2=Inputs!$F$14+1),Inputs!$F$24,C35))</f>
        <v/>
      </c>
      <c r="E31" s="11">
        <f>IF(E$2=1,Inputs!$B$52,IF(AND(Inputs!$F$14&gt;0,E$2=Inputs!$F$14+1),Inputs!$F$24,D35))</f>
        <v/>
      </c>
      <c r="F31" s="11">
        <f>IF(F$2=1,Inputs!$B$52,IF(AND(Inputs!$F$14&gt;0,F$2=Inputs!$F$14+1),Inputs!$F$24,E35))</f>
        <v/>
      </c>
      <c r="G31" s="11">
        <f>IF(G$2=1,Inputs!$B$52,IF(AND(Inputs!$F$14&gt;0,G$2=Inputs!$F$14+1),Inputs!$F$24,F35))</f>
        <v/>
      </c>
      <c r="H31" s="11">
        <f>IF(H$2=1,Inputs!$B$52,IF(AND(Inputs!$F$14&gt;0,H$2=Inputs!$F$14+1),Inputs!$F$24,G35))</f>
        <v/>
      </c>
      <c r="I31" s="11">
        <f>IF(I$2=1,Inputs!$B$52,IF(AND(Inputs!$F$14&gt;0,I$2=Inputs!$F$14+1),Inputs!$F$24,H35))</f>
        <v/>
      </c>
      <c r="J31" s="11">
        <f>IF(J$2=1,Inputs!$B$52,IF(AND(Inputs!$F$14&gt;0,J$2=Inputs!$F$14+1),Inputs!$F$24,I35))</f>
        <v/>
      </c>
      <c r="K31" s="11">
        <f>IF(K$2=1,Inputs!$B$52,IF(AND(Inputs!$F$14&gt;0,K$2=Inputs!$F$14+1),Inputs!$F$24,J35))</f>
        <v/>
      </c>
      <c r="L31" s="11">
        <f>IF(L$2=1,Inputs!$B$52,IF(AND(Inputs!$F$14&gt;0,L$2=Inputs!$F$14+1),Inputs!$F$24,K35))</f>
        <v/>
      </c>
      <c r="M31" s="11">
        <f>IF(M$2=1,Inputs!$B$52,IF(AND(Inputs!$F$14&gt;0,M$2=Inputs!$F$14+1),Inputs!$F$24,L35))</f>
        <v/>
      </c>
      <c r="N31" s="11">
        <f>IF(N$2=1,Inputs!$B$52,IF(AND(Inputs!$F$14&gt;0,N$2=Inputs!$F$14+1),Inputs!$F$24,M35))</f>
        <v/>
      </c>
    </row>
    <row r="32">
      <c r="B32" s="2" t="inlineStr">
        <is>
          <t>Interest Payment</t>
        </is>
      </c>
      <c r="D32" s="22">
        <f>IF(D$2&lt;=Inputs!$B$36,D31*IF(AND(Inputs!$F$14&gt;0,D$2&gt;Inputs!$F$14),Inputs!$F$18,Inputs!$B$34),12*IF(AND(Inputs!$F$14&gt;0,D$2&gt;Inputs!$F$14),Inputs!$F$28,Inputs!$B$53)-(D31-D35))</f>
        <v/>
      </c>
      <c r="E32" s="22">
        <f>IF(E$2&lt;=Inputs!$B$36,E31*IF(AND(Inputs!$F$14&gt;0,E$2&gt;Inputs!$F$14),Inputs!$F$18,Inputs!$B$34),12*IF(AND(Inputs!$F$14&gt;0,E$2&gt;Inputs!$F$14),Inputs!$F$28,Inputs!$B$53)-(E31-E35))</f>
        <v/>
      </c>
      <c r="F32" s="22">
        <f>IF(F$2&lt;=Inputs!$B$36,F31*IF(AND(Inputs!$F$14&gt;0,F$2&gt;Inputs!$F$14),Inputs!$F$18,Inputs!$B$34),12*IF(AND(Inputs!$F$14&gt;0,F$2&gt;Inputs!$F$14),Inputs!$F$28,Inputs!$B$53)-(F31-F35))</f>
        <v/>
      </c>
      <c r="G32" s="22">
        <f>IF(G$2&lt;=Inputs!$B$36,G31*IF(AND(Inputs!$F$14&gt;0,G$2&gt;Inputs!$F$14),Inputs!$F$18,Inputs!$B$34),12*IF(AND(Inputs!$F$14&gt;0,G$2&gt;Inputs!$F$14),Inputs!$F$28,Inputs!$B$53)-(G31-G35))</f>
        <v/>
      </c>
      <c r="H32" s="22">
        <f>IF(H$2&lt;=Inputs!$B$36,H31*IF(AND(Inputs!$F$14&gt;0,H$2&gt;Inputs!$F$14),Inputs!$F$18,Inputs!$B$34),12*IF(AND(Inputs!$F$14&gt;0,H$2&gt;Inputs!$F$14),Inputs!$F$28,Inputs!$B$53)-(H31-H35))</f>
        <v/>
      </c>
      <c r="I32" s="22">
        <f>IF(I$2&lt;=Inputs!$B$36,I31*IF(AND(Inputs!$F$14&gt;0,I$2&gt;Inputs!$F$14),Inputs!$F$18,Inputs!$B$34),12*IF(AND(Inputs!$F$14&gt;0,I$2&gt;Inputs!$F$14),Inputs!$F$28,Inputs!$B$53)-(I31-I35))</f>
        <v/>
      </c>
      <c r="J32" s="22">
        <f>IF(J$2&lt;=Inputs!$B$36,J31*IF(AND(Inputs!$F$14&gt;0,J$2&gt;Inputs!$F$14),Inputs!$F$18,Inputs!$B$34),12*IF(AND(Inputs!$F$14&gt;0,J$2&gt;Inputs!$F$14),Inputs!$F$28,Inputs!$B$53)-(J31-J35))</f>
        <v/>
      </c>
      <c r="K32" s="22">
        <f>IF(K$2&lt;=Inputs!$B$36,K31*IF(AND(Inputs!$F$14&gt;0,K$2&gt;Inputs!$F$14),Inputs!$F$18,Inputs!$B$34),12*IF(AND(Inputs!$F$14&gt;0,K$2&gt;Inputs!$F$14),Inputs!$F$28,Inputs!$B$53)-(K31-K35))</f>
        <v/>
      </c>
      <c r="L32" s="22">
        <f>IF(L$2&lt;=Inputs!$B$36,L31*IF(AND(Inputs!$F$14&gt;0,L$2&gt;Inputs!$F$14),Inputs!$F$18,Inputs!$B$34),12*IF(AND(Inputs!$F$14&gt;0,L$2&gt;Inputs!$F$14),Inputs!$F$28,Inputs!$B$53)-(L31-L35))</f>
        <v/>
      </c>
      <c r="M32" s="22">
        <f>IF(M$2&lt;=Inputs!$B$36,M31*IF(AND(Inputs!$F$14&gt;0,M$2&gt;Inputs!$F$14),Inputs!$F$18,Inputs!$B$34),12*IF(AND(Inputs!$F$14&gt;0,M$2&gt;Inputs!$F$14),Inputs!$F$28,Inputs!$B$53)-(M31-M35))</f>
        <v/>
      </c>
      <c r="N32" s="22">
        <f>IF(N$2&lt;=Inputs!$B$36,N31*IF(AND(Inputs!$F$14&gt;0,N$2&gt;Inputs!$F$14),Inputs!$F$18,Inputs!$B$34),12*IF(AND(Inputs!$F$14&gt;0,N$2&gt;Inputs!$F$14),Inputs!$F$28,Inputs!$B$53)-(N31-N35))</f>
        <v/>
      </c>
    </row>
    <row r="33">
      <c r="B33" s="2" t="inlineStr">
        <is>
          <t>Principal Payment</t>
        </is>
      </c>
      <c r="D33" s="22">
        <f>D31-D35</f>
        <v/>
      </c>
      <c r="E33" s="22">
        <f>E31-E35</f>
        <v/>
      </c>
      <c r="F33" s="22">
        <f>F31-F35</f>
        <v/>
      </c>
      <c r="G33" s="22">
        <f>G31-G35</f>
        <v/>
      </c>
      <c r="H33" s="22">
        <f>H31-H35</f>
        <v/>
      </c>
      <c r="I33" s="22">
        <f>I31-I35</f>
        <v/>
      </c>
      <c r="J33" s="22">
        <f>J31-J35</f>
        <v/>
      </c>
      <c r="K33" s="22">
        <f>K31-K35</f>
        <v/>
      </c>
      <c r="L33" s="22">
        <f>L31-L35</f>
        <v/>
      </c>
      <c r="M33" s="22">
        <f>M31-M35</f>
        <v/>
      </c>
      <c r="N33" s="22">
        <f>N31-N35</f>
        <v/>
      </c>
    </row>
    <row r="34">
      <c r="B34" s="3" t="inlineStr">
        <is>
          <t>Total Debt Service</t>
        </is>
      </c>
      <c r="D34" s="18">
        <f>D32+D33</f>
        <v/>
      </c>
      <c r="E34" s="18">
        <f>E32+E33</f>
        <v/>
      </c>
      <c r="F34" s="18">
        <f>F32+F33</f>
        <v/>
      </c>
      <c r="G34" s="18">
        <f>G32+G33</f>
        <v/>
      </c>
      <c r="H34" s="18">
        <f>H32+H33</f>
        <v/>
      </c>
      <c r="I34" s="18">
        <f>I32+I33</f>
        <v/>
      </c>
      <c r="J34" s="18">
        <f>J32+J33</f>
        <v/>
      </c>
      <c r="K34" s="18">
        <f>K32+K33</f>
        <v/>
      </c>
      <c r="L34" s="18">
        <f>L32+L33</f>
        <v/>
      </c>
      <c r="M34" s="18">
        <f>M32+M33</f>
        <v/>
      </c>
      <c r="N34" s="18">
        <f>N32+N33</f>
        <v/>
      </c>
    </row>
    <row r="35">
      <c r="B35" s="2" t="inlineStr">
        <is>
          <t>Ending Loan Balance</t>
        </is>
      </c>
      <c r="D35" s="22">
        <f>IF(D$2&lt;=Inputs!$B$36,D31,MAX(0,FV(IF(AND(Inputs!$F$14&gt;0,D$2&gt;Inputs!$F$14),Inputs!$F$18,Inputs!$B$34)/12,12,IF(AND(Inputs!$F$14&gt;0,D$2&gt;Inputs!$F$14),Inputs!$F$28,Inputs!$B$53),-D31)))</f>
        <v/>
      </c>
      <c r="E35" s="22">
        <f>IF(E$2&lt;=Inputs!$B$36,E31,MAX(0,FV(IF(AND(Inputs!$F$14&gt;0,E$2&gt;Inputs!$F$14),Inputs!$F$18,Inputs!$B$34)/12,12,IF(AND(Inputs!$F$14&gt;0,E$2&gt;Inputs!$F$14),Inputs!$F$28,Inputs!$B$53),-E31)))</f>
        <v/>
      </c>
      <c r="F35" s="22">
        <f>IF(F$2&lt;=Inputs!$B$36,F31,MAX(0,FV(IF(AND(Inputs!$F$14&gt;0,F$2&gt;Inputs!$F$14),Inputs!$F$18,Inputs!$B$34)/12,12,IF(AND(Inputs!$F$14&gt;0,F$2&gt;Inputs!$F$14),Inputs!$F$28,Inputs!$B$53),-F31)))</f>
        <v/>
      </c>
      <c r="G35" s="22">
        <f>IF(G$2&lt;=Inputs!$B$36,G31,MAX(0,FV(IF(AND(Inputs!$F$14&gt;0,G$2&gt;Inputs!$F$14),Inputs!$F$18,Inputs!$B$34)/12,12,IF(AND(Inputs!$F$14&gt;0,G$2&gt;Inputs!$F$14),Inputs!$F$28,Inputs!$B$53),-G31)))</f>
        <v/>
      </c>
      <c r="H35" s="22">
        <f>IF(H$2&lt;=Inputs!$B$36,H31,MAX(0,FV(IF(AND(Inputs!$F$14&gt;0,H$2&gt;Inputs!$F$14),Inputs!$F$18,Inputs!$B$34)/12,12,IF(AND(Inputs!$F$14&gt;0,H$2&gt;Inputs!$F$14),Inputs!$F$28,Inputs!$B$53),-H31)))</f>
        <v/>
      </c>
      <c r="I35" s="22">
        <f>IF(I$2&lt;=Inputs!$B$36,I31,MAX(0,FV(IF(AND(Inputs!$F$14&gt;0,I$2&gt;Inputs!$F$14),Inputs!$F$18,Inputs!$B$34)/12,12,IF(AND(Inputs!$F$14&gt;0,I$2&gt;Inputs!$F$14),Inputs!$F$28,Inputs!$B$53),-I31)))</f>
        <v/>
      </c>
      <c r="J35" s="22">
        <f>IF(J$2&lt;=Inputs!$B$36,J31,MAX(0,FV(IF(AND(Inputs!$F$14&gt;0,J$2&gt;Inputs!$F$14),Inputs!$F$18,Inputs!$B$34)/12,12,IF(AND(Inputs!$F$14&gt;0,J$2&gt;Inputs!$F$14),Inputs!$F$28,Inputs!$B$53),-J31)))</f>
        <v/>
      </c>
      <c r="K35" s="22">
        <f>IF(K$2&lt;=Inputs!$B$36,K31,MAX(0,FV(IF(AND(Inputs!$F$14&gt;0,K$2&gt;Inputs!$F$14),Inputs!$F$18,Inputs!$B$34)/12,12,IF(AND(Inputs!$F$14&gt;0,K$2&gt;Inputs!$F$14),Inputs!$F$28,Inputs!$B$53),-K31)))</f>
        <v/>
      </c>
      <c r="L35" s="22">
        <f>IF(L$2&lt;=Inputs!$B$36,L31,MAX(0,FV(IF(AND(Inputs!$F$14&gt;0,L$2&gt;Inputs!$F$14),Inputs!$F$18,Inputs!$B$34)/12,12,IF(AND(Inputs!$F$14&gt;0,L$2&gt;Inputs!$F$14),Inputs!$F$28,Inputs!$B$53),-L31)))</f>
        <v/>
      </c>
      <c r="M35" s="22">
        <f>IF(M$2&lt;=Inputs!$B$36,M31,MAX(0,FV(IF(AND(Inputs!$F$14&gt;0,M$2&gt;Inputs!$F$14),Inputs!$F$18,Inputs!$B$34)/12,12,IF(AND(Inputs!$F$14&gt;0,M$2&gt;Inputs!$F$14),Inputs!$F$28,Inputs!$B$53),-M31)))</f>
        <v/>
      </c>
      <c r="N35" s="22">
        <f>IF(N$2&lt;=Inputs!$B$36,N31,MAX(0,FV(IF(AND(Inputs!$F$14&gt;0,N$2&gt;Inputs!$F$14),Inputs!$F$18,Inputs!$B$34)/12,12,IF(AND(Inputs!$F$14&gt;0,N$2&gt;Inputs!$F$14),Inputs!$F$28,Inputs!$B$53),-N31)))</f>
        <v/>
      </c>
    </row>
    <row r="37">
      <c r="B37" s="3" t="inlineStr">
        <is>
          <t>Cash Flow After Debt Service</t>
        </is>
      </c>
      <c r="D37" s="18">
        <f>D28-D34</f>
        <v/>
      </c>
      <c r="E37" s="18">
        <f>E28-E34</f>
        <v/>
      </c>
      <c r="F37" s="18">
        <f>F28-F34</f>
        <v/>
      </c>
      <c r="G37" s="18">
        <f>G28-G34</f>
        <v/>
      </c>
      <c r="H37" s="18">
        <f>H28-H34</f>
        <v/>
      </c>
      <c r="I37" s="18">
        <f>I28-I34</f>
        <v/>
      </c>
      <c r="J37" s="18">
        <f>J28-J34</f>
        <v/>
      </c>
      <c r="K37" s="18">
        <f>K28-K34</f>
        <v/>
      </c>
      <c r="L37" s="18">
        <f>L28-L34</f>
        <v/>
      </c>
      <c r="M37" s="18">
        <f>M28-M34</f>
        <v/>
      </c>
      <c r="N37" s="18">
        <f>N28-N34</f>
        <v/>
      </c>
    </row>
    <row r="38">
      <c r="B38" s="2" t="inlineStr">
        <is>
          <t>DSCR</t>
        </is>
      </c>
      <c r="D38" s="23">
        <f>IFERROR(D25/D34,"")</f>
        <v/>
      </c>
      <c r="E38" s="23">
        <f>IFERROR(E25/E34,"")</f>
        <v/>
      </c>
      <c r="F38" s="23">
        <f>IFERROR(F25/F34,"")</f>
        <v/>
      </c>
      <c r="G38" s="23">
        <f>IFERROR(G25/G34,"")</f>
        <v/>
      </c>
      <c r="H38" s="23">
        <f>IFERROR(H25/H34,"")</f>
        <v/>
      </c>
      <c r="I38" s="23">
        <f>IFERROR(I25/I34,"")</f>
        <v/>
      </c>
      <c r="J38" s="23">
        <f>IFERROR(J25/J34,"")</f>
        <v/>
      </c>
      <c r="K38" s="23">
        <f>IFERROR(K25/K34,"")</f>
        <v/>
      </c>
      <c r="L38" s="23">
        <f>IFERROR(L25/L34,"")</f>
        <v/>
      </c>
      <c r="M38" s="23">
        <f>IFERROR(M25/M34,"")</f>
        <v/>
      </c>
      <c r="N38" s="23">
        <f>IFERROR(N25/N34,"")</f>
        <v/>
      </c>
    </row>
    <row r="39">
      <c r="B39" s="2" t="inlineStr">
        <is>
          <t>Cash-on-Cash Return</t>
        </is>
      </c>
      <c r="D39" s="24">
        <f>IFERROR(D37/Inputs!$B$54,"")</f>
        <v/>
      </c>
      <c r="E39" s="24">
        <f>IFERROR(E37/Inputs!$B$54,"")</f>
        <v/>
      </c>
      <c r="F39" s="24">
        <f>IFERROR(F37/Inputs!$B$54,"")</f>
        <v/>
      </c>
      <c r="G39" s="24">
        <f>IFERROR(G37/Inputs!$B$54,"")</f>
        <v/>
      </c>
      <c r="H39" s="24">
        <f>IFERROR(H37/Inputs!$B$54,"")</f>
        <v/>
      </c>
      <c r="I39" s="24">
        <f>IFERROR(I37/Inputs!$B$54,"")</f>
        <v/>
      </c>
      <c r="J39" s="24">
        <f>IFERROR(J37/Inputs!$B$54,"")</f>
        <v/>
      </c>
      <c r="K39" s="24">
        <f>IFERROR(K37/Inputs!$B$54,"")</f>
        <v/>
      </c>
      <c r="L39" s="24">
        <f>IFERROR(L37/Inputs!$B$54,"")</f>
        <v/>
      </c>
      <c r="M39" s="24">
        <f>IFERROR(M37/Inputs!$B$54,"")</f>
        <v/>
      </c>
      <c r="N39" s="24">
        <f>IFERROR(N37/Inputs!$B$54,"")</f>
        <v/>
      </c>
    </row>
    <row r="40">
      <c r="B40" s="2" t="inlineStr">
        <is>
          <t>DSCR (after capex reserve)</t>
        </is>
      </c>
      <c r="D40" s="23">
        <f>IFERROR((D25+D26)/D34,"")</f>
        <v/>
      </c>
      <c r="E40" s="23">
        <f>IFERROR((E25+E26)/E34,"")</f>
        <v/>
      </c>
      <c r="F40" s="23">
        <f>IFERROR((F25+F26)/F34,"")</f>
        <v/>
      </c>
      <c r="G40" s="23">
        <f>IFERROR((G25+G26)/G34,"")</f>
        <v/>
      </c>
      <c r="H40" s="23">
        <f>IFERROR((H25+H26)/H34,"")</f>
        <v/>
      </c>
      <c r="I40" s="23">
        <f>IFERROR((I25+I26)/I34,"")</f>
        <v/>
      </c>
      <c r="J40" s="23">
        <f>IFERROR((J25+J26)/J34,"")</f>
        <v/>
      </c>
      <c r="K40" s="23">
        <f>IFERROR((K25+K26)/K34,"")</f>
        <v/>
      </c>
      <c r="L40" s="23">
        <f>IFERROR((L25+L26)/L34,"")</f>
        <v/>
      </c>
      <c r="M40" s="23">
        <f>IFERROR((M25+M26)/M34,"")</f>
        <v/>
      </c>
      <c r="N40" s="23">
        <f>IFERROR((N25+N26)/N34,"")</f>
        <v/>
      </c>
    </row>
    <row r="41">
      <c r="B41" s="3" t="inlineStr">
        <is>
          <t>Acquisition &amp; Sale</t>
        </is>
      </c>
    </row>
    <row r="42">
      <c r="B42" t="inlineStr">
        <is>
          <t>Purchase Price</t>
        </is>
      </c>
      <c r="C42" s="11">
        <f>-Inputs!$B$2</f>
        <v/>
      </c>
    </row>
    <row r="43">
      <c r="B43" t="inlineStr">
        <is>
          <t>Closing Costs</t>
        </is>
      </c>
      <c r="C43" s="11">
        <f>-Inputs!$B$2*Inputs!$B$3</f>
        <v/>
      </c>
    </row>
    <row r="44">
      <c r="B44" t="inlineStr">
        <is>
          <t>Loan Fees</t>
        </is>
      </c>
      <c r="C44" s="11">
        <f>-Inputs!$B$52*Inputs!$B$4</f>
        <v/>
      </c>
    </row>
    <row r="45">
      <c r="B45" t="inlineStr">
        <is>
          <t>Loan Proceeds</t>
        </is>
      </c>
      <c r="C45" s="11">
        <f>Inputs!$B$52</f>
        <v/>
      </c>
    </row>
    <row r="46">
      <c r="B46" t="inlineStr">
        <is>
          <t>Sale Price (Fwd NOI / Exit Cap)</t>
        </is>
      </c>
      <c r="D46" s="11">
        <f>IF(D$2=Inputs!$B$40,E25/Inputs!$B$41,0)</f>
        <v/>
      </c>
      <c r="E46" s="11">
        <f>IF(E$2=Inputs!$B$40,F25/Inputs!$B$41,0)</f>
        <v/>
      </c>
      <c r="F46" s="11">
        <f>IF(F$2=Inputs!$B$40,G25/Inputs!$B$41,0)</f>
        <v/>
      </c>
      <c r="G46" s="11">
        <f>IF(G$2=Inputs!$B$40,H25/Inputs!$B$41,0)</f>
        <v/>
      </c>
      <c r="H46" s="11">
        <f>IF(H$2=Inputs!$B$40,I25/Inputs!$B$41,0)</f>
        <v/>
      </c>
      <c r="I46" s="11">
        <f>IF(I$2=Inputs!$B$40,J25/Inputs!$B$41,0)</f>
        <v/>
      </c>
      <c r="J46" s="11">
        <f>IF(J$2=Inputs!$B$40,K25/Inputs!$B$41,0)</f>
        <v/>
      </c>
      <c r="K46" s="11">
        <f>IF(K$2=Inputs!$B$40,L25/Inputs!$B$41,0)</f>
        <v/>
      </c>
      <c r="L46" s="11">
        <f>IF(L$2=Inputs!$B$40,M25/Inputs!$B$41,0)</f>
        <v/>
      </c>
      <c r="M46" s="11">
        <f>IF(M$2=Inputs!$B$40,N25/Inputs!$B$41,0)</f>
        <v/>
      </c>
    </row>
    <row r="47">
      <c r="B47" t="inlineStr">
        <is>
          <t>Cost of Sale</t>
        </is>
      </c>
      <c r="D47" s="11">
        <f>-D46*Inputs!$B$42</f>
        <v/>
      </c>
      <c r="E47" s="11">
        <f>-E46*Inputs!$B$42</f>
        <v/>
      </c>
      <c r="F47" s="11">
        <f>-F46*Inputs!$B$42</f>
        <v/>
      </c>
      <c r="G47" s="11">
        <f>-G46*Inputs!$B$42</f>
        <v/>
      </c>
      <c r="H47" s="11">
        <f>-H46*Inputs!$B$42</f>
        <v/>
      </c>
      <c r="I47" s="11">
        <f>-I46*Inputs!$B$42</f>
        <v/>
      </c>
      <c r="J47" s="11">
        <f>-J46*Inputs!$B$42</f>
        <v/>
      </c>
      <c r="K47" s="11">
        <f>-K46*Inputs!$B$42</f>
        <v/>
      </c>
      <c r="L47" s="11">
        <f>-L46*Inputs!$B$42</f>
        <v/>
      </c>
      <c r="M47" s="11">
        <f>-M46*Inputs!$B$42</f>
        <v/>
      </c>
    </row>
    <row r="48">
      <c r="B48" t="inlineStr">
        <is>
          <t>Loan Payoff</t>
        </is>
      </c>
      <c r="D48" s="11">
        <f>IF(D$2=Inputs!$B$40,-D35,0)</f>
        <v/>
      </c>
      <c r="E48" s="11">
        <f>IF(E$2=Inputs!$B$40,-E35,0)</f>
        <v/>
      </c>
      <c r="F48" s="11">
        <f>IF(F$2=Inputs!$B$40,-F35,0)</f>
        <v/>
      </c>
      <c r="G48" s="11">
        <f>IF(G$2=Inputs!$B$40,-G35,0)</f>
        <v/>
      </c>
      <c r="H48" s="11">
        <f>IF(H$2=Inputs!$B$40,-H35,0)</f>
        <v/>
      </c>
      <c r="I48" s="11">
        <f>IF(I$2=Inputs!$B$40,-I35,0)</f>
        <v/>
      </c>
      <c r="J48" s="11">
        <f>IF(J$2=Inputs!$B$40,-J35,0)</f>
        <v/>
      </c>
      <c r="K48" s="11">
        <f>IF(K$2=Inputs!$B$40,-K35,0)</f>
        <v/>
      </c>
      <c r="L48" s="11">
        <f>IF(L$2=Inputs!$B$40,-L35,0)</f>
        <v/>
      </c>
      <c r="M48" s="11">
        <f>IF(M$2=Inputs!$B$40,-M35,0)</f>
        <v/>
      </c>
    </row>
    <row r="49">
      <c r="B49" t="inlineStr">
        <is>
          <t>Refi Proceeds (net of costs)</t>
        </is>
      </c>
      <c r="D49" s="11">
        <f>IF(AND(Inputs!$F$14&gt;0,D$2=Inputs!$F$14),Inputs!$F$27,0)</f>
        <v/>
      </c>
      <c r="E49" s="11">
        <f>IF(AND(Inputs!$F$14&gt;0,E$2=Inputs!$F$14),Inputs!$F$27,0)</f>
        <v/>
      </c>
      <c r="F49" s="11">
        <f>IF(AND(Inputs!$F$14&gt;0,F$2=Inputs!$F$14),Inputs!$F$27,0)</f>
        <v/>
      </c>
      <c r="G49" s="11">
        <f>IF(AND(Inputs!$F$14&gt;0,G$2=Inputs!$F$14),Inputs!$F$27,0)</f>
        <v/>
      </c>
      <c r="H49" s="11">
        <f>IF(AND(Inputs!$F$14&gt;0,H$2=Inputs!$F$14),Inputs!$F$27,0)</f>
        <v/>
      </c>
      <c r="I49" s="11">
        <f>IF(AND(Inputs!$F$14&gt;0,I$2=Inputs!$F$14),Inputs!$F$27,0)</f>
        <v/>
      </c>
      <c r="J49" s="11">
        <f>IF(AND(Inputs!$F$14&gt;0,J$2=Inputs!$F$14),Inputs!$F$27,0)</f>
        <v/>
      </c>
      <c r="K49" s="11">
        <f>IF(AND(Inputs!$F$14&gt;0,K$2=Inputs!$F$14),Inputs!$F$27,0)</f>
        <v/>
      </c>
      <c r="L49" s="11">
        <f>IF(AND(Inputs!$F$14&gt;0,L$2=Inputs!$F$14),Inputs!$F$27,0)</f>
        <v/>
      </c>
      <c r="M49" s="11">
        <f>IF(AND(Inputs!$F$14&gt;0,M$2=Inputs!$F$14),Inputs!$F$27,0)</f>
        <v/>
      </c>
      <c r="N49" s="11">
        <f>IF(AND(Inputs!$F$14&gt;0,N$2=Inputs!$F$14),Inputs!$F$27,0)</f>
        <v/>
      </c>
    </row>
    <row r="50">
      <c r="B50" s="3" t="inlineStr">
        <is>
          <t>Unlevered Net Cash Flow</t>
        </is>
      </c>
      <c r="C50" s="18">
        <f>C42+C43+C52</f>
        <v/>
      </c>
      <c r="D50" s="18">
        <f>IF(D$2&lt;=Inputs!$B$40,D28,0)+D46+D47</f>
        <v/>
      </c>
      <c r="E50" s="18">
        <f>IF(E$2&lt;=Inputs!$B$40,E28,0)+E46+E47</f>
        <v/>
      </c>
      <c r="F50" s="18">
        <f>IF(F$2&lt;=Inputs!$B$40,F28,0)+F46+F47</f>
        <v/>
      </c>
      <c r="G50" s="18">
        <f>IF(G$2&lt;=Inputs!$B$40,G28,0)+G46+G47</f>
        <v/>
      </c>
      <c r="H50" s="18">
        <f>IF(H$2&lt;=Inputs!$B$40,H28,0)+H46+H47</f>
        <v/>
      </c>
      <c r="I50" s="18">
        <f>IF(I$2&lt;=Inputs!$B$40,I28,0)+I46+I47</f>
        <v/>
      </c>
      <c r="J50" s="18">
        <f>IF(J$2&lt;=Inputs!$B$40,J28,0)+J46+J47</f>
        <v/>
      </c>
      <c r="K50" s="18">
        <f>IF(K$2&lt;=Inputs!$B$40,K28,0)+K46+K47</f>
        <v/>
      </c>
      <c r="L50" s="18">
        <f>IF(L$2&lt;=Inputs!$B$40,L28,0)+L46+L47</f>
        <v/>
      </c>
      <c r="M50" s="18">
        <f>IF(M$2&lt;=Inputs!$B$40,M28,0)+M46+M47</f>
        <v/>
      </c>
      <c r="N50" s="18">
        <f>IF(N$2&lt;=Inputs!$B$40,N28,0)+0</f>
        <v/>
      </c>
    </row>
    <row r="51">
      <c r="B51" s="3" t="inlineStr">
        <is>
          <t>Levered Net Cash Flow</t>
        </is>
      </c>
      <c r="C51" s="18">
        <f>C42+C43+C44+C45+C52</f>
        <v/>
      </c>
      <c r="D51" s="18">
        <f>IF(D$2&lt;=Inputs!$B$40,D37,0)+D46+D47+D48+D49</f>
        <v/>
      </c>
      <c r="E51" s="18">
        <f>IF(E$2&lt;=Inputs!$B$40,E37,0)+E46+E47+E48+E49</f>
        <v/>
      </c>
      <c r="F51" s="18">
        <f>IF(F$2&lt;=Inputs!$B$40,F37,0)+F46+F47+F48+F49</f>
        <v/>
      </c>
      <c r="G51" s="18">
        <f>IF(G$2&lt;=Inputs!$B$40,G37,0)+G46+G47+G48+G49</f>
        <v/>
      </c>
      <c r="H51" s="18">
        <f>IF(H$2&lt;=Inputs!$B$40,H37,0)+H46+H47+H48+H49</f>
        <v/>
      </c>
      <c r="I51" s="18">
        <f>IF(I$2&lt;=Inputs!$B$40,I37,0)+I46+I47+I48+I49</f>
        <v/>
      </c>
      <c r="J51" s="18">
        <f>IF(J$2&lt;=Inputs!$B$40,J37,0)+J46+J47+J48+J49</f>
        <v/>
      </c>
      <c r="K51" s="18">
        <f>IF(K$2&lt;=Inputs!$B$40,K37,0)+K46+K47+K48+K49</f>
        <v/>
      </c>
      <c r="L51" s="18">
        <f>IF(L$2&lt;=Inputs!$B$40,L37,0)+L46+L47+L48+L49</f>
        <v/>
      </c>
      <c r="M51" s="18">
        <f>IF(M$2&lt;=Inputs!$B$40,M37,0)+M46+M47+M48+M49</f>
        <v/>
      </c>
      <c r="N51" s="18">
        <f>IF(N$2&lt;=Inputs!$B$40,N37,0)+0+0+N49</f>
        <v/>
      </c>
    </row>
    <row r="52">
      <c r="B52" t="inlineStr">
        <is>
          <t>Renovation Budget (funded at close)</t>
        </is>
      </c>
      <c r="C52" s="11">
        <f>-Inputs!$F$38</f>
        <v/>
      </c>
    </row>
    <row r="53">
      <c r="B53" s="3" t="inlineStr">
        <is>
          <t>RETURNS (Project Level)</t>
        </is>
      </c>
    </row>
    <row r="54">
      <c r="B54" t="inlineStr">
        <is>
          <t>Unlevered IRR</t>
        </is>
      </c>
      <c r="C54" s="20">
        <f>IFERROR(IRR(C50:N50,0.1),"")</f>
        <v/>
      </c>
    </row>
    <row r="55">
      <c r="B55" t="inlineStr">
        <is>
          <t>Levered IRR</t>
        </is>
      </c>
      <c r="C55" s="25">
        <f>IFERROR(IRR(C51:N51,0.1),"")</f>
        <v/>
      </c>
    </row>
    <row r="56">
      <c r="B56" t="inlineStr">
        <is>
          <t>Equity Multiple</t>
        </is>
      </c>
      <c r="C56" s="26">
        <f>IFERROR(1+SUM(C51:N51)/(-C51),"")</f>
        <v/>
      </c>
    </row>
    <row r="57">
      <c r="B57" t="inlineStr">
        <is>
          <t>Total Profit</t>
        </is>
      </c>
      <c r="C57" s="11">
        <f>SUM(C51:N51)</f>
        <v/>
      </c>
    </row>
    <row r="58">
      <c r="B58" t="inlineStr">
        <is>
          <t>Avg Cash-on-Cash (Hold Yrs)</t>
        </is>
      </c>
      <c r="C58" s="20">
        <f>IFERROR(AVERAGEIFS(D37:N37,D2:N2,"&lt;="&amp;Inputs!$B$40)/Inputs!$B$54,"")</f>
        <v/>
      </c>
    </row>
    <row r="59">
      <c r="B59" t="inlineStr">
        <is>
          <t>Avg DSCR (Hold Yrs)</t>
        </is>
      </c>
      <c r="C59" s="27">
        <f>IFERROR(AVERAGEIFS(D25:N25,D2:N2,"&lt;="&amp;Inputs!$B$40)/AVERAGEIFS(D34:N34,D2:N2,"&lt;="&amp;Inputs!$B$40),"")</f>
        <v/>
      </c>
    </row>
    <row r="61">
      <c r="B61" s="3" t="inlineStr">
        <is>
          <t>RENOVATION DETAIL</t>
        </is>
      </c>
    </row>
    <row r="62">
      <c r="B62" s="2" t="inlineStr">
        <is>
          <t>Units Renovated (cumulative)</t>
        </is>
      </c>
      <c r="D62" s="28">
        <f>MIN(Inputs!$F$31,MAX(0,(D$2-Inputs!$F$36+1)*Inputs!$F$34))</f>
        <v/>
      </c>
      <c r="E62" s="28">
        <f>MIN(Inputs!$F$31,MAX(0,(E$2-Inputs!$F$36+1)*Inputs!$F$34))</f>
        <v/>
      </c>
      <c r="F62" s="28">
        <f>MIN(Inputs!$F$31,MAX(0,(F$2-Inputs!$F$36+1)*Inputs!$F$34))</f>
        <v/>
      </c>
      <c r="G62" s="28">
        <f>MIN(Inputs!$F$31,MAX(0,(G$2-Inputs!$F$36+1)*Inputs!$F$34))</f>
        <v/>
      </c>
      <c r="H62" s="28">
        <f>MIN(Inputs!$F$31,MAX(0,(H$2-Inputs!$F$36+1)*Inputs!$F$34))</f>
        <v/>
      </c>
      <c r="I62" s="28">
        <f>MIN(Inputs!$F$31,MAX(0,(I$2-Inputs!$F$36+1)*Inputs!$F$34))</f>
        <v/>
      </c>
      <c r="J62" s="28">
        <f>MIN(Inputs!$F$31,MAX(0,(J$2-Inputs!$F$36+1)*Inputs!$F$34))</f>
        <v/>
      </c>
      <c r="K62" s="28">
        <f>MIN(Inputs!$F$31,MAX(0,(K$2-Inputs!$F$36+1)*Inputs!$F$34))</f>
        <v/>
      </c>
      <c r="L62" s="28">
        <f>MIN(Inputs!$F$31,MAX(0,(L$2-Inputs!$F$36+1)*Inputs!$F$34))</f>
        <v/>
      </c>
      <c r="M62" s="28">
        <f>MIN(Inputs!$F$31,MAX(0,(M$2-Inputs!$F$36+1)*Inputs!$F$34))</f>
        <v/>
      </c>
      <c r="N62" s="28">
        <f>MIN(Inputs!$F$31,MAX(0,(N$2-Inputs!$F$36+1)*Inputs!$F$34))</f>
        <v/>
      </c>
    </row>
    <row r="63">
      <c r="B63" s="2" t="inlineStr">
        <is>
          <t>Rent Premium Captured</t>
        </is>
      </c>
      <c r="D63" s="22">
        <f>MIN(Inputs!$F$31,MAX(0,(D$2-Inputs!$F$36+1)*Inputs!$F$34))*Inputs!$F$33*12*(1+Inputs!$B$13)^(D$2-1)</f>
        <v/>
      </c>
      <c r="E63" s="22">
        <f>MIN(Inputs!$F$31,MAX(0,(E$2-Inputs!$F$36+1)*Inputs!$F$34))*Inputs!$F$33*12*(1+Inputs!$B$13)^(E$2-1)</f>
        <v/>
      </c>
      <c r="F63" s="22">
        <f>MIN(Inputs!$F$31,MAX(0,(F$2-Inputs!$F$36+1)*Inputs!$F$34))*Inputs!$F$33*12*(1+Inputs!$B$13)^(F$2-1)</f>
        <v/>
      </c>
      <c r="G63" s="22">
        <f>MIN(Inputs!$F$31,MAX(0,(G$2-Inputs!$F$36+1)*Inputs!$F$34))*Inputs!$F$33*12*(1+Inputs!$B$13)^(G$2-1)</f>
        <v/>
      </c>
      <c r="H63" s="22">
        <f>MIN(Inputs!$F$31,MAX(0,(H$2-Inputs!$F$36+1)*Inputs!$F$34))*Inputs!$F$33*12*(1+Inputs!$B$13)^(H$2-1)</f>
        <v/>
      </c>
      <c r="I63" s="22">
        <f>MIN(Inputs!$F$31,MAX(0,(I$2-Inputs!$F$36+1)*Inputs!$F$34))*Inputs!$F$33*12*(1+Inputs!$B$13)^(I$2-1)</f>
        <v/>
      </c>
      <c r="J63" s="22">
        <f>MIN(Inputs!$F$31,MAX(0,(J$2-Inputs!$F$36+1)*Inputs!$F$34))*Inputs!$F$33*12*(1+Inputs!$B$13)^(J$2-1)</f>
        <v/>
      </c>
      <c r="K63" s="22">
        <f>MIN(Inputs!$F$31,MAX(0,(K$2-Inputs!$F$36+1)*Inputs!$F$34))*Inputs!$F$33*12*(1+Inputs!$B$13)^(K$2-1)</f>
        <v/>
      </c>
      <c r="L63" s="22">
        <f>MIN(Inputs!$F$31,MAX(0,(L$2-Inputs!$F$36+1)*Inputs!$F$34))*Inputs!$F$33*12*(1+Inputs!$B$13)^(L$2-1)</f>
        <v/>
      </c>
      <c r="M63" s="22">
        <f>MIN(Inputs!$F$31,MAX(0,(M$2-Inputs!$F$36+1)*Inputs!$F$34))*Inputs!$F$33*12*(1+Inputs!$B$13)^(M$2-1)</f>
        <v/>
      </c>
      <c r="N63" s="22">
        <f>MIN(Inputs!$F$31,MAX(0,(N$2-Inputs!$F$36+1)*Inputs!$F$34))*Inputs!$F$33*12*(1+Inputs!$B$13)^(N$2-1)</f>
        <v/>
      </c>
    </row>
    <row r="64">
      <c r="B64" s="2" t="inlineStr">
        <is>
          <t>Downtime Loss</t>
        </is>
      </c>
      <c r="D64" s="22">
        <f>-(MIN(Inputs!$F$31,MAX(0,(D$2-Inputs!$F$36+1)*Inputs!$F$34))-MIN(Inputs!$F$31,MAX(0,(D$2-Inputs!$F$36)*Inputs!$F$34)))*Inputs!$F$35*Inputs!$H$11*(1+Inputs!$B$13)^(D$2-1)</f>
        <v/>
      </c>
      <c r="E64" s="22">
        <f>-(MIN(Inputs!$F$31,MAX(0,(E$2-Inputs!$F$36+1)*Inputs!$F$34))-MIN(Inputs!$F$31,MAX(0,(E$2-Inputs!$F$36)*Inputs!$F$34)))*Inputs!$F$35*Inputs!$H$11*(1+Inputs!$B$13)^(E$2-1)</f>
        <v/>
      </c>
      <c r="F64" s="22">
        <f>-(MIN(Inputs!$F$31,MAX(0,(F$2-Inputs!$F$36+1)*Inputs!$F$34))-MIN(Inputs!$F$31,MAX(0,(F$2-Inputs!$F$36)*Inputs!$F$34)))*Inputs!$F$35*Inputs!$H$11*(1+Inputs!$B$13)^(F$2-1)</f>
        <v/>
      </c>
      <c r="G64" s="22">
        <f>-(MIN(Inputs!$F$31,MAX(0,(G$2-Inputs!$F$36+1)*Inputs!$F$34))-MIN(Inputs!$F$31,MAX(0,(G$2-Inputs!$F$36)*Inputs!$F$34)))*Inputs!$F$35*Inputs!$H$11*(1+Inputs!$B$13)^(G$2-1)</f>
        <v/>
      </c>
      <c r="H64" s="22">
        <f>-(MIN(Inputs!$F$31,MAX(0,(H$2-Inputs!$F$36+1)*Inputs!$F$34))-MIN(Inputs!$F$31,MAX(0,(H$2-Inputs!$F$36)*Inputs!$F$34)))*Inputs!$F$35*Inputs!$H$11*(1+Inputs!$B$13)^(H$2-1)</f>
        <v/>
      </c>
      <c r="I64" s="22">
        <f>-(MIN(Inputs!$F$31,MAX(0,(I$2-Inputs!$F$36+1)*Inputs!$F$34))-MIN(Inputs!$F$31,MAX(0,(I$2-Inputs!$F$36)*Inputs!$F$34)))*Inputs!$F$35*Inputs!$H$11*(1+Inputs!$B$13)^(I$2-1)</f>
        <v/>
      </c>
      <c r="J64" s="22">
        <f>-(MIN(Inputs!$F$31,MAX(0,(J$2-Inputs!$F$36+1)*Inputs!$F$34))-MIN(Inputs!$F$31,MAX(0,(J$2-Inputs!$F$36)*Inputs!$F$34)))*Inputs!$F$35*Inputs!$H$11*(1+Inputs!$B$13)^(J$2-1)</f>
        <v/>
      </c>
      <c r="K64" s="22">
        <f>-(MIN(Inputs!$F$31,MAX(0,(K$2-Inputs!$F$36+1)*Inputs!$F$34))-MIN(Inputs!$F$31,MAX(0,(K$2-Inputs!$F$36)*Inputs!$F$34)))*Inputs!$F$35*Inputs!$H$11*(1+Inputs!$B$13)^(K$2-1)</f>
        <v/>
      </c>
      <c r="L64" s="22">
        <f>-(MIN(Inputs!$F$31,MAX(0,(L$2-Inputs!$F$36+1)*Inputs!$F$34))-MIN(Inputs!$F$31,MAX(0,(L$2-Inputs!$F$36)*Inputs!$F$34)))*Inputs!$F$35*Inputs!$H$11*(1+Inputs!$B$13)^(L$2-1)</f>
        <v/>
      </c>
      <c r="M64" s="22">
        <f>-(MIN(Inputs!$F$31,MAX(0,(M$2-Inputs!$F$36+1)*Inputs!$F$34))-MIN(Inputs!$F$31,MAX(0,(M$2-Inputs!$F$36)*Inputs!$F$34)))*Inputs!$F$35*Inputs!$H$11*(1+Inputs!$B$13)^(M$2-1)</f>
        <v/>
      </c>
      <c r="N64" s="22">
        <f>-(MIN(Inputs!$F$31,MAX(0,(N$2-Inputs!$F$36+1)*Inputs!$F$34))-MIN(Inputs!$F$31,MAX(0,(N$2-Inputs!$F$36)*Inputs!$F$34)))*Inputs!$F$35*Inputs!$H$11*(1+Inputs!$B$13)^(N$2-1)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LP / GP DISTRIBUTION WATERFALL (Annual)</t>
        </is>
      </c>
    </row>
    <row r="2">
      <c r="B2" t="inlineStr">
        <is>
          <t>LP Capital</t>
        </is>
      </c>
      <c r="C2" s="29">
        <f>Inputs!$B$55</f>
        <v/>
      </c>
    </row>
    <row r="3">
      <c r="B3" t="inlineStr">
        <is>
          <t>GP Capital</t>
        </is>
      </c>
      <c r="C3" s="29">
        <f>Inputs!$B$56</f>
        <v/>
      </c>
    </row>
    <row r="5">
      <c r="B5" s="3" t="inlineStr">
        <is>
          <t>Year</t>
        </is>
      </c>
      <c r="C5" s="3">
        <f>'Annual CF'!C2</f>
        <v/>
      </c>
      <c r="D5" s="3">
        <f>'Annual CF'!D2</f>
        <v/>
      </c>
      <c r="E5" s="3">
        <f>'Annual CF'!E2</f>
        <v/>
      </c>
      <c r="F5" s="3">
        <f>'Annual CF'!F2</f>
        <v/>
      </c>
      <c r="G5" s="3">
        <f>'Annual CF'!G2</f>
        <v/>
      </c>
      <c r="H5" s="3">
        <f>'Annual CF'!H2</f>
        <v/>
      </c>
      <c r="I5" s="3">
        <f>'Annual CF'!I2</f>
        <v/>
      </c>
      <c r="J5" s="3">
        <f>'Annual CF'!J2</f>
        <v/>
      </c>
      <c r="K5" s="3">
        <f>'Annual CF'!K2</f>
        <v/>
      </c>
      <c r="L5" s="3">
        <f>'Annual CF'!L2</f>
        <v/>
      </c>
      <c r="M5" s="3">
        <f>'Annual CF'!M2</f>
        <v/>
      </c>
      <c r="N5" s="3">
        <f>'Annual CF'!N2</f>
        <v/>
      </c>
    </row>
    <row r="6">
      <c r="B6" s="3" t="inlineStr">
        <is>
          <t>Distributable Cash Flow</t>
        </is>
      </c>
      <c r="D6" s="18">
        <f>'Annual CF'!D51</f>
        <v/>
      </c>
      <c r="E6" s="18">
        <f>'Annual CF'!E51</f>
        <v/>
      </c>
      <c r="F6" s="18">
        <f>'Annual CF'!F51</f>
        <v/>
      </c>
      <c r="G6" s="18">
        <f>'Annual CF'!G51</f>
        <v/>
      </c>
      <c r="H6" s="18">
        <f>'Annual CF'!H51</f>
        <v/>
      </c>
      <c r="I6" s="18">
        <f>'Annual CF'!I51</f>
        <v/>
      </c>
      <c r="J6" s="18">
        <f>'Annual CF'!J51</f>
        <v/>
      </c>
      <c r="K6" s="18">
        <f>'Annual CF'!K51</f>
        <v/>
      </c>
      <c r="L6" s="18">
        <f>'Annual CF'!L51</f>
        <v/>
      </c>
      <c r="M6" s="18">
        <f>'Annual CF'!M51</f>
        <v/>
      </c>
      <c r="N6" s="18">
        <f>'Annual CF'!N51</f>
        <v/>
      </c>
    </row>
    <row r="8">
      <c r="B8" s="3" t="inlineStr">
        <is>
          <t>TIER 1: LP Preferred Return</t>
        </is>
      </c>
    </row>
    <row r="9">
      <c r="B9" t="inlineStr">
        <is>
          <t>Pref Owed - Beginning</t>
        </is>
      </c>
      <c r="D9" s="11">
        <f>IF(D$5=1,0,C12)</f>
        <v/>
      </c>
      <c r="E9" s="11">
        <f>IF(E$5=1,0,D12)</f>
        <v/>
      </c>
      <c r="F9" s="11">
        <f>IF(F$5=1,0,E12)</f>
        <v/>
      </c>
      <c r="G9" s="11">
        <f>IF(G$5=1,0,F12)</f>
        <v/>
      </c>
      <c r="H9" s="11">
        <f>IF(H$5=1,0,G12)</f>
        <v/>
      </c>
      <c r="I9" s="11">
        <f>IF(I$5=1,0,H12)</f>
        <v/>
      </c>
      <c r="J9" s="11">
        <f>IF(J$5=1,0,I12)</f>
        <v/>
      </c>
      <c r="K9" s="11">
        <f>IF(K$5=1,0,J12)</f>
        <v/>
      </c>
      <c r="L9" s="11">
        <f>IF(L$5=1,0,K12)</f>
        <v/>
      </c>
      <c r="M9" s="11">
        <f>IF(M$5=1,0,L12)</f>
        <v/>
      </c>
      <c r="N9" s="11">
        <f>IF(N$5=1,0,M12)</f>
        <v/>
      </c>
    </row>
    <row r="10">
      <c r="B10" t="inlineStr">
        <is>
          <t>Pref Accrual</t>
        </is>
      </c>
      <c r="D10" s="11">
        <f>IF(D$5&lt;=Inputs!$B$40,D15*Inputs!$B$47,0)</f>
        <v/>
      </c>
      <c r="E10" s="11">
        <f>IF(E$5&lt;=Inputs!$B$40,E15*Inputs!$B$47,0)</f>
        <v/>
      </c>
      <c r="F10" s="11">
        <f>IF(F$5&lt;=Inputs!$B$40,F15*Inputs!$B$47,0)</f>
        <v/>
      </c>
      <c r="G10" s="11">
        <f>IF(G$5&lt;=Inputs!$B$40,G15*Inputs!$B$47,0)</f>
        <v/>
      </c>
      <c r="H10" s="11">
        <f>IF(H$5&lt;=Inputs!$B$40,H15*Inputs!$B$47,0)</f>
        <v/>
      </c>
      <c r="I10" s="11">
        <f>IF(I$5&lt;=Inputs!$B$40,I15*Inputs!$B$47,0)</f>
        <v/>
      </c>
      <c r="J10" s="11">
        <f>IF(J$5&lt;=Inputs!$B$40,J15*Inputs!$B$47,0)</f>
        <v/>
      </c>
      <c r="K10" s="11">
        <f>IF(K$5&lt;=Inputs!$B$40,K15*Inputs!$B$47,0)</f>
        <v/>
      </c>
      <c r="L10" s="11">
        <f>IF(L$5&lt;=Inputs!$B$40,L15*Inputs!$B$47,0)</f>
        <v/>
      </c>
      <c r="M10" s="11">
        <f>IF(M$5&lt;=Inputs!$B$40,M15*Inputs!$B$47,0)</f>
        <v/>
      </c>
      <c r="N10" s="11">
        <f>IF(N$5&lt;=Inputs!$B$40,N15*Inputs!$B$47,0)</f>
        <v/>
      </c>
    </row>
    <row r="11">
      <c r="B11" t="inlineStr">
        <is>
          <t>Pref Paid to LP</t>
        </is>
      </c>
      <c r="D11" s="11">
        <f>MIN(MAX(D6,0),D9+D10)</f>
        <v/>
      </c>
      <c r="E11" s="11">
        <f>MIN(MAX(E6,0),E9+E10)</f>
        <v/>
      </c>
      <c r="F11" s="11">
        <f>MIN(MAX(F6,0),F9+F10)</f>
        <v/>
      </c>
      <c r="G11" s="11">
        <f>MIN(MAX(G6,0),G9+G10)</f>
        <v/>
      </c>
      <c r="H11" s="11">
        <f>MIN(MAX(H6,0),H9+H10)</f>
        <v/>
      </c>
      <c r="I11" s="11">
        <f>MIN(MAX(I6,0),I9+I10)</f>
        <v/>
      </c>
      <c r="J11" s="11">
        <f>MIN(MAX(J6,0),J9+J10)</f>
        <v/>
      </c>
      <c r="K11" s="11">
        <f>MIN(MAX(K6,0),K9+K10)</f>
        <v/>
      </c>
      <c r="L11" s="11">
        <f>MIN(MAX(L6,0),L9+L10)</f>
        <v/>
      </c>
      <c r="M11" s="11">
        <f>MIN(MAX(M6,0),M9+M10)</f>
        <v/>
      </c>
      <c r="N11" s="11">
        <f>MIN(MAX(N6,0),N9+N10)</f>
        <v/>
      </c>
    </row>
    <row r="12">
      <c r="B12" t="inlineStr">
        <is>
          <t>Pref Owed - Ending</t>
        </is>
      </c>
      <c r="D12" s="11">
        <f>D9+D10-D11</f>
        <v/>
      </c>
      <c r="E12" s="11">
        <f>E9+E10-E11</f>
        <v/>
      </c>
      <c r="F12" s="11">
        <f>F9+F10-F11</f>
        <v/>
      </c>
      <c r="G12" s="11">
        <f>G9+G10-G11</f>
        <v/>
      </c>
      <c r="H12" s="11">
        <f>H9+H10-H11</f>
        <v/>
      </c>
      <c r="I12" s="11">
        <f>I9+I10-I11</f>
        <v/>
      </c>
      <c r="J12" s="11">
        <f>J9+J10-J11</f>
        <v/>
      </c>
      <c r="K12" s="11">
        <f>K9+K10-K11</f>
        <v/>
      </c>
      <c r="L12" s="11">
        <f>L9+L10-L11</f>
        <v/>
      </c>
      <c r="M12" s="11">
        <f>M9+M10-M11</f>
        <v/>
      </c>
      <c r="N12" s="11">
        <f>N9+N10-N11</f>
        <v/>
      </c>
    </row>
    <row r="14">
      <c r="B14" s="3" t="inlineStr">
        <is>
          <t>TIER 2: Return of Capital</t>
        </is>
      </c>
    </row>
    <row r="15">
      <c r="B15" t="inlineStr">
        <is>
          <t>LP Unreturned Capital - Beg</t>
        </is>
      </c>
      <c r="D15" s="11">
        <f>IF(D$5=1,$C$2,C17)</f>
        <v/>
      </c>
      <c r="E15" s="11">
        <f>IF(E$5=1,$C$2,D17)</f>
        <v/>
      </c>
      <c r="F15" s="11">
        <f>IF(F$5=1,$C$2,E17)</f>
        <v/>
      </c>
      <c r="G15" s="11">
        <f>IF(G$5=1,$C$2,F17)</f>
        <v/>
      </c>
      <c r="H15" s="11">
        <f>IF(H$5=1,$C$2,G17)</f>
        <v/>
      </c>
      <c r="I15" s="11">
        <f>IF(I$5=1,$C$2,H17)</f>
        <v/>
      </c>
      <c r="J15" s="11">
        <f>IF(J$5=1,$C$2,I17)</f>
        <v/>
      </c>
      <c r="K15" s="11">
        <f>IF(K$5=1,$C$2,J17)</f>
        <v/>
      </c>
      <c r="L15" s="11">
        <f>IF(L$5=1,$C$2,K17)</f>
        <v/>
      </c>
      <c r="M15" s="11">
        <f>IF(M$5=1,$C$2,L17)</f>
        <v/>
      </c>
      <c r="N15" s="11">
        <f>IF(N$5=1,$C$2,M17)</f>
        <v/>
      </c>
    </row>
    <row r="16">
      <c r="B16" t="inlineStr">
        <is>
          <t>LP Return of Capital</t>
        </is>
      </c>
      <c r="D16" s="11">
        <f>MIN(MAX(D6-D11,0),D15)</f>
        <v/>
      </c>
      <c r="E16" s="11">
        <f>MIN(MAX(E6-E11,0),E15)</f>
        <v/>
      </c>
      <c r="F16" s="11">
        <f>MIN(MAX(F6-F11,0),F15)</f>
        <v/>
      </c>
      <c r="G16" s="11">
        <f>MIN(MAX(G6-G11,0),G15)</f>
        <v/>
      </c>
      <c r="H16" s="11">
        <f>MIN(MAX(H6-H11,0),H15)</f>
        <v/>
      </c>
      <c r="I16" s="11">
        <f>MIN(MAX(I6-I11,0),I15)</f>
        <v/>
      </c>
      <c r="J16" s="11">
        <f>MIN(MAX(J6-J11,0),J15)</f>
        <v/>
      </c>
      <c r="K16" s="11">
        <f>MIN(MAX(K6-K11,0),K15)</f>
        <v/>
      </c>
      <c r="L16" s="11">
        <f>MIN(MAX(L6-L11,0),L15)</f>
        <v/>
      </c>
      <c r="M16" s="11">
        <f>MIN(MAX(M6-M11,0),M15)</f>
        <v/>
      </c>
      <c r="N16" s="11">
        <f>MIN(MAX(N6-N11,0),N15)</f>
        <v/>
      </c>
    </row>
    <row r="17">
      <c r="B17" t="inlineStr">
        <is>
          <t>LP Unreturned Capital - End</t>
        </is>
      </c>
      <c r="D17" s="11">
        <f>D15-D16</f>
        <v/>
      </c>
      <c r="E17" s="11">
        <f>E15-E16</f>
        <v/>
      </c>
      <c r="F17" s="11">
        <f>F15-F16</f>
        <v/>
      </c>
      <c r="G17" s="11">
        <f>G15-G16</f>
        <v/>
      </c>
      <c r="H17" s="11">
        <f>H15-H16</f>
        <v/>
      </c>
      <c r="I17" s="11">
        <f>I15-I16</f>
        <v/>
      </c>
      <c r="J17" s="11">
        <f>J15-J16</f>
        <v/>
      </c>
      <c r="K17" s="11">
        <f>K15-K16</f>
        <v/>
      </c>
      <c r="L17" s="11">
        <f>L15-L16</f>
        <v/>
      </c>
      <c r="M17" s="11">
        <f>M15-M16</f>
        <v/>
      </c>
      <c r="N17" s="11">
        <f>N15-N16</f>
        <v/>
      </c>
    </row>
    <row r="18">
      <c r="B18" t="inlineStr">
        <is>
          <t>GP Unreturned Capital - Beg</t>
        </is>
      </c>
      <c r="D18" s="11">
        <f>IF(D$5=1,$C$3,C20)</f>
        <v/>
      </c>
      <c r="E18" s="11">
        <f>IF(E$5=1,$C$3,D20)</f>
        <v/>
      </c>
      <c r="F18" s="11">
        <f>IF(F$5=1,$C$3,E20)</f>
        <v/>
      </c>
      <c r="G18" s="11">
        <f>IF(G$5=1,$C$3,F20)</f>
        <v/>
      </c>
      <c r="H18" s="11">
        <f>IF(H$5=1,$C$3,G20)</f>
        <v/>
      </c>
      <c r="I18" s="11">
        <f>IF(I$5=1,$C$3,H20)</f>
        <v/>
      </c>
      <c r="J18" s="11">
        <f>IF(J$5=1,$C$3,I20)</f>
        <v/>
      </c>
      <c r="K18" s="11">
        <f>IF(K$5=1,$C$3,J20)</f>
        <v/>
      </c>
      <c r="L18" s="11">
        <f>IF(L$5=1,$C$3,K20)</f>
        <v/>
      </c>
      <c r="M18" s="11">
        <f>IF(M$5=1,$C$3,L20)</f>
        <v/>
      </c>
      <c r="N18" s="11">
        <f>IF(N$5=1,$C$3,M20)</f>
        <v/>
      </c>
    </row>
    <row r="19">
      <c r="B19" t="inlineStr">
        <is>
          <t>GP Return of Capital</t>
        </is>
      </c>
      <c r="D19" s="11">
        <f>MIN(MAX(D6-D11-D16,0),D18)</f>
        <v/>
      </c>
      <c r="E19" s="11">
        <f>MIN(MAX(E6-E11-E16,0),E18)</f>
        <v/>
      </c>
      <c r="F19" s="11">
        <f>MIN(MAX(F6-F11-F16,0),F18)</f>
        <v/>
      </c>
      <c r="G19" s="11">
        <f>MIN(MAX(G6-G11-G16,0),G18)</f>
        <v/>
      </c>
      <c r="H19" s="11">
        <f>MIN(MAX(H6-H11-H16,0),H18)</f>
        <v/>
      </c>
      <c r="I19" s="11">
        <f>MIN(MAX(I6-I11-I16,0),I18)</f>
        <v/>
      </c>
      <c r="J19" s="11">
        <f>MIN(MAX(J6-J11-J16,0),J18)</f>
        <v/>
      </c>
      <c r="K19" s="11">
        <f>MIN(MAX(K6-K11-K16,0),K18)</f>
        <v/>
      </c>
      <c r="L19" s="11">
        <f>MIN(MAX(L6-L11-L16,0),L18)</f>
        <v/>
      </c>
      <c r="M19" s="11">
        <f>MIN(MAX(M6-M11-M16,0),M18)</f>
        <v/>
      </c>
      <c r="N19" s="11">
        <f>MIN(MAX(N6-N11-N16,0),N18)</f>
        <v/>
      </c>
    </row>
    <row r="20">
      <c r="B20" t="inlineStr">
        <is>
          <t>GP Unreturned Capital - End</t>
        </is>
      </c>
      <c r="D20" s="11">
        <f>D18-D19</f>
        <v/>
      </c>
      <c r="E20" s="11">
        <f>E18-E19</f>
        <v/>
      </c>
      <c r="F20" s="11">
        <f>F18-F19</f>
        <v/>
      </c>
      <c r="G20" s="11">
        <f>G18-G19</f>
        <v/>
      </c>
      <c r="H20" s="11">
        <f>H18-H19</f>
        <v/>
      </c>
      <c r="I20" s="11">
        <f>I18-I19</f>
        <v/>
      </c>
      <c r="J20" s="11">
        <f>J18-J19</f>
        <v/>
      </c>
      <c r="K20" s="11">
        <f>K18-K19</f>
        <v/>
      </c>
      <c r="L20" s="11">
        <f>L18-L19</f>
        <v/>
      </c>
      <c r="M20" s="11">
        <f>M18-M19</f>
        <v/>
      </c>
      <c r="N20" s="11">
        <f>N18-N19</f>
        <v/>
      </c>
    </row>
    <row r="22">
      <c r="B22" s="3" t="inlineStr">
        <is>
          <t>TIER 3: Residual Split</t>
        </is>
      </c>
    </row>
    <row r="23">
      <c r="B23" t="inlineStr">
        <is>
          <t>Residual Cash Flow</t>
        </is>
      </c>
      <c r="D23" s="11">
        <f>MAX(D6-D11-D16-D19,0)</f>
        <v/>
      </c>
      <c r="E23" s="11">
        <f>MAX(E6-E11-E16-E19,0)</f>
        <v/>
      </c>
      <c r="F23" s="11">
        <f>MAX(F6-F11-F16-F19,0)</f>
        <v/>
      </c>
      <c r="G23" s="11">
        <f>MAX(G6-G11-G16-G19,0)</f>
        <v/>
      </c>
      <c r="H23" s="11">
        <f>MAX(H6-H11-H16-H19,0)</f>
        <v/>
      </c>
      <c r="I23" s="11">
        <f>MAX(I6-I11-I16-I19,0)</f>
        <v/>
      </c>
      <c r="J23" s="11">
        <f>MAX(J6-J11-J16-J19,0)</f>
        <v/>
      </c>
      <c r="K23" s="11">
        <f>MAX(K6-K11-K16-K19,0)</f>
        <v/>
      </c>
      <c r="L23" s="11">
        <f>MAX(L6-L11-L16-L19,0)</f>
        <v/>
      </c>
      <c r="M23" s="11">
        <f>MAX(M6-M11-M16-M19,0)</f>
        <v/>
      </c>
      <c r="N23" s="11">
        <f>MAX(N6-N11-N16-N19,0)</f>
        <v/>
      </c>
    </row>
    <row r="24">
      <c r="B24" t="inlineStr">
        <is>
          <t>LP Residual Share</t>
        </is>
      </c>
      <c r="D24" s="11">
        <f>D23*Inputs!$B$48</f>
        <v/>
      </c>
      <c r="E24" s="11">
        <f>E23*Inputs!$B$48</f>
        <v/>
      </c>
      <c r="F24" s="11">
        <f>F23*Inputs!$B$48</f>
        <v/>
      </c>
      <c r="G24" s="11">
        <f>G23*Inputs!$B$48</f>
        <v/>
      </c>
      <c r="H24" s="11">
        <f>H23*Inputs!$B$48</f>
        <v/>
      </c>
      <c r="I24" s="11">
        <f>I23*Inputs!$B$48</f>
        <v/>
      </c>
      <c r="J24" s="11">
        <f>J23*Inputs!$B$48</f>
        <v/>
      </c>
      <c r="K24" s="11">
        <f>K23*Inputs!$B$48</f>
        <v/>
      </c>
      <c r="L24" s="11">
        <f>L23*Inputs!$B$48</f>
        <v/>
      </c>
      <c r="M24" s="11">
        <f>M23*Inputs!$B$48</f>
        <v/>
      </c>
      <c r="N24" s="11">
        <f>N23*Inputs!$B$48</f>
        <v/>
      </c>
    </row>
    <row r="25">
      <c r="B25" t="inlineStr">
        <is>
          <t>GP Residual Share</t>
        </is>
      </c>
      <c r="D25" s="11">
        <f>D23*Inputs!$B$49</f>
        <v/>
      </c>
      <c r="E25" s="11">
        <f>E23*Inputs!$B$49</f>
        <v/>
      </c>
      <c r="F25" s="11">
        <f>F23*Inputs!$B$49</f>
        <v/>
      </c>
      <c r="G25" s="11">
        <f>G23*Inputs!$B$49</f>
        <v/>
      </c>
      <c r="H25" s="11">
        <f>H23*Inputs!$B$49</f>
        <v/>
      </c>
      <c r="I25" s="11">
        <f>I23*Inputs!$B$49</f>
        <v/>
      </c>
      <c r="J25" s="11">
        <f>J23*Inputs!$B$49</f>
        <v/>
      </c>
      <c r="K25" s="11">
        <f>K23*Inputs!$B$49</f>
        <v/>
      </c>
      <c r="L25" s="11">
        <f>L23*Inputs!$B$49</f>
        <v/>
      </c>
      <c r="M25" s="11">
        <f>M23*Inputs!$B$49</f>
        <v/>
      </c>
      <c r="N25" s="11">
        <f>N23*Inputs!$B$49</f>
        <v/>
      </c>
    </row>
    <row r="27">
      <c r="B27" s="3" t="inlineStr">
        <is>
          <t>LP Net Cash Flow</t>
        </is>
      </c>
      <c r="C27" s="11">
        <f>-$C$2</f>
        <v/>
      </c>
      <c r="D27" s="11">
        <f>D11+D16+D24</f>
        <v/>
      </c>
      <c r="E27" s="11">
        <f>E11+E16+E24</f>
        <v/>
      </c>
      <c r="F27" s="11">
        <f>F11+F16+F24</f>
        <v/>
      </c>
      <c r="G27" s="11">
        <f>G11+G16+G24</f>
        <v/>
      </c>
      <c r="H27" s="11">
        <f>H11+H16+H24</f>
        <v/>
      </c>
      <c r="I27" s="11">
        <f>I11+I16+I24</f>
        <v/>
      </c>
      <c r="J27" s="11">
        <f>J11+J16+J24</f>
        <v/>
      </c>
      <c r="K27" s="11">
        <f>K11+K16+K24</f>
        <v/>
      </c>
      <c r="L27" s="11">
        <f>L11+L16+L24</f>
        <v/>
      </c>
      <c r="M27" s="11">
        <f>M11+M16+M24</f>
        <v/>
      </c>
      <c r="N27" s="11">
        <f>N11+N16+N24</f>
        <v/>
      </c>
    </row>
    <row r="28">
      <c r="B28" s="3" t="inlineStr">
        <is>
          <t>GP Net Cash Flow</t>
        </is>
      </c>
      <c r="C28" s="11">
        <f>-$C$3</f>
        <v/>
      </c>
      <c r="D28" s="11">
        <f>D19+D25</f>
        <v/>
      </c>
      <c r="E28" s="11">
        <f>E19+E25</f>
        <v/>
      </c>
      <c r="F28" s="11">
        <f>F19+F25</f>
        <v/>
      </c>
      <c r="G28" s="11">
        <f>G19+G25</f>
        <v/>
      </c>
      <c r="H28" s="11">
        <f>H19+H25</f>
        <v/>
      </c>
      <c r="I28" s="11">
        <f>I19+I25</f>
        <v/>
      </c>
      <c r="J28" s="11">
        <f>J19+J25</f>
        <v/>
      </c>
      <c r="K28" s="11">
        <f>K19+K25</f>
        <v/>
      </c>
      <c r="L28" s="11">
        <f>L19+L25</f>
        <v/>
      </c>
      <c r="M28" s="11">
        <f>M19+M25</f>
        <v/>
      </c>
      <c r="N28" s="11">
        <f>N19+N25</f>
        <v/>
      </c>
    </row>
    <row r="30">
      <c r="B30" t="inlineStr">
        <is>
          <t>LP IRR</t>
        </is>
      </c>
      <c r="C30" s="25">
        <f>IFERROR(IRR(C27:N27,0.1),"")</f>
        <v/>
      </c>
    </row>
    <row r="31">
      <c r="B31" t="inlineStr">
        <is>
          <t>LP Equity Multiple</t>
        </is>
      </c>
      <c r="C31" s="26">
        <f>IFERROR(1+SUM(C27:N27)/$C$2,"")</f>
        <v/>
      </c>
    </row>
    <row r="32">
      <c r="B32" t="inlineStr">
        <is>
          <t>LP Total Profit</t>
        </is>
      </c>
      <c r="C32" s="11">
        <f>SUM(C27:N27)</f>
        <v/>
      </c>
    </row>
    <row r="33">
      <c r="B33" t="inlineStr">
        <is>
          <t>GP IRR</t>
        </is>
      </c>
      <c r="C33" s="20">
        <f>IFERROR(IRR(C28:N28,0.1),"")</f>
        <v/>
      </c>
    </row>
    <row r="34">
      <c r="B34" t="inlineStr">
        <is>
          <t>GP Equity Multiple</t>
        </is>
      </c>
      <c r="C34" s="26">
        <f>IFERROR(1+SUM(C28:N28)/$C$3,"")</f>
        <v/>
      </c>
    </row>
    <row r="35">
      <c r="B35" t="inlineStr">
        <is>
          <t>GP Total Profit</t>
        </is>
      </c>
      <c r="C35" s="11">
        <f>SUM(C28:N28)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3" t="inlineStr">
        <is>
          <t>EXIT CAP RATE SENSITIVITY (at chosen Hold Period)</t>
        </is>
      </c>
    </row>
    <row r="3">
      <c r="A3" t="inlineStr">
        <is>
          <t>Forward NOI at Exit</t>
        </is>
      </c>
      <c r="B3" s="11">
        <f>INDEX('Annual CF'!C25:N25,MATCH(Inputs!$B$40+1,'Annual CF'!C2:N2,0))</f>
        <v/>
      </c>
    </row>
    <row r="4">
      <c r="A4" t="inlineStr">
        <is>
          <t>Loan Payoff at Exit</t>
        </is>
      </c>
      <c r="B4" s="11">
        <f>INDEX('Annual CF'!C35:N35,MATCH(Inputs!$B$40,'Annual CF'!C2:N2,0))</f>
        <v/>
      </c>
    </row>
    <row r="5">
      <c r="A5" t="inlineStr">
        <is>
          <t>Cum. CF After Debt Svc (Hold Yrs)</t>
        </is>
      </c>
      <c r="B5" s="11">
        <f>SUMIFS('Annual CF'!D37:N37,'Annual CF'!D2:N2,"&lt;="&amp;Inputs!$B$40)</f>
        <v/>
      </c>
    </row>
    <row r="6">
      <c r="A6" t="inlineStr">
        <is>
          <t>Total Equity</t>
        </is>
      </c>
      <c r="B6" s="11">
        <f>Inputs!$B$54</f>
        <v/>
      </c>
    </row>
    <row r="8">
      <c r="A8" s="5" t="inlineStr">
        <is>
          <t>Exit Cap</t>
        </is>
      </c>
      <c r="B8" s="5" t="inlineStr">
        <is>
          <t>Sale Price</t>
        </is>
      </c>
      <c r="C8" s="5" t="inlineStr">
        <is>
          <t>Net Sale Proceeds</t>
        </is>
      </c>
      <c r="D8" s="5" t="inlineStr">
        <is>
          <t>Total Profit</t>
        </is>
      </c>
      <c r="E8" s="5" t="inlineStr">
        <is>
          <t>Equity Multiple</t>
        </is>
      </c>
    </row>
    <row r="9">
      <c r="A9" s="15" t="n">
        <v>0.05</v>
      </c>
      <c r="B9" s="11">
        <f>IFERROR($B$3/A9,0)</f>
        <v/>
      </c>
      <c r="C9" s="11">
        <f>B9*(1-Inputs!$B$42)-$B$4</f>
        <v/>
      </c>
      <c r="D9" s="11">
        <f>C9+$B$5-$B$6</f>
        <v/>
      </c>
      <c r="E9" s="26">
        <f>IFERROR((C9+$B$5)/$B$6,0)</f>
        <v/>
      </c>
    </row>
    <row r="10">
      <c r="A10" s="15" t="n">
        <v>0.0525</v>
      </c>
      <c r="B10" s="11">
        <f>IFERROR($B$3/A10,0)</f>
        <v/>
      </c>
      <c r="C10" s="11">
        <f>B10*(1-Inputs!$B$42)-$B$4</f>
        <v/>
      </c>
      <c r="D10" s="11">
        <f>C10+$B$5-$B$6</f>
        <v/>
      </c>
      <c r="E10" s="26">
        <f>IFERROR((C10+$B$5)/$B$6,0)</f>
        <v/>
      </c>
    </row>
    <row r="11">
      <c r="A11" s="15" t="n">
        <v>0.055</v>
      </c>
      <c r="B11" s="11">
        <f>IFERROR($B$3/A11,0)</f>
        <v/>
      </c>
      <c r="C11" s="11">
        <f>B11*(1-Inputs!$B$42)-$B$4</f>
        <v/>
      </c>
      <c r="D11" s="11">
        <f>C11+$B$5-$B$6</f>
        <v/>
      </c>
      <c r="E11" s="26">
        <f>IFERROR((C11+$B$5)/$B$6,0)</f>
        <v/>
      </c>
    </row>
    <row r="12">
      <c r="A12" s="15" t="n">
        <v>0.0575</v>
      </c>
      <c r="B12" s="11">
        <f>IFERROR($B$3/A12,0)</f>
        <v/>
      </c>
      <c r="C12" s="11">
        <f>B12*(1-Inputs!$B$42)-$B$4</f>
        <v/>
      </c>
      <c r="D12" s="11">
        <f>C12+$B$5-$B$6</f>
        <v/>
      </c>
      <c r="E12" s="26">
        <f>IFERROR((C12+$B$5)/$B$6,0)</f>
        <v/>
      </c>
    </row>
    <row r="13">
      <c r="A13" s="15" t="n">
        <v>0.06</v>
      </c>
      <c r="B13" s="11">
        <f>IFERROR($B$3/A13,0)</f>
        <v/>
      </c>
      <c r="C13" s="11">
        <f>B13*(1-Inputs!$B$42)-$B$4</f>
        <v/>
      </c>
      <c r="D13" s="11">
        <f>C13+$B$5-$B$6</f>
        <v/>
      </c>
      <c r="E13" s="26">
        <f>IFERROR((C13+$B$5)/$B$6,0)</f>
        <v/>
      </c>
    </row>
    <row r="14">
      <c r="A14" s="15" t="n">
        <v>0.0625</v>
      </c>
      <c r="B14" s="11">
        <f>IFERROR($B$3/A14,0)</f>
        <v/>
      </c>
      <c r="C14" s="11">
        <f>B14*(1-Inputs!$B$42)-$B$4</f>
        <v/>
      </c>
      <c r="D14" s="11">
        <f>C14+$B$5-$B$6</f>
        <v/>
      </c>
      <c r="E14" s="26">
        <f>IFERROR((C14+$B$5)/$B$6,0)</f>
        <v/>
      </c>
    </row>
    <row r="15">
      <c r="A15" s="15" t="n">
        <v>0.065</v>
      </c>
      <c r="B15" s="11">
        <f>IFERROR($B$3/A15,0)</f>
        <v/>
      </c>
      <c r="C15" s="11">
        <f>B15*(1-Inputs!$B$42)-$B$4</f>
        <v/>
      </c>
      <c r="D15" s="11">
        <f>C15+$B$5-$B$6</f>
        <v/>
      </c>
      <c r="E15" s="26">
        <f>IFERROR((C15+$B$5)/$B$6,0)</f>
        <v/>
      </c>
    </row>
    <row r="16">
      <c r="A16" s="15" t="n">
        <v>0.0675</v>
      </c>
      <c r="B16" s="11">
        <f>IFERROR($B$3/A16,0)</f>
        <v/>
      </c>
      <c r="C16" s="11">
        <f>B16*(1-Inputs!$B$42)-$B$4</f>
        <v/>
      </c>
      <c r="D16" s="11">
        <f>C16+$B$5-$B$6</f>
        <v/>
      </c>
      <c r="E16" s="26">
        <f>IFERROR((C16+$B$5)/$B$6,0)</f>
        <v/>
      </c>
    </row>
    <row r="17">
      <c r="A17" s="15" t="n">
        <v>0.07000000000000001</v>
      </c>
      <c r="B17" s="11">
        <f>IFERROR($B$3/A17,0)</f>
        <v/>
      </c>
      <c r="C17" s="11">
        <f>B17*(1-Inputs!$B$42)-$B$4</f>
        <v/>
      </c>
      <c r="D17" s="11">
        <f>C17+$B$5-$B$6</f>
        <v/>
      </c>
      <c r="E17" s="26">
        <f>IFERROR((C17+$B$5)/$B$6,0)</f>
        <v/>
      </c>
    </row>
    <row r="18">
      <c r="A18" s="15" t="n">
        <v>0.07250000000000001</v>
      </c>
      <c r="B18" s="11">
        <f>IFERROR($B$3/A18,0)</f>
        <v/>
      </c>
      <c r="C18" s="11">
        <f>B18*(1-Inputs!$B$42)-$B$4</f>
        <v/>
      </c>
      <c r="D18" s="11">
        <f>C18+$B$5-$B$6</f>
        <v/>
      </c>
      <c r="E18" s="26">
        <f>IFERROR((C18+$B$5)/$B$6,0)</f>
        <v/>
      </c>
    </row>
    <row r="19">
      <c r="A19" s="15" t="n">
        <v>0.07500000000000001</v>
      </c>
      <c r="B19" s="11">
        <f>IFERROR($B$3/A19,0)</f>
        <v/>
      </c>
      <c r="C19" s="11">
        <f>B19*(1-Inputs!$B$42)-$B$4</f>
        <v/>
      </c>
      <c r="D19" s="11">
        <f>C19+$B$5-$B$6</f>
        <v/>
      </c>
      <c r="E19" s="26">
        <f>IFERROR((C19+$B$5)/$B$6,0)</f>
        <v/>
      </c>
    </row>
    <row r="20">
      <c r="A20" s="15" t="n">
        <v>0.0775</v>
      </c>
      <c r="B20" s="11">
        <f>IFERROR($B$3/A20,0)</f>
        <v/>
      </c>
      <c r="C20" s="11">
        <f>B20*(1-Inputs!$B$42)-$B$4</f>
        <v/>
      </c>
      <c r="D20" s="11">
        <f>C20+$B$5-$B$6</f>
        <v/>
      </c>
      <c r="E20" s="26">
        <f>IFERROR((C20+$B$5)/$B$6,0)</f>
        <v/>
      </c>
    </row>
    <row r="21">
      <c r="A21" s="15" t="n">
        <v>0.08</v>
      </c>
      <c r="B21" s="11">
        <f>IFERROR($B$3/A21,0)</f>
        <v/>
      </c>
      <c r="C21" s="11">
        <f>B21*(1-Inputs!$B$42)-$B$4</f>
        <v/>
      </c>
      <c r="D21" s="11">
        <f>C21+$B$5-$B$6</f>
        <v/>
      </c>
      <c r="E21" s="26">
        <f>IFERROR((C21+$B$5)/$B$6,0)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45" customWidth="1" min="3" max="3"/>
    <col width="45" customWidth="1" min="4" max="4"/>
  </cols>
  <sheetData>
    <row r="1">
      <c r="A1" s="3" t="inlineStr">
        <is>
          <t>STOA-ERA MODEL ASSUMPTIONS (exact) AND WHAT THIS MODEL CHANGED</t>
        </is>
      </c>
    </row>
    <row r="2">
      <c r="A2" t="inlineStr"/>
      <c r="B2" t="inlineStr"/>
      <c r="C2" t="inlineStr"/>
      <c r="D2" t="inlineStr"/>
    </row>
    <row r="3">
      <c r="A3" t="inlineStr">
        <is>
          <t>OPERATING EXPENSES ($/Unit/Yr) - from Waters at Hammond &amp; Manhattan budgets</t>
        </is>
      </c>
      <c r="B3" t="inlineStr"/>
      <c r="C3" t="inlineStr"/>
      <c r="D3" t="inlineStr"/>
    </row>
    <row r="4">
      <c r="A4" t="inlineStr">
        <is>
          <t>Line Item</t>
        </is>
      </c>
      <c r="B4" t="inlineStr">
        <is>
          <t>Hammond</t>
        </is>
      </c>
      <c r="C4" t="inlineStr">
        <is>
          <t>Manhattan</t>
        </is>
      </c>
      <c r="D4" t="inlineStr">
        <is>
          <t>Average (their formula: =AVERAGE)</t>
        </is>
      </c>
    </row>
    <row r="5">
      <c r="A5" t="inlineStr">
        <is>
          <t>Payroll</t>
        </is>
      </c>
      <c r="B5" s="11" t="n">
        <v>-1661.03</v>
      </c>
      <c r="C5" s="11" t="n">
        <v>-1476.9</v>
      </c>
      <c r="D5" s="11" t="n">
        <v>-1568.96</v>
      </c>
    </row>
    <row r="6">
      <c r="A6" t="inlineStr">
        <is>
          <t>General &amp; Administrative</t>
        </is>
      </c>
      <c r="B6" s="11" t="n">
        <v>-476.09</v>
      </c>
      <c r="C6" s="11" t="n">
        <v>-400.82</v>
      </c>
      <c r="D6" s="11" t="n">
        <v>-438.45</v>
      </c>
    </row>
    <row r="7">
      <c r="A7" t="inlineStr">
        <is>
          <t>Marketing</t>
        </is>
      </c>
      <c r="B7" s="11" t="n">
        <v>-362.42</v>
      </c>
      <c r="C7" s="11" t="n">
        <v>-395.13</v>
      </c>
      <c r="D7" s="11" t="n">
        <v>-378.78</v>
      </c>
    </row>
    <row r="8">
      <c r="A8" t="inlineStr">
        <is>
          <t>Repairs &amp; Maintenance</t>
        </is>
      </c>
      <c r="B8" s="11" t="n">
        <v>-572.1900000000001</v>
      </c>
      <c r="C8" s="11" t="n">
        <v>-372.59</v>
      </c>
      <c r="D8" s="11" t="n">
        <v>-472.39</v>
      </c>
    </row>
    <row r="9">
      <c r="A9" t="inlineStr">
        <is>
          <t>Utilities</t>
        </is>
      </c>
      <c r="B9" s="11" t="n">
        <v>-641.47</v>
      </c>
      <c r="C9" s="11" t="n">
        <v>-742.2</v>
      </c>
      <c r="D9" s="11" t="n">
        <v>-691.84</v>
      </c>
    </row>
    <row r="10">
      <c r="A10" t="inlineStr">
        <is>
          <t>Other</t>
        </is>
      </c>
      <c r="B10" s="11" t="n">
        <v>-105.04</v>
      </c>
      <c r="C10" s="11" t="n">
        <v>-85.33</v>
      </c>
      <c r="D10" s="11" t="n">
        <v>-95.19</v>
      </c>
    </row>
    <row r="11">
      <c r="A11" t="inlineStr">
        <is>
          <t>Insurance</t>
        </is>
      </c>
      <c r="B11" s="11" t="n">
        <v>-1094.69</v>
      </c>
      <c r="C11" s="11" t="n">
        <v>-1233.33</v>
      </c>
      <c r="D11" s="11" t="n">
        <v>-1164.01</v>
      </c>
    </row>
    <row r="12">
      <c r="A12" t="inlineStr"/>
      <c r="B12" t="inlineStr"/>
      <c r="C12" t="inlineStr"/>
      <c r="D12" t="inlineStr"/>
    </row>
    <row r="13">
      <c r="A13" t="inlineStr">
        <is>
          <t>THEIR MODEL SETTINGS (exact)</t>
        </is>
      </c>
      <c r="B13" t="inlineStr"/>
      <c r="C13" t="inlineStr"/>
      <c r="D13" t="inlineStr"/>
    </row>
    <row r="14">
      <c r="A14" t="inlineStr">
        <is>
          <t>Vacancy 7% | at Refi 7%</t>
        </is>
      </c>
      <c r="B14" t="inlineStr">
        <is>
          <t>Rent Growth 2%/yr</t>
        </is>
      </c>
      <c r="C14" t="inlineStr">
        <is>
          <t>Expense Growth 1%/yr</t>
        </is>
      </c>
      <c r="D14" t="inlineStr">
        <is>
          <t>Capex Reserve $250/unit/yr</t>
        </is>
      </c>
    </row>
    <row r="15">
      <c r="A15" t="inlineStr">
        <is>
          <t>Mgmt Fee 3% of EGR (self-managed at scale)</t>
        </is>
      </c>
      <c r="B15" t="inlineStr">
        <is>
          <t>Asset Mgmt Fee 1% of NRI</t>
        </is>
      </c>
      <c r="C15" t="inlineStr">
        <is>
          <t>Bad Debt/Concessions inside vacancy</t>
        </is>
      </c>
      <c r="D15" t="inlineStr">
        <is>
          <t>Other income itemized (valet trash, late fees, pet rent/fees, admin, carport, termination)</t>
        </is>
      </c>
    </row>
    <row r="16">
      <c r="A16" t="inlineStr">
        <is>
          <t>Construction: LTC 75%, WSJ Prime + 0.50%</t>
        </is>
      </c>
      <c r="B16" t="inlineStr">
        <is>
          <t>Loan fee $95,000 flat</t>
        </is>
      </c>
      <c r="C16" t="inlineStr">
        <is>
          <t>Hard cost = $122.23/SF x NRSF + $1,000,000</t>
        </is>
      </c>
      <c r="D16" t="inlineStr">
        <is>
          <t>Contingency: 10% hard / 2% soft; GC Overhead 5%</t>
        </is>
      </c>
    </row>
    <row r="17">
      <c r="A17" t="inlineStr">
        <is>
          <t>GC Profit 4% | Developer Fee 3.5% + 0.5% (taken as in-kind equity)</t>
        </is>
      </c>
      <c r="B17" t="inlineStr">
        <is>
          <t>Impact fees $4,127/unit</t>
        </is>
      </c>
      <c r="C17" t="inlineStr">
        <is>
          <t>Draw curve: normal distribution, SD 6 (hard) / 10 (soft)</t>
        </is>
      </c>
      <c r="D17" t="inlineStr">
        <is>
          <t>Lease-up 14 months; ~20.6 units/month (288 units)</t>
        </is>
      </c>
    </row>
    <row r="18">
      <c r="A18" t="inlineStr">
        <is>
          <t>Perm: FHA 223(f) refi at month 33</t>
        </is>
      </c>
      <c r="B18" t="inlineStr">
        <is>
          <t>Valuation cap 5.5%; LTV 75%; DSCR ~1.185 going-in</t>
        </is>
      </c>
      <c r="C18" t="inlineStr">
        <is>
          <t>420-month amortization; MIP 0.25%</t>
        </is>
      </c>
      <c r="D18" t="inlineStr">
        <is>
          <t>Perm fee ~2.14% of proceeds</t>
        </is>
      </c>
    </row>
    <row r="19">
      <c r="A19" t="inlineStr">
        <is>
          <t>Exit: sell at 6.5% cap on forward NOI</t>
        </is>
      </c>
      <c r="B19" t="inlineStr">
        <is>
          <t>Cost of sale 0.75%</t>
        </is>
      </c>
      <c r="C19" t="inlineStr">
        <is>
          <t>Sell-or-Hold toggle</t>
        </is>
      </c>
      <c r="D19" t="inlineStr">
        <is>
          <t>Waterfall: 8% pref; hurdles 10%/12%; promote 10/20/30; GP/LP splits</t>
        </is>
      </c>
    </row>
    <row r="20">
      <c r="A20" t="inlineStr"/>
      <c r="B20" t="inlineStr"/>
      <c r="C20" t="inlineStr"/>
      <c r="D20" t="inlineStr"/>
    </row>
    <row r="21">
      <c r="A21" t="inlineStr">
        <is>
          <t>CHANGES MADE IN THIS MODEL AND WHY</t>
        </is>
      </c>
      <c r="B21" t="inlineStr"/>
      <c r="C21" t="inlineStr"/>
      <c r="D21" t="inlineStr"/>
    </row>
    <row r="22">
      <c r="A22" t="inlineStr">
        <is>
          <t>Insurance: $1,164 -&gt; $2,000/unit default</t>
        </is>
      </c>
      <c r="B22" t="inlineStr">
        <is>
          <t>Louisiana insurance costs escalated sharply post-2022; LA is the 3rd most expensive insurance state. Update per actual quote every deal.</t>
        </is>
      </c>
      <c r="C22" t="inlineStr"/>
      <c r="D22" t="inlineStr"/>
    </row>
    <row r="23">
      <c r="A23" t="inlineStr">
        <is>
          <t>Expense growth: 1% -&gt; 2.5%</t>
        </is>
      </c>
      <c r="B23" t="inlineStr">
        <is>
          <t>1% was aggressive; recent expense inflation (insurance, labor) runs above rents. Conservative default.</t>
        </is>
      </c>
      <c r="C23" t="inlineStr"/>
      <c r="D23" t="inlineStr"/>
    </row>
    <row r="24">
      <c r="A24" t="inlineStr">
        <is>
          <t>Mgmt fee: 3% -&gt; 8%</t>
        </is>
      </c>
      <c r="B24" t="inlineStr">
        <is>
          <t>Stoa self-managed 300+ unit assets. Third-party management on &lt;50 units typically runs 7-10% of collections.</t>
        </is>
      </c>
      <c r="C24" t="inlineStr"/>
      <c r="D24" t="inlineStr"/>
    </row>
    <row r="25">
      <c r="A25" t="inlineStr">
        <is>
          <t>Cost of sale: 0.75% -&gt; 3%</t>
        </is>
      </c>
      <c r="B25" t="inlineStr">
        <is>
          <t>Stoa sold $30M+ assets off-market. Small multifamily sells with brokerage: 2-5% typical.</t>
        </is>
      </c>
      <c r="C25" t="inlineStr"/>
      <c r="D25" t="inlineStr"/>
    </row>
    <row r="26">
      <c r="A26" t="inlineStr">
        <is>
          <t>Expense levels escalated ~3%/yr from their ~2023 budgets</t>
        </is>
      </c>
      <c r="B26" t="inlineStr">
        <is>
          <t>Payroll 1569-&gt;1715, G&amp;A 438-&gt;480, Mktg 379-&gt;415, R&amp;M 472-&gt;515, Util 692-&gt;755, Other 95-&gt;105.</t>
        </is>
      </c>
      <c r="C26" t="inlineStr">
        <is>
          <t>Note: on very small properties (&lt;10 units) payroll is usually $0 (no on-site staff; covered by mgmt fee). Zero it out when appropriate.</t>
        </is>
      </c>
      <c r="D26" t="inlineStr"/>
    </row>
    <row r="27">
      <c r="A27" t="inlineStr">
        <is>
          <t>Rate defaults: WSJ Prime = 6.75% (as of Dec 11, 2025)</t>
        </is>
      </c>
      <c r="B27" t="inlineStr">
        <is>
          <t>Bank acquisition debt default 6.75% fixed. Replace with your actual quote.</t>
        </is>
      </c>
      <c r="C27" t="inlineStr"/>
      <c r="D27" t="inlineStr"/>
    </row>
    <row r="28">
      <c r="A28" t="inlineStr">
        <is>
          <t>All other equation structures preserved: forward-NOI exit pricing, DSCR/LTV loan sizing, pref-then-ROC-then-split waterfall, fixed/variable expense logic (Development model), bell-curve draws (Development model).</t>
        </is>
      </c>
      <c r="B28" t="inlineStr"/>
      <c r="C28" t="inlineStr"/>
      <c r="D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3" t="inlineStr">
        <is>
          <t>Check</t>
        </is>
      </c>
      <c r="B1" s="3" t="inlineStr">
        <is>
          <t>Status</t>
        </is>
      </c>
    </row>
    <row r="2">
      <c r="A2" t="inlineStr">
        <is>
          <t>Sources = Uses (Loan + Equity = Price + Closing + Fees + Renovation)</t>
        </is>
      </c>
      <c r="B2">
        <f>IF(ABS(Inputs!$B$52+Inputs!$B$54-(Inputs!$B$2+Inputs!$B$2*Inputs!$B$3+Inputs!$B$52*Inputs!$B$4+Inputs!$F$38))&lt;0.01,"OK","ERROR")</f>
        <v/>
      </c>
    </row>
    <row r="3">
      <c r="A3" t="inlineStr">
        <is>
          <t>Year 1 DSCR meets lender minimum</t>
        </is>
      </c>
      <c r="B3">
        <f>IF('Annual CF'!D38&gt;=Inputs!$B$33-0.005,"OK","CHECK")</f>
        <v/>
      </c>
    </row>
    <row r="4">
      <c r="A4" t="inlineStr">
        <is>
          <t>Hold period within 1-10 years</t>
        </is>
      </c>
      <c r="B4">
        <f>IF(AND(Inputs!$B$40&gt;=1,Inputs!$B$40&lt;=10),"OK","ERROR")</f>
        <v/>
      </c>
    </row>
    <row r="5">
      <c r="A5" t="inlineStr">
        <is>
          <t>Waterfall distributions = project levered CF (yrs 1+)</t>
        </is>
      </c>
      <c r="B5">
        <f>IF(ABS(SUM(Waterfall!D27:N27)+SUM(Waterfall!D28:N28)-SUMIFS('Annual CF'!D51:N51,'Annual CF'!D2:N2,"&gt;=1"))&lt;1,"OK","ERROR")</f>
        <v/>
      </c>
    </row>
    <row r="6">
      <c r="A6" t="inlineStr">
        <is>
          <t>Loan balance non-negative at exit</t>
        </is>
      </c>
      <c r="B6">
        <f>IF(INDEX('Annual CF'!C35:N35,MATCH(Inputs!$B$40,'Annual CF'!C2:N2,0))&gt;=0,"OK","ERROR")</f>
        <v/>
      </c>
    </row>
    <row r="7">
      <c r="A7" t="inlineStr">
        <is>
          <t>Post-reserve DSCR &gt;= 1.15 (lender view, net of replacement reserves)</t>
        </is>
      </c>
      <c r="B7">
        <f>IF('Annual CF'!D40&gt;=1.15,"OK","CHECK")</f>
        <v/>
      </c>
    </row>
    <row r="8">
      <c r="A8" t="inlineStr">
        <is>
          <t>No balloon at maturity (an interest-only period leaves one)</t>
        </is>
      </c>
      <c r="B8">
        <f>IF(Inputs!$B$36=0,"OK","CHECK")</f>
        <v/>
      </c>
    </row>
    <row r="9">
      <c r="A9" t="inlineStr">
        <is>
          <t>Exit cap not below going-in cap (compression is an unearned assumption)</t>
        </is>
      </c>
      <c r="B9">
        <f>IF(Inputs!$B$41&gt;=Inputs!$B$57-0.0001,"OK","CHECK")</f>
        <v/>
      </c>
    </row>
    <row r="10">
      <c r="A10" t="inlineStr">
        <is>
          <t>Refi year (if any) falls inside the hold period</t>
        </is>
      </c>
      <c r="B10">
        <f>IF(OR(Inputs!$F$14=0,AND(Inputs!$F$14&gt;=1,Inputs!$F$14&lt;Inputs!$B$40)),"OK","CHECK")</f>
        <v/>
      </c>
    </row>
    <row r="11">
      <c r="A11" t="inlineStr">
        <is>
          <t>Refi loan does not exceed the refi valuation</t>
        </is>
      </c>
      <c r="B11">
        <f>IF(OR(Inputs!$F$14=0,Inputs!$F$24&lt;=Inputs!$F$23*Inputs!$F$16+1),"OK","CHECK")</f>
        <v/>
      </c>
    </row>
    <row r="12">
      <c r="A12" t="inlineStr">
        <is>
          <t>Renovation unit count does not exceed the property</t>
        </is>
      </c>
      <c r="B12">
        <f>IF(Inputs!$F$31&lt;=Inputs!$B$5,"OK","ERROR")</f>
        <v/>
      </c>
    </row>
    <row r="13">
      <c r="A13" t="inlineStr">
        <is>
          <t>Renovation finishes inside the hold period</t>
        </is>
      </c>
      <c r="B13">
        <f>IF(OR(Inputs!$F$31=0,Inputs!$F$36+Inputs!$F$39-1&lt;=Inputs!$B$40),"OK","CHECK")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2026-08-02T01:12:43Z</dcterms:created>
  <dcterms:modified xsi:type="dcterms:W3CDTF">2026-08-02T01:12:43Z</dcterms:modified>
</cp:coreProperties>
</file>