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<sst xmlns="http://schemas.openxmlformats.org/spreadsheetml/2006/main" count="267" uniqueCount="242">
  <si>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</si>
  <si>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</si>
  <si>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</si>
  <si>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</si>
  <si>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</si>
  <si>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</si>
  <si>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</si>
  <si>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</si>
  <si>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</si>
  <si>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</si>
  <si>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</si>
  <si>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</si>
  <si>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</si>
  <si>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</si>
  <si>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</si>
  <si>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</si>
  <si>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</si>
  <si>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</si>
  <si>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</si>
  <si>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</si>
  <si>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</si>
  <si>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</si>
  <si>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</si>
  <si>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3 BR/ 2 BA</t>
  </si>
  <si>
    <t xml:space="preserve">Loan Fee (% of Loan)</t>
  </si>
  <si>
    <t xml:space="preserve">1 BR/ 1 BA</t>
  </si>
  <si>
    <t xml:space="preserve">Total Units</t>
  </si>
  <si>
    <t xml:space="preserve">BR/BA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</si>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</sst>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525000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4</v>
      </c>
      <c r="F3" s="8" t="s">
        <v>23</v>
      </c>
      <c r="G3" s="8" t="n">
        <v>980</v>
      </c>
      <c r="H3" s="9" t="n">
        <v>1075</v>
      </c>
      <c r="I3" s="10" t="n">
        <f aca="false">IFERROR(H3/G3,0)</f>
        <v>1.0969387755102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1</v>
      </c>
      <c r="F4" s="8" t="s">
        <v>25</v>
      </c>
      <c r="G4" s="8" t="n">
        <v>400</v>
      </c>
      <c r="H4" s="9" t="n">
        <v>750</v>
      </c>
      <c r="I4" s="10" t="n">
        <f aca="false">IFERROR(H4/G4,0)</f>
        <v>1.875</v>
      </c>
    </row>
    <row r="5" customFormat="false" ht="15" hidden="false" customHeight="true" outlineLevel="0" collapsed="false">
      <c r="A5" s="1" t="s">
        <v>26</v>
      </c>
      <c r="B5" s="11" t="n">
        <f aca="false">E11</f>
        <v>5</v>
      </c>
      <c r="E5" s="8" t="n">
        <v>0</v>
      </c>
      <c r="F5" s="8" t="s">
        <v>27</v>
      </c>
      <c r="G5" s="8" t="n">
        <v>0</v>
      </c>
      <c r="H5" s="9" t="n">
        <v>0</v>
      </c>
      <c r="I5" s="10" t="n">
        <f aca="false">IFERROR(H5/G5,0)</f>
        <v>0</v>
      </c>
    </row>
    <row r="6" customFormat="false" ht="15" hidden="false" customHeight="true" outlineLevel="0" collapsed="false">
      <c r="A6" s="1" t="s">
        <v>28</v>
      </c>
      <c r="B6" s="12" t="n">
        <f aca="false">IFERROR(B2/B5,0)</f>
        <v>105000</v>
      </c>
      <c r="E6" s="8" t="n">
        <v>0</v>
      </c>
      <c r="F6" s="8" t="s">
        <v>27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27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29</v>
      </c>
      <c r="E8" s="8" t="n">
        <v>0</v>
      </c>
      <c r="F8" s="8" t="s">
        <v>27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30</v>
      </c>
      <c r="B9" s="7" t="n">
        <v>0.07</v>
      </c>
      <c r="E9" s="8" t="n">
        <v>0</v>
      </c>
      <c r="F9" s="8" t="s">
        <v>27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31</v>
      </c>
      <c r="B10" s="7" t="n">
        <v>0.005</v>
      </c>
      <c r="E10" s="8" t="n">
        <v>0</v>
      </c>
      <c r="F10" s="8" t="s">
        <v>27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32</v>
      </c>
      <c r="B11" s="7" t="n">
        <v>0</v>
      </c>
      <c r="E11" s="13" t="n">
        <f aca="false">SUM(E3:E10)</f>
        <v>5</v>
      </c>
      <c r="G11" s="14" t="n">
        <f aca="false">IFERROR(SUMPRODUCT(G3:G10,E3:E10)/E11,0)</f>
        <v>864</v>
      </c>
      <c r="H11" s="12" t="n">
        <f aca="false">IFERROR(SUMPRODUCT(H3:H10,E3:E10)/E11,0)</f>
        <v>1010</v>
      </c>
      <c r="I11" s="10" t="n">
        <f aca="false">IFERROR(H11/G11,0)</f>
        <v>1.16898148148148</v>
      </c>
    </row>
    <row r="12" customFormat="false" ht="15" hidden="false" customHeight="true" outlineLevel="0" collapsed="false">
      <c r="A12" s="1" t="s">
        <v>33</v>
      </c>
      <c r="B12" s="9" t="n">
        <v>0</v>
      </c>
    </row>
    <row r="13" customFormat="false" ht="15" hidden="false" customHeight="true" outlineLevel="0" collapsed="false">
      <c r="A13" s="1" t="s">
        <v>34</v>
      </c>
      <c r="B13" s="7" t="n">
        <v>0.02</v>
      </c>
      <c r="E13" s="4" t="s">
        <v>35</v>
      </c>
    </row>
    <row r="14" customFormat="false" ht="15" hidden="false" customHeight="true" outlineLevel="0" collapsed="false">
      <c r="A14" s="1" t="s">
        <v>36</v>
      </c>
      <c r="B14" s="7" t="n">
        <v>0.02</v>
      </c>
      <c r="E14" s="1" t="s">
        <v>37</v>
      </c>
      <c r="F14" s="15" t="n">
        <v>0</v>
      </c>
    </row>
    <row r="15" customFormat="false" ht="15" hidden="false" customHeight="true" outlineLevel="0" collapsed="false">
      <c r="E15" s="1" t="s">
        <v>38</v>
      </c>
      <c r="F15" s="16" t="n">
        <v>0.07</v>
      </c>
    </row>
    <row r="16" customFormat="false" ht="15" hidden="false" customHeight="true" outlineLevel="0" collapsed="false">
      <c r="A16" s="4" t="s">
        <v>39</v>
      </c>
      <c r="E16" s="1" t="s">
        <v>40</v>
      </c>
      <c r="F16" s="7" t="n">
        <v>0.75</v>
      </c>
    </row>
    <row r="17" customFormat="false" ht="15" hidden="false" customHeight="true" outlineLevel="0" collapsed="false">
      <c r="A17" s="1" t="s">
        <v>41</v>
      </c>
      <c r="B17" s="9" t="n">
        <v>0</v>
      </c>
      <c r="E17" s="1" t="s">
        <v>42</v>
      </c>
      <c r="F17" s="17" t="n">
        <v>1.25</v>
      </c>
    </row>
    <row r="18" customFormat="false" ht="15" hidden="false" customHeight="true" outlineLevel="0" collapsed="false">
      <c r="A18" s="1" t="s">
        <v>43</v>
      </c>
      <c r="B18" s="9" t="n">
        <v>200</v>
      </c>
      <c r="E18" s="1" t="s">
        <v>44</v>
      </c>
      <c r="F18" s="16" t="n">
        <v>0.0675</v>
      </c>
    </row>
    <row r="19" customFormat="false" ht="15" hidden="false" customHeight="true" outlineLevel="0" collapsed="false">
      <c r="A19" s="1" t="s">
        <v>45</v>
      </c>
      <c r="B19" s="9" t="n">
        <v>200</v>
      </c>
      <c r="E19" s="1" t="s">
        <v>46</v>
      </c>
      <c r="F19" s="18" t="n">
        <v>25</v>
      </c>
    </row>
    <row r="20" customFormat="false" ht="15" hidden="false" customHeight="true" outlineLevel="0" collapsed="false">
      <c r="A20" s="1" t="s">
        <v>47</v>
      </c>
      <c r="B20" s="9" t="n">
        <v>900</v>
      </c>
      <c r="E20" s="1" t="s">
        <v>48</v>
      </c>
      <c r="F20" s="7" t="n">
        <v>0.02</v>
      </c>
    </row>
    <row r="21" customFormat="false" ht="15" hidden="false" customHeight="true" outlineLevel="0" collapsed="false">
      <c r="A21" s="1" t="s">
        <v>49</v>
      </c>
      <c r="B21" s="9" t="n">
        <v>0</v>
      </c>
    </row>
    <row r="22" customFormat="false" ht="15" hidden="false" customHeight="true" outlineLevel="0" collapsed="false">
      <c r="A22" s="1" t="s">
        <v>50</v>
      </c>
      <c r="B22" s="9" t="n">
        <v>300</v>
      </c>
      <c r="E22" s="4" t="s">
        <v>51</v>
      </c>
    </row>
    <row r="23" customFormat="false" ht="15" hidden="false" customHeight="true" outlineLevel="0" collapsed="false">
      <c r="A23" s="1" t="s">
        <v>52</v>
      </c>
      <c r="B23" s="9" t="n">
        <v>100</v>
      </c>
      <c r="E23" s="1" t="s">
        <v>53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54</v>
      </c>
      <c r="B24" s="9" t="n">
        <v>2500</v>
      </c>
      <c r="E24" s="1" t="s">
        <v>55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56</v>
      </c>
      <c r="B25" s="5" t="n">
        <v>6038</v>
      </c>
      <c r="E25" s="1" t="s">
        <v>57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58</v>
      </c>
      <c r="B26" s="7" t="n">
        <v>0.1</v>
      </c>
      <c r="E26" s="1" t="s">
        <v>59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60</v>
      </c>
      <c r="B27" s="7" t="n">
        <v>0</v>
      </c>
      <c r="E27" s="1" t="s">
        <v>61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62</v>
      </c>
      <c r="B28" s="9" t="n">
        <v>400</v>
      </c>
      <c r="E28" s="1" t="s">
        <v>63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64</v>
      </c>
      <c r="B29" s="7" t="n">
        <v>0.025</v>
      </c>
    </row>
    <row r="30" customFormat="false" ht="15" hidden="false" customHeight="true" outlineLevel="0" collapsed="false">
      <c r="E30" s="4" t="s">
        <v>65</v>
      </c>
    </row>
    <row r="31" customFormat="false" ht="15" hidden="false" customHeight="true" outlineLevel="0" collapsed="false">
      <c r="A31" s="4" t="s">
        <v>66</v>
      </c>
      <c r="E31" s="1" t="s">
        <v>67</v>
      </c>
      <c r="F31" s="15" t="n">
        <v>0</v>
      </c>
    </row>
    <row r="32" customFormat="false" ht="15" hidden="false" customHeight="true" outlineLevel="0" collapsed="false">
      <c r="A32" s="1" t="s">
        <v>68</v>
      </c>
      <c r="B32" s="7" t="n">
        <v>0.75</v>
      </c>
      <c r="E32" s="1" t="s">
        <v>69</v>
      </c>
      <c r="F32" s="9" t="n">
        <v>0</v>
      </c>
    </row>
    <row r="33" customFormat="false" ht="15" hidden="false" customHeight="true" outlineLevel="0" collapsed="false">
      <c r="A33" s="1" t="s">
        <v>70</v>
      </c>
      <c r="B33" s="17" t="n">
        <v>1.25</v>
      </c>
      <c r="E33" s="1" t="s">
        <v>71</v>
      </c>
      <c r="F33" s="5" t="n">
        <v>0</v>
      </c>
    </row>
    <row r="34" customFormat="false" ht="15" hidden="false" customHeight="true" outlineLevel="0" collapsed="false">
      <c r="A34" s="1" t="s">
        <v>72</v>
      </c>
      <c r="B34" s="20" t="n">
        <v>0.0675</v>
      </c>
      <c r="E34" s="1" t="s">
        <v>73</v>
      </c>
      <c r="F34" s="18" t="n">
        <v>0</v>
      </c>
    </row>
    <row r="35" customFormat="false" ht="15" hidden="false" customHeight="true" outlineLevel="0" collapsed="false">
      <c r="A35" s="1" t="s">
        <v>74</v>
      </c>
      <c r="B35" s="18" t="n">
        <v>25</v>
      </c>
      <c r="E35" s="1" t="s">
        <v>75</v>
      </c>
      <c r="F35" s="18" t="n">
        <v>1</v>
      </c>
    </row>
    <row r="36" customFormat="false" ht="15" hidden="false" customHeight="true" outlineLevel="0" collapsed="false">
      <c r="A36" s="1" t="s">
        <v>76</v>
      </c>
      <c r="B36" s="18" t="n">
        <v>0</v>
      </c>
      <c r="E36" s="1" t="s">
        <v>77</v>
      </c>
      <c r="F36" s="18" t="n">
        <v>1</v>
      </c>
    </row>
    <row r="38" customFormat="false" ht="15" hidden="false" customHeight="true" outlineLevel="0" collapsed="false">
      <c r="E38" s="1" t="s">
        <v>78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79</v>
      </c>
      <c r="E39" s="1" t="s">
        <v>80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81</v>
      </c>
      <c r="B40" s="15" t="n">
        <v>5</v>
      </c>
    </row>
    <row r="41" customFormat="false" ht="15" hidden="false" customHeight="true" outlineLevel="0" collapsed="false">
      <c r="A41" s="1" t="s">
        <v>82</v>
      </c>
      <c r="B41" s="20" t="n">
        <v>0.04959</v>
      </c>
    </row>
    <row r="42" customFormat="false" ht="15" hidden="false" customHeight="true" outlineLevel="0" collapsed="false">
      <c r="A42" s="1" t="s">
        <v>83</v>
      </c>
      <c r="B42" s="7" t="n">
        <v>0.03</v>
      </c>
    </row>
    <row r="44" customFormat="false" ht="15" hidden="false" customHeight="true" outlineLevel="0" collapsed="false">
      <c r="A44" s="4" t="s">
        <v>84</v>
      </c>
    </row>
    <row r="45" customFormat="false" ht="15" hidden="false" customHeight="true" outlineLevel="0" collapsed="false">
      <c r="A45" s="1" t="s">
        <v>85</v>
      </c>
      <c r="B45" s="7" t="n">
        <v>0.9</v>
      </c>
    </row>
    <row r="46" customFormat="false" ht="15" hidden="false" customHeight="true" outlineLevel="0" collapsed="false">
      <c r="A46" s="1" t="s">
        <v>86</v>
      </c>
      <c r="B46" s="21" t="n">
        <f aca="false">1-B45</f>
        <v>0.1</v>
      </c>
    </row>
    <row r="47" customFormat="false" ht="15" hidden="false" customHeight="true" outlineLevel="0" collapsed="false">
      <c r="A47" s="1" t="s">
        <v>87</v>
      </c>
      <c r="B47" s="7" t="n">
        <v>0.08</v>
      </c>
    </row>
    <row r="48" customFormat="false" ht="15" hidden="false" customHeight="true" outlineLevel="0" collapsed="false">
      <c r="A48" s="1" t="s">
        <v>88</v>
      </c>
      <c r="B48" s="7" t="n">
        <v>0.7</v>
      </c>
    </row>
    <row r="49" customFormat="false" ht="15" hidden="false" customHeight="true" outlineLevel="0" collapsed="false">
      <c r="A49" s="1" t="s">
        <v>89</v>
      </c>
      <c r="B49" s="21" t="n">
        <f aca="false">1-B48</f>
        <v>0.3</v>
      </c>
    </row>
    <row r="51" customFormat="false" ht="15" hidden="false" customHeight="true" outlineLevel="0" collapsed="false">
      <c r="A51" s="4" t="s">
        <v>90</v>
      </c>
    </row>
    <row r="52" customFormat="false" ht="15" hidden="false" customHeight="true" outlineLevel="0" collapsed="false">
      <c r="A52" s="1" t="s">
        <v>91</v>
      </c>
      <c r="B52" s="12" t="n">
        <f aca="false">MIN(B32*B2, PV(B34/12, B35*12, -('Annual CF'!D25/B33)/12))</f>
        <v>225899.642676578</v>
      </c>
    </row>
    <row r="53" customFormat="false" ht="15" hidden="false" customHeight="true" outlineLevel="0" collapsed="false">
      <c r="A53" s="1" t="s">
        <v>92</v>
      </c>
      <c r="B53" s="12" t="n">
        <f aca="false">PMT(B34/12,B35*12,-B52)</f>
        <v>1560.76666666667</v>
      </c>
    </row>
    <row r="54" customFormat="false" ht="15" hidden="false" customHeight="true" outlineLevel="0" collapsed="false">
      <c r="A54" s="1" t="s">
        <v>93</v>
      </c>
      <c r="B54" s="19" t="n">
        <f aca="false">B2+B2*B3+B52*B4-B52+$F$38</f>
        <v>311859.353750188</v>
      </c>
    </row>
    <row r="55" customFormat="false" ht="15" hidden="false" customHeight="true" outlineLevel="0" collapsed="false">
      <c r="A55" s="1" t="s">
        <v>94</v>
      </c>
      <c r="B55" s="12" t="n">
        <f aca="false">B54*B45</f>
        <v>280673.418375169</v>
      </c>
    </row>
    <row r="56" customFormat="false" ht="15" hidden="false" customHeight="true" outlineLevel="0" collapsed="false">
      <c r="A56" s="1" t="s">
        <v>95</v>
      </c>
      <c r="B56" s="12" t="n">
        <f aca="false">B54-B55</f>
        <v>31185.9353750187</v>
      </c>
    </row>
    <row r="57" customFormat="false" ht="15" hidden="false" customHeight="true" outlineLevel="0" collapsed="false">
      <c r="A57" s="1" t="s">
        <v>96</v>
      </c>
      <c r="B57" s="22" t="n">
        <f aca="false">IFERROR('Annual CF'!D25/B2,0)</f>
        <v>0.0445933333333333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97</v>
      </c>
    </row>
    <row r="2" customFormat="false" ht="15" hidden="false" customHeight="true" outlineLevel="0" collapsed="false">
      <c r="B2" s="4" t="s">
        <v>98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99</v>
      </c>
    </row>
    <row r="5" customFormat="false" ht="15" hidden="false" customHeight="true" outlineLevel="0" collapsed="false">
      <c r="B5" s="3" t="s">
        <v>100</v>
      </c>
      <c r="D5" s="23" t="n">
        <f aca="false">(SUMPRODUCT(Inputs!$E$3:$E$10,Inputs!$H$3:$H$10)+MIN(Inputs!$F$31,MAX(0,(D$2-Inputs!$F$36+1)*Inputs!$F$34))*Inputs!$F$33)*12*(1+Inputs!$B$13)^(D$2-1)</f>
        <v>60600</v>
      </c>
      <c r="E5" s="23" t="n">
        <f aca="false">(SUMPRODUCT(Inputs!$E$3:$E$10,Inputs!$H$3:$H$10)+MIN(Inputs!$F$31,MAX(0,(E$2-Inputs!$F$36+1)*Inputs!$F$34))*Inputs!$F$33)*12*(1+Inputs!$B$13)^(E$2-1)</f>
        <v>61812</v>
      </c>
      <c r="F5" s="23" t="n">
        <f aca="false">(SUMPRODUCT(Inputs!$E$3:$E$10,Inputs!$H$3:$H$10)+MIN(Inputs!$F$31,MAX(0,(F$2-Inputs!$F$36+1)*Inputs!$F$34))*Inputs!$F$33)*12*(1+Inputs!$B$13)^(F$2-1)</f>
        <v>63048.24</v>
      </c>
      <c r="G5" s="23" t="n">
        <f aca="false">(SUMPRODUCT(Inputs!$E$3:$E$10,Inputs!$H$3:$H$10)+MIN(Inputs!$F$31,MAX(0,(G$2-Inputs!$F$36+1)*Inputs!$F$34))*Inputs!$F$33)*12*(1+Inputs!$B$13)^(G$2-1)</f>
        <v>64309.2048</v>
      </c>
      <c r="H5" s="23" t="n">
        <f aca="false">(SUMPRODUCT(Inputs!$E$3:$E$10,Inputs!$H$3:$H$10)+MIN(Inputs!$F$31,MAX(0,(H$2-Inputs!$F$36+1)*Inputs!$F$34))*Inputs!$F$33)*12*(1+Inputs!$B$13)^(H$2-1)</f>
        <v>65595.388896</v>
      </c>
      <c r="I5" s="23" t="n">
        <f aca="false">(SUMPRODUCT(Inputs!$E$3:$E$10,Inputs!$H$3:$H$10)+MIN(Inputs!$F$31,MAX(0,(I$2-Inputs!$F$36+1)*Inputs!$F$34))*Inputs!$F$33)*12*(1+Inputs!$B$13)^(I$2-1)</f>
        <v>66907.29667392</v>
      </c>
      <c r="J5" s="23" t="n">
        <f aca="false">(SUMPRODUCT(Inputs!$E$3:$E$10,Inputs!$H$3:$H$10)+MIN(Inputs!$F$31,MAX(0,(J$2-Inputs!$F$36+1)*Inputs!$F$34))*Inputs!$F$33)*12*(1+Inputs!$B$13)^(J$2-1)</f>
        <v>68245.4426073984</v>
      </c>
      <c r="K5" s="23" t="n">
        <f aca="false">(SUMPRODUCT(Inputs!$E$3:$E$10,Inputs!$H$3:$H$10)+MIN(Inputs!$F$31,MAX(0,(K$2-Inputs!$F$36+1)*Inputs!$F$34))*Inputs!$F$33)*12*(1+Inputs!$B$13)^(K$2-1)</f>
        <v>69610.3514595464</v>
      </c>
      <c r="L5" s="23" t="n">
        <f aca="false">(SUMPRODUCT(Inputs!$E$3:$E$10,Inputs!$H$3:$H$10)+MIN(Inputs!$F$31,MAX(0,(L$2-Inputs!$F$36+1)*Inputs!$F$34))*Inputs!$F$33)*12*(1+Inputs!$B$13)^(L$2-1)</f>
        <v>71002.5584887373</v>
      </c>
      <c r="M5" s="23" t="n">
        <f aca="false">(SUMPRODUCT(Inputs!$E$3:$E$10,Inputs!$H$3:$H$10)+MIN(Inputs!$F$31,MAX(0,(M$2-Inputs!$F$36+1)*Inputs!$F$34))*Inputs!$F$33)*12*(1+Inputs!$B$13)^(M$2-1)</f>
        <v>72422.6096585121</v>
      </c>
      <c r="N5" s="23" t="n">
        <f aca="false">(SUMPRODUCT(Inputs!$E$3:$E$10,Inputs!$H$3:$H$10)+MIN(Inputs!$F$31,MAX(0,(N$2-Inputs!$F$36+1)*Inputs!$F$34))*Inputs!$F$33)*12*(1+Inputs!$B$13)^(N$2-1)</f>
        <v>73871.0618516823</v>
      </c>
    </row>
    <row r="6" customFormat="false" ht="15" hidden="false" customHeight="true" outlineLevel="0" collapsed="false">
      <c r="B6" s="3" t="s">
        <v>101</v>
      </c>
      <c r="D6" s="23" t="n">
        <f aca="false">-(D5*Inputs!$B$9+(MIN(Inputs!$F$31,MAX(0,(D$2-Inputs!$F$36+1)*Inputs!$F$34))-MIN(Inputs!$F$31,MAX(0,(D$2-Inputs!$F$36)*Inputs!$F$34)))*Inputs!$F$35*Inputs!$H$11*(1+Inputs!$B$13)^(D$2-1))</f>
        <v>-4242</v>
      </c>
      <c r="E6" s="23" t="n">
        <f aca="false">-(E5*Inputs!$B$9+(MIN(Inputs!$F$31,MAX(0,(E$2-Inputs!$F$36+1)*Inputs!$F$34))-MIN(Inputs!$F$31,MAX(0,(E$2-Inputs!$F$36)*Inputs!$F$34)))*Inputs!$F$35*Inputs!$H$11*(1+Inputs!$B$13)^(E$2-1))</f>
        <v>-4326.84</v>
      </c>
      <c r="F6" s="23" t="n">
        <f aca="false">-(F5*Inputs!$B$9+(MIN(Inputs!$F$31,MAX(0,(F$2-Inputs!$F$36+1)*Inputs!$F$34))-MIN(Inputs!$F$31,MAX(0,(F$2-Inputs!$F$36)*Inputs!$F$34)))*Inputs!$F$35*Inputs!$H$11*(1+Inputs!$B$13)^(F$2-1))</f>
        <v>-4413.3768</v>
      </c>
      <c r="G6" s="23" t="n">
        <f aca="false">-(G5*Inputs!$B$9+(MIN(Inputs!$F$31,MAX(0,(G$2-Inputs!$F$36+1)*Inputs!$F$34))-MIN(Inputs!$F$31,MAX(0,(G$2-Inputs!$F$36)*Inputs!$F$34)))*Inputs!$F$35*Inputs!$H$11*(1+Inputs!$B$13)^(G$2-1))</f>
        <v>-4501.644336</v>
      </c>
      <c r="H6" s="23" t="n">
        <f aca="false">-(H5*Inputs!$B$9+(MIN(Inputs!$F$31,MAX(0,(H$2-Inputs!$F$36+1)*Inputs!$F$34))-MIN(Inputs!$F$31,MAX(0,(H$2-Inputs!$F$36)*Inputs!$F$34)))*Inputs!$F$35*Inputs!$H$11*(1+Inputs!$B$13)^(H$2-1))</f>
        <v>-4591.67722272</v>
      </c>
      <c r="I6" s="23" t="n">
        <f aca="false">-(I5*Inputs!$B$9+(MIN(Inputs!$F$31,MAX(0,(I$2-Inputs!$F$36+1)*Inputs!$F$34))-MIN(Inputs!$F$31,MAX(0,(I$2-Inputs!$F$36)*Inputs!$F$34)))*Inputs!$F$35*Inputs!$H$11*(1+Inputs!$B$13)^(I$2-1))</f>
        <v>-4683.5107671744</v>
      </c>
      <c r="J6" s="23" t="n">
        <f aca="false">-(J5*Inputs!$B$9+(MIN(Inputs!$F$31,MAX(0,(J$2-Inputs!$F$36+1)*Inputs!$F$34))-MIN(Inputs!$F$31,MAX(0,(J$2-Inputs!$F$36)*Inputs!$F$34)))*Inputs!$F$35*Inputs!$H$11*(1+Inputs!$B$13)^(J$2-1))</f>
        <v>-4777.18098251789</v>
      </c>
      <c r="K6" s="23" t="n">
        <f aca="false">-(K5*Inputs!$B$9+(MIN(Inputs!$F$31,MAX(0,(K$2-Inputs!$F$36+1)*Inputs!$F$34))-MIN(Inputs!$F$31,MAX(0,(K$2-Inputs!$F$36)*Inputs!$F$34)))*Inputs!$F$35*Inputs!$H$11*(1+Inputs!$B$13)^(K$2-1))</f>
        <v>-4872.72460216825</v>
      </c>
      <c r="L6" s="23" t="n">
        <f aca="false">-(L5*Inputs!$B$9+(MIN(Inputs!$F$31,MAX(0,(L$2-Inputs!$F$36+1)*Inputs!$F$34))-MIN(Inputs!$F$31,MAX(0,(L$2-Inputs!$F$36)*Inputs!$F$34)))*Inputs!$F$35*Inputs!$H$11*(1+Inputs!$B$13)^(L$2-1))</f>
        <v>-4970.17909421161</v>
      </c>
      <c r="M6" s="23" t="n">
        <f aca="false">-(M5*Inputs!$B$9+(MIN(Inputs!$F$31,MAX(0,(M$2-Inputs!$F$36+1)*Inputs!$F$34))-MIN(Inputs!$F$31,MAX(0,(M$2-Inputs!$F$36)*Inputs!$F$34)))*Inputs!$F$35*Inputs!$H$11*(1+Inputs!$B$13)^(M$2-1))</f>
        <v>-5069.58267609584</v>
      </c>
      <c r="N6" s="23" t="n">
        <f aca="false">-(N5*Inputs!$B$9+(MIN(Inputs!$F$31,MAX(0,(N$2-Inputs!$F$36+1)*Inputs!$F$34))-MIN(Inputs!$F$31,MAX(0,(N$2-Inputs!$F$36)*Inputs!$F$34)))*Inputs!$F$35*Inputs!$H$11*(1+Inputs!$B$13)^(N$2-1))</f>
        <v>-5170.97432961776</v>
      </c>
    </row>
    <row r="7" customFormat="false" ht="15" hidden="false" customHeight="true" outlineLevel="0" collapsed="false">
      <c r="B7" s="3" t="s">
        <v>102</v>
      </c>
      <c r="D7" s="23" t="n">
        <f aca="false">-D5*Inputs!$B$10</f>
        <v>-303</v>
      </c>
      <c r="E7" s="23" t="n">
        <f aca="false">-E5*Inputs!$B$10</f>
        <v>-309.06</v>
      </c>
      <c r="F7" s="23" t="n">
        <f aca="false">-F5*Inputs!$B$10</f>
        <v>-315.2412</v>
      </c>
      <c r="G7" s="23" t="n">
        <f aca="false">-G5*Inputs!$B$10</f>
        <v>-321.546024</v>
      </c>
      <c r="H7" s="23" t="n">
        <f aca="false">-H5*Inputs!$B$10</f>
        <v>-327.97694448</v>
      </c>
      <c r="I7" s="23" t="n">
        <f aca="false">-I5*Inputs!$B$10</f>
        <v>-334.5364833696</v>
      </c>
      <c r="J7" s="23" t="n">
        <f aca="false">-J5*Inputs!$B$10</f>
        <v>-341.227213036992</v>
      </c>
      <c r="K7" s="23" t="n">
        <f aca="false">-K5*Inputs!$B$10</f>
        <v>-348.051757297732</v>
      </c>
      <c r="L7" s="23" t="n">
        <f aca="false">-L5*Inputs!$B$10</f>
        <v>-355.012792443686</v>
      </c>
      <c r="M7" s="23" t="n">
        <f aca="false">-M5*Inputs!$B$10</f>
        <v>-362.11304829256</v>
      </c>
      <c r="N7" s="23" t="n">
        <f aca="false">-N5*Inputs!$B$10</f>
        <v>-369.355309258411</v>
      </c>
    </row>
    <row r="8" customFormat="false" ht="15" hidden="false" customHeight="true" outlineLevel="0" collapsed="false">
      <c r="B8" s="3" t="s">
        <v>103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true" outlineLevel="0" collapsed="false">
      <c r="B9" s="4" t="s">
        <v>104</v>
      </c>
      <c r="D9" s="19" t="n">
        <f aca="false">SUM(D5:D8)</f>
        <v>56055</v>
      </c>
      <c r="E9" s="19" t="n">
        <f aca="false">SUM(E5:E8)</f>
        <v>57176.1</v>
      </c>
      <c r="F9" s="19" t="n">
        <f aca="false">SUM(F5:F8)</f>
        <v>58319.622</v>
      </c>
      <c r="G9" s="19" t="n">
        <f aca="false">SUM(G5:G8)</f>
        <v>59486.01444</v>
      </c>
      <c r="H9" s="19" t="n">
        <f aca="false">SUM(H5:H8)</f>
        <v>60675.7347288</v>
      </c>
      <c r="I9" s="19" t="n">
        <f aca="false">SUM(I5:I8)</f>
        <v>61889.249423376</v>
      </c>
      <c r="J9" s="19" t="n">
        <f aca="false">SUM(J5:J8)</f>
        <v>63127.0344118435</v>
      </c>
      <c r="K9" s="19" t="n">
        <f aca="false">SUM(K5:K8)</f>
        <v>64389.5751000804</v>
      </c>
      <c r="L9" s="19" t="n">
        <f aca="false">SUM(L5:L8)</f>
        <v>65677.366602082</v>
      </c>
      <c r="M9" s="19" t="n">
        <f aca="false">SUM(M5:M8)</f>
        <v>66990.9139341236</v>
      </c>
      <c r="N9" s="19" t="n">
        <f aca="false">SUM(N5:N8)</f>
        <v>68330.7322128061</v>
      </c>
    </row>
    <row r="10" customFormat="false" ht="15" hidden="false" customHeight="true" outlineLevel="0" collapsed="false">
      <c r="B10" s="3" t="s">
        <v>105</v>
      </c>
      <c r="D10" s="23" t="n">
        <f aca="false">Inputs!$B$5*Inputs!$B$12*12*(1-Inputs!$B$9)*(1+Inputs!$B$14)^(D$2-1)</f>
        <v>0</v>
      </c>
      <c r="E10" s="23" t="n">
        <f aca="false">Inputs!$B$5*Inputs!$B$12*12*(1-Inputs!$B$9)*(1+Inputs!$B$14)^(E$2-1)</f>
        <v>0</v>
      </c>
      <c r="F10" s="23" t="n">
        <f aca="false">Inputs!$B$5*Inputs!$B$12*12*(1-Inputs!$B$9)*(1+Inputs!$B$14)^(F$2-1)</f>
        <v>0</v>
      </c>
      <c r="G10" s="23" t="n">
        <f aca="false">Inputs!$B$5*Inputs!$B$12*12*(1-Inputs!$B$9)*(1+Inputs!$B$14)^(G$2-1)</f>
        <v>0</v>
      </c>
      <c r="H10" s="23" t="n">
        <f aca="false">Inputs!$B$5*Inputs!$B$12*12*(1-Inputs!$B$9)*(1+Inputs!$B$14)^(H$2-1)</f>
        <v>0</v>
      </c>
      <c r="I10" s="23" t="n">
        <f aca="false">Inputs!$B$5*Inputs!$B$12*12*(1-Inputs!$B$9)*(1+Inputs!$B$14)^(I$2-1)</f>
        <v>0</v>
      </c>
      <c r="J10" s="23" t="n">
        <f aca="false">Inputs!$B$5*Inputs!$B$12*12*(1-Inputs!$B$9)*(1+Inputs!$B$14)^(J$2-1)</f>
        <v>0</v>
      </c>
      <c r="K10" s="23" t="n">
        <f aca="false">Inputs!$B$5*Inputs!$B$12*12*(1-Inputs!$B$9)*(1+Inputs!$B$14)^(K$2-1)</f>
        <v>0</v>
      </c>
      <c r="L10" s="23" t="n">
        <f aca="false">Inputs!$B$5*Inputs!$B$12*12*(1-Inputs!$B$9)*(1+Inputs!$B$14)^(L$2-1)</f>
        <v>0</v>
      </c>
      <c r="M10" s="23" t="n">
        <f aca="false">Inputs!$B$5*Inputs!$B$12*12*(1-Inputs!$B$9)*(1+Inputs!$B$14)^(M$2-1)</f>
        <v>0</v>
      </c>
      <c r="N10" s="23" t="n">
        <f aca="false">Inputs!$B$5*Inputs!$B$12*12*(1-Inputs!$B$9)*(1+Inputs!$B$14)^(N$2-1)</f>
        <v>0</v>
      </c>
    </row>
    <row r="11" customFormat="false" ht="15" hidden="false" customHeight="true" outlineLevel="0" collapsed="false">
      <c r="B11" s="4" t="s">
        <v>106</v>
      </c>
      <c r="D11" s="19" t="n">
        <f aca="false">D9+D10</f>
        <v>56055</v>
      </c>
      <c r="E11" s="19" t="n">
        <f aca="false">E9+E10</f>
        <v>57176.1</v>
      </c>
      <c r="F11" s="19" t="n">
        <f aca="false">F9+F10</f>
        <v>58319.622</v>
      </c>
      <c r="G11" s="19" t="n">
        <f aca="false">G9+G10</f>
        <v>59486.01444</v>
      </c>
      <c r="H11" s="19" t="n">
        <f aca="false">H9+H10</f>
        <v>60675.7347288</v>
      </c>
      <c r="I11" s="19" t="n">
        <f aca="false">I9+I10</f>
        <v>61889.249423376</v>
      </c>
      <c r="J11" s="19" t="n">
        <f aca="false">J9+J10</f>
        <v>63127.0344118435</v>
      </c>
      <c r="K11" s="19" t="n">
        <f aca="false">K9+K10</f>
        <v>64389.5751000804</v>
      </c>
      <c r="L11" s="19" t="n">
        <f aca="false">L9+L10</f>
        <v>65677.366602082</v>
      </c>
      <c r="M11" s="19" t="n">
        <f aca="false">M9+M10</f>
        <v>66990.9139341236</v>
      </c>
      <c r="N11" s="19" t="n">
        <f aca="false">N9+N10</f>
        <v>68330.7322128061</v>
      </c>
    </row>
    <row r="13" customFormat="false" ht="15" hidden="false" customHeight="true" outlineLevel="0" collapsed="false">
      <c r="B13" s="4" t="s">
        <v>107</v>
      </c>
    </row>
    <row r="14" customFormat="false" ht="15" hidden="false" customHeight="true" outlineLevel="0" collapsed="false">
      <c r="B14" s="3" t="s">
        <v>108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true" outlineLevel="0" collapsed="false">
      <c r="B15" s="3" t="s">
        <v>43</v>
      </c>
      <c r="D15" s="23" t="n">
        <f aca="false">-Inputs!$B$18*Inputs!$B$5*(1+Inputs!$B$29)^(D$2-1)</f>
        <v>-1000</v>
      </c>
      <c r="E15" s="23" t="n">
        <f aca="false">-Inputs!$B$18*Inputs!$B$5*(1+Inputs!$B$29)^(E$2-1)</f>
        <v>-1025</v>
      </c>
      <c r="F15" s="23" t="n">
        <f aca="false">-Inputs!$B$18*Inputs!$B$5*(1+Inputs!$B$29)^(F$2-1)</f>
        <v>-1050.625</v>
      </c>
      <c r="G15" s="23" t="n">
        <f aca="false">-Inputs!$B$18*Inputs!$B$5*(1+Inputs!$B$29)^(G$2-1)</f>
        <v>-1076.890625</v>
      </c>
      <c r="H15" s="23" t="n">
        <f aca="false">-Inputs!$B$18*Inputs!$B$5*(1+Inputs!$B$29)^(H$2-1)</f>
        <v>-1103.812890625</v>
      </c>
      <c r="I15" s="23" t="n">
        <f aca="false">-Inputs!$B$18*Inputs!$B$5*(1+Inputs!$B$29)^(I$2-1)</f>
        <v>-1131.40821289062</v>
      </c>
      <c r="J15" s="23" t="n">
        <f aca="false">-Inputs!$B$18*Inputs!$B$5*(1+Inputs!$B$29)^(J$2-1)</f>
        <v>-1159.69341821289</v>
      </c>
      <c r="K15" s="23" t="n">
        <f aca="false">-Inputs!$B$18*Inputs!$B$5*(1+Inputs!$B$29)^(K$2-1)</f>
        <v>-1188.68575366821</v>
      </c>
      <c r="L15" s="23" t="n">
        <f aca="false">-Inputs!$B$18*Inputs!$B$5*(1+Inputs!$B$29)^(L$2-1)</f>
        <v>-1218.40289750992</v>
      </c>
      <c r="M15" s="23" t="n">
        <f aca="false">-Inputs!$B$18*Inputs!$B$5*(1+Inputs!$B$29)^(M$2-1)</f>
        <v>-1248.86296994767</v>
      </c>
      <c r="N15" s="23" t="n">
        <f aca="false">-Inputs!$B$18*Inputs!$B$5*(1+Inputs!$B$29)^(N$2-1)</f>
        <v>-1280.08454419636</v>
      </c>
    </row>
    <row r="16" customFormat="false" ht="15" hidden="false" customHeight="true" outlineLevel="0" collapsed="false">
      <c r="B16" s="3" t="s">
        <v>45</v>
      </c>
      <c r="D16" s="23" t="n">
        <f aca="false">-Inputs!$B$19*Inputs!$B$5*(1+Inputs!$B$29)^(D$2-1)</f>
        <v>-1000</v>
      </c>
      <c r="E16" s="23" t="n">
        <f aca="false">-Inputs!$B$19*Inputs!$B$5*(1+Inputs!$B$29)^(E$2-1)</f>
        <v>-1025</v>
      </c>
      <c r="F16" s="23" t="n">
        <f aca="false">-Inputs!$B$19*Inputs!$B$5*(1+Inputs!$B$29)^(F$2-1)</f>
        <v>-1050.625</v>
      </c>
      <c r="G16" s="23" t="n">
        <f aca="false">-Inputs!$B$19*Inputs!$B$5*(1+Inputs!$B$29)^(G$2-1)</f>
        <v>-1076.890625</v>
      </c>
      <c r="H16" s="23" t="n">
        <f aca="false">-Inputs!$B$19*Inputs!$B$5*(1+Inputs!$B$29)^(H$2-1)</f>
        <v>-1103.812890625</v>
      </c>
      <c r="I16" s="23" t="n">
        <f aca="false">-Inputs!$B$19*Inputs!$B$5*(1+Inputs!$B$29)^(I$2-1)</f>
        <v>-1131.40821289062</v>
      </c>
      <c r="J16" s="23" t="n">
        <f aca="false">-Inputs!$B$19*Inputs!$B$5*(1+Inputs!$B$29)^(J$2-1)</f>
        <v>-1159.69341821289</v>
      </c>
      <c r="K16" s="23" t="n">
        <f aca="false">-Inputs!$B$19*Inputs!$B$5*(1+Inputs!$B$29)^(K$2-1)</f>
        <v>-1188.68575366821</v>
      </c>
      <c r="L16" s="23" t="n">
        <f aca="false">-Inputs!$B$19*Inputs!$B$5*(1+Inputs!$B$29)^(L$2-1)</f>
        <v>-1218.40289750992</v>
      </c>
      <c r="M16" s="23" t="n">
        <f aca="false">-Inputs!$B$19*Inputs!$B$5*(1+Inputs!$B$29)^(M$2-1)</f>
        <v>-1248.86296994767</v>
      </c>
      <c r="N16" s="23" t="n">
        <f aca="false">-Inputs!$B$19*Inputs!$B$5*(1+Inputs!$B$29)^(N$2-1)</f>
        <v>-1280.08454419636</v>
      </c>
    </row>
    <row r="17" customFormat="false" ht="15" hidden="false" customHeight="true" outlineLevel="0" collapsed="false">
      <c r="B17" s="3" t="s">
        <v>47</v>
      </c>
      <c r="D17" s="23" t="n">
        <f aca="false">-Inputs!$B$20*Inputs!$B$5*(1+Inputs!$B$29)^(D$2-1)</f>
        <v>-4500</v>
      </c>
      <c r="E17" s="23" t="n">
        <f aca="false">-Inputs!$B$20*Inputs!$B$5*(1+Inputs!$B$29)^(E$2-1)</f>
        <v>-4612.5</v>
      </c>
      <c r="F17" s="23" t="n">
        <f aca="false">-Inputs!$B$20*Inputs!$B$5*(1+Inputs!$B$29)^(F$2-1)</f>
        <v>-4727.8125</v>
      </c>
      <c r="G17" s="23" t="n">
        <f aca="false">-Inputs!$B$20*Inputs!$B$5*(1+Inputs!$B$29)^(G$2-1)</f>
        <v>-4846.0078125</v>
      </c>
      <c r="H17" s="23" t="n">
        <f aca="false">-Inputs!$B$20*Inputs!$B$5*(1+Inputs!$B$29)^(H$2-1)</f>
        <v>-4967.1580078125</v>
      </c>
      <c r="I17" s="23" t="n">
        <f aca="false">-Inputs!$B$20*Inputs!$B$5*(1+Inputs!$B$29)^(I$2-1)</f>
        <v>-5091.33695800781</v>
      </c>
      <c r="J17" s="23" t="n">
        <f aca="false">-Inputs!$B$20*Inputs!$B$5*(1+Inputs!$B$29)^(J$2-1)</f>
        <v>-5218.62038195801</v>
      </c>
      <c r="K17" s="23" t="n">
        <f aca="false">-Inputs!$B$20*Inputs!$B$5*(1+Inputs!$B$29)^(K$2-1)</f>
        <v>-5349.08589150696</v>
      </c>
      <c r="L17" s="23" t="n">
        <f aca="false">-Inputs!$B$20*Inputs!$B$5*(1+Inputs!$B$29)^(L$2-1)</f>
        <v>-5482.81303879463</v>
      </c>
      <c r="M17" s="23" t="n">
        <f aca="false">-Inputs!$B$20*Inputs!$B$5*(1+Inputs!$B$29)^(M$2-1)</f>
        <v>-5619.88336476449</v>
      </c>
      <c r="N17" s="23" t="n">
        <f aca="false">-Inputs!$B$20*Inputs!$B$5*(1+Inputs!$B$29)^(N$2-1)</f>
        <v>-5760.38044888361</v>
      </c>
    </row>
    <row r="18" customFormat="false" ht="15" hidden="false" customHeight="true" outlineLevel="0" collapsed="false">
      <c r="B18" s="3" t="s">
        <v>49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true" outlineLevel="0" collapsed="false">
      <c r="B19" s="3" t="s">
        <v>50</v>
      </c>
      <c r="D19" s="23" t="n">
        <f aca="false">-Inputs!$B$22*Inputs!$B$5*(1+Inputs!$B$29)^(D$2-1)</f>
        <v>-1500</v>
      </c>
      <c r="E19" s="23" t="n">
        <f aca="false">-Inputs!$B$22*Inputs!$B$5*(1+Inputs!$B$29)^(E$2-1)</f>
        <v>-1537.5</v>
      </c>
      <c r="F19" s="23" t="n">
        <f aca="false">-Inputs!$B$22*Inputs!$B$5*(1+Inputs!$B$29)^(F$2-1)</f>
        <v>-1575.9375</v>
      </c>
      <c r="G19" s="23" t="n">
        <f aca="false">-Inputs!$B$22*Inputs!$B$5*(1+Inputs!$B$29)^(G$2-1)</f>
        <v>-1615.3359375</v>
      </c>
      <c r="H19" s="23" t="n">
        <f aca="false">-Inputs!$B$22*Inputs!$B$5*(1+Inputs!$B$29)^(H$2-1)</f>
        <v>-1655.7193359375</v>
      </c>
      <c r="I19" s="23" t="n">
        <f aca="false">-Inputs!$B$22*Inputs!$B$5*(1+Inputs!$B$29)^(I$2-1)</f>
        <v>-1697.11231933594</v>
      </c>
      <c r="J19" s="23" t="n">
        <f aca="false">-Inputs!$B$22*Inputs!$B$5*(1+Inputs!$B$29)^(J$2-1)</f>
        <v>-1739.54012731934</v>
      </c>
      <c r="K19" s="23" t="n">
        <f aca="false">-Inputs!$B$22*Inputs!$B$5*(1+Inputs!$B$29)^(K$2-1)</f>
        <v>-1783.02863050232</v>
      </c>
      <c r="L19" s="23" t="n">
        <f aca="false">-Inputs!$B$22*Inputs!$B$5*(1+Inputs!$B$29)^(L$2-1)</f>
        <v>-1827.60434626488</v>
      </c>
      <c r="M19" s="23" t="n">
        <f aca="false">-Inputs!$B$22*Inputs!$B$5*(1+Inputs!$B$29)^(M$2-1)</f>
        <v>-1873.2944549215</v>
      </c>
      <c r="N19" s="23" t="n">
        <f aca="false">-Inputs!$B$22*Inputs!$B$5*(1+Inputs!$B$29)^(N$2-1)</f>
        <v>-1920.12681629454</v>
      </c>
    </row>
    <row r="20" customFormat="false" ht="15" hidden="false" customHeight="true" outlineLevel="0" collapsed="false">
      <c r="B20" s="3" t="s">
        <v>52</v>
      </c>
      <c r="D20" s="23" t="n">
        <f aca="false">-Inputs!$B$23*Inputs!$B$5*(1+Inputs!$B$29)^(D$2-1)</f>
        <v>-500</v>
      </c>
      <c r="E20" s="23" t="n">
        <f aca="false">-Inputs!$B$23*Inputs!$B$5*(1+Inputs!$B$29)^(E$2-1)</f>
        <v>-512.5</v>
      </c>
      <c r="F20" s="23" t="n">
        <f aca="false">-Inputs!$B$23*Inputs!$B$5*(1+Inputs!$B$29)^(F$2-1)</f>
        <v>-525.3125</v>
      </c>
      <c r="G20" s="23" t="n">
        <f aca="false">-Inputs!$B$23*Inputs!$B$5*(1+Inputs!$B$29)^(G$2-1)</f>
        <v>-538.4453125</v>
      </c>
      <c r="H20" s="23" t="n">
        <f aca="false">-Inputs!$B$23*Inputs!$B$5*(1+Inputs!$B$29)^(H$2-1)</f>
        <v>-551.9064453125</v>
      </c>
      <c r="I20" s="23" t="n">
        <f aca="false">-Inputs!$B$23*Inputs!$B$5*(1+Inputs!$B$29)^(I$2-1)</f>
        <v>-565.704106445312</v>
      </c>
      <c r="J20" s="23" t="n">
        <f aca="false">-Inputs!$B$23*Inputs!$B$5*(1+Inputs!$B$29)^(J$2-1)</f>
        <v>-579.846709106445</v>
      </c>
      <c r="K20" s="23" t="n">
        <f aca="false">-Inputs!$B$23*Inputs!$B$5*(1+Inputs!$B$29)^(K$2-1)</f>
        <v>-594.342876834106</v>
      </c>
      <c r="L20" s="23" t="n">
        <f aca="false">-Inputs!$B$23*Inputs!$B$5*(1+Inputs!$B$29)^(L$2-1)</f>
        <v>-609.201448754959</v>
      </c>
      <c r="M20" s="23" t="n">
        <f aca="false">-Inputs!$B$23*Inputs!$B$5*(1+Inputs!$B$29)^(M$2-1)</f>
        <v>-624.431484973833</v>
      </c>
      <c r="N20" s="23" t="n">
        <f aca="false">-Inputs!$B$23*Inputs!$B$5*(1+Inputs!$B$29)^(N$2-1)</f>
        <v>-640.042272098178</v>
      </c>
    </row>
    <row r="21" customFormat="false" ht="15" hidden="false" customHeight="true" outlineLevel="0" collapsed="false">
      <c r="B21" s="3" t="s">
        <v>54</v>
      </c>
      <c r="D21" s="23" t="n">
        <f aca="false">-Inputs!$B$24*Inputs!$B$5*(1+Inputs!$B$29)^(D$2-1)</f>
        <v>-12500</v>
      </c>
      <c r="E21" s="23" t="n">
        <f aca="false">-Inputs!$B$24*Inputs!$B$5*(1+Inputs!$B$29)^(E$2-1)</f>
        <v>-12812.5</v>
      </c>
      <c r="F21" s="23" t="n">
        <f aca="false">-Inputs!$B$24*Inputs!$B$5*(1+Inputs!$B$29)^(F$2-1)</f>
        <v>-13132.8125</v>
      </c>
      <c r="G21" s="23" t="n">
        <f aca="false">-Inputs!$B$24*Inputs!$B$5*(1+Inputs!$B$29)^(G$2-1)</f>
        <v>-13461.1328125</v>
      </c>
      <c r="H21" s="23" t="n">
        <f aca="false">-Inputs!$B$24*Inputs!$B$5*(1+Inputs!$B$29)^(H$2-1)</f>
        <v>-13797.6611328125</v>
      </c>
      <c r="I21" s="23" t="n">
        <f aca="false">-Inputs!$B$24*Inputs!$B$5*(1+Inputs!$B$29)^(I$2-1)</f>
        <v>-14142.6026611328</v>
      </c>
      <c r="J21" s="23" t="n">
        <f aca="false">-Inputs!$B$24*Inputs!$B$5*(1+Inputs!$B$29)^(J$2-1)</f>
        <v>-14496.1677276611</v>
      </c>
      <c r="K21" s="23" t="n">
        <f aca="false">-Inputs!$B$24*Inputs!$B$5*(1+Inputs!$B$29)^(K$2-1)</f>
        <v>-14858.5719208527</v>
      </c>
      <c r="L21" s="23" t="n">
        <f aca="false">-Inputs!$B$24*Inputs!$B$5*(1+Inputs!$B$29)^(L$2-1)</f>
        <v>-15230.036218874</v>
      </c>
      <c r="M21" s="23" t="n">
        <f aca="false">-Inputs!$B$24*Inputs!$B$5*(1+Inputs!$B$29)^(M$2-1)</f>
        <v>-15610.7871243458</v>
      </c>
      <c r="N21" s="23" t="n">
        <f aca="false">-Inputs!$B$24*Inputs!$B$5*(1+Inputs!$B$29)^(N$2-1)</f>
        <v>-16001.0568024545</v>
      </c>
    </row>
    <row r="22" customFormat="false" ht="15" hidden="false" customHeight="true" outlineLevel="0" collapsed="false">
      <c r="B22" s="3" t="s">
        <v>109</v>
      </c>
      <c r="D22" s="23" t="n">
        <f aca="false">-Inputs!$B$25*(1+Inputs!$B$29)^(D$2-1)</f>
        <v>-6038</v>
      </c>
      <c r="E22" s="23" t="n">
        <f aca="false">-Inputs!$B$25*(1+Inputs!$B$29)^(E$2-1)</f>
        <v>-6188.95</v>
      </c>
      <c r="F22" s="23" t="n">
        <f aca="false">-Inputs!$B$25*(1+Inputs!$B$29)^(F$2-1)</f>
        <v>-6343.67375</v>
      </c>
      <c r="G22" s="23" t="n">
        <f aca="false">-Inputs!$B$25*(1+Inputs!$B$29)^(G$2-1)</f>
        <v>-6502.26559375</v>
      </c>
      <c r="H22" s="23" t="n">
        <f aca="false">-Inputs!$B$25*(1+Inputs!$B$29)^(H$2-1)</f>
        <v>-6664.82223359375</v>
      </c>
      <c r="I22" s="23" t="n">
        <f aca="false">-Inputs!$B$25*(1+Inputs!$B$29)^(I$2-1)</f>
        <v>-6831.44278943359</v>
      </c>
      <c r="J22" s="23" t="n">
        <f aca="false">-Inputs!$B$25*(1+Inputs!$B$29)^(J$2-1)</f>
        <v>-7002.22885916943</v>
      </c>
      <c r="K22" s="23" t="n">
        <f aca="false">-Inputs!$B$25*(1+Inputs!$B$29)^(K$2-1)</f>
        <v>-7177.28458064867</v>
      </c>
      <c r="L22" s="23" t="n">
        <f aca="false">-Inputs!$B$25*(1+Inputs!$B$29)^(L$2-1)</f>
        <v>-7356.71669516488</v>
      </c>
      <c r="M22" s="23" t="n">
        <f aca="false">-Inputs!$B$25*(1+Inputs!$B$29)^(M$2-1)</f>
        <v>-7540.634612544</v>
      </c>
      <c r="N22" s="23" t="n">
        <f aca="false">-Inputs!$B$25*(1+Inputs!$B$29)^(N$2-1)</f>
        <v>-7729.1504778576</v>
      </c>
    </row>
    <row r="23" customFormat="false" ht="15" hidden="false" customHeight="true" outlineLevel="0" collapsed="false">
      <c r="B23" s="3" t="s">
        <v>110</v>
      </c>
      <c r="D23" s="23" t="n">
        <f aca="false">-D11*Inputs!$B$26</f>
        <v>-5605.5</v>
      </c>
      <c r="E23" s="23" t="n">
        <f aca="false">-E11*Inputs!$B$26</f>
        <v>-5717.61</v>
      </c>
      <c r="F23" s="23" t="n">
        <f aca="false">-F11*Inputs!$B$26</f>
        <v>-5831.9622</v>
      </c>
      <c r="G23" s="23" t="n">
        <f aca="false">-G11*Inputs!$B$26</f>
        <v>-5948.601444</v>
      </c>
      <c r="H23" s="23" t="n">
        <f aca="false">-H11*Inputs!$B$26</f>
        <v>-6067.57347288</v>
      </c>
      <c r="I23" s="23" t="n">
        <f aca="false">-I11*Inputs!$B$26</f>
        <v>-6188.9249423376</v>
      </c>
      <c r="J23" s="23" t="n">
        <f aca="false">-J11*Inputs!$B$26</f>
        <v>-6312.70344118435</v>
      </c>
      <c r="K23" s="23" t="n">
        <f aca="false">-K11*Inputs!$B$26</f>
        <v>-6438.95751000804</v>
      </c>
      <c r="L23" s="23" t="n">
        <f aca="false">-L11*Inputs!$B$26</f>
        <v>-6567.7366602082</v>
      </c>
      <c r="M23" s="23" t="n">
        <f aca="false">-M11*Inputs!$B$26</f>
        <v>-6699.09139341237</v>
      </c>
      <c r="N23" s="23" t="n">
        <f aca="false">-N11*Inputs!$B$26</f>
        <v>-6833.07322128061</v>
      </c>
    </row>
    <row r="24" customFormat="false" ht="15" hidden="false" customHeight="true" outlineLevel="0" collapsed="false">
      <c r="B24" s="4" t="s">
        <v>111</v>
      </c>
      <c r="D24" s="19" t="n">
        <f aca="false">SUM(D14:D23)</f>
        <v>-32643.5</v>
      </c>
      <c r="E24" s="19" t="n">
        <f aca="false">SUM(E14:E23)</f>
        <v>-33431.56</v>
      </c>
      <c r="F24" s="19" t="n">
        <f aca="false">SUM(F14:F23)</f>
        <v>-34238.76095</v>
      </c>
      <c r="G24" s="19" t="n">
        <f aca="false">SUM(G14:G23)</f>
        <v>-35065.57016275</v>
      </c>
      <c r="H24" s="19" t="n">
        <f aca="false">SUM(H14:H23)</f>
        <v>-35912.4664095987</v>
      </c>
      <c r="I24" s="19" t="n">
        <f aca="false">SUM(I14:I23)</f>
        <v>-36779.9402024743</v>
      </c>
      <c r="J24" s="19" t="n">
        <f aca="false">SUM(J14:J23)</f>
        <v>-37668.4940828245</v>
      </c>
      <c r="K24" s="19" t="n">
        <f aca="false">SUM(K14:K23)</f>
        <v>-38578.6429176892</v>
      </c>
      <c r="L24" s="19" t="n">
        <f aca="false">SUM(L14:L23)</f>
        <v>-39510.9142030813</v>
      </c>
      <c r="M24" s="19" t="n">
        <f aca="false">SUM(M14:M23)</f>
        <v>-40465.8483748573</v>
      </c>
      <c r="N24" s="19" t="n">
        <f aca="false">SUM(N14:N23)</f>
        <v>-41443.9991272617</v>
      </c>
    </row>
    <row r="25" customFormat="false" ht="15" hidden="false" customHeight="true" outlineLevel="0" collapsed="false">
      <c r="B25" s="4" t="s">
        <v>112</v>
      </c>
      <c r="D25" s="19" t="n">
        <f aca="false">D11+D24</f>
        <v>23411.5</v>
      </c>
      <c r="E25" s="19" t="n">
        <f aca="false">E11+E24</f>
        <v>23744.54</v>
      </c>
      <c r="F25" s="19" t="n">
        <f aca="false">F11+F24</f>
        <v>24080.86105</v>
      </c>
      <c r="G25" s="19" t="n">
        <f aca="false">G11+G24</f>
        <v>24420.44427725</v>
      </c>
      <c r="H25" s="19" t="n">
        <f aca="false">H11+H24</f>
        <v>24763.2683192013</v>
      </c>
      <c r="I25" s="19" t="n">
        <f aca="false">I11+I24</f>
        <v>25109.3092209017</v>
      </c>
      <c r="J25" s="19" t="n">
        <f aca="false">J11+J24</f>
        <v>25458.5403290191</v>
      </c>
      <c r="K25" s="19" t="n">
        <f aca="false">K11+K24</f>
        <v>25810.9321823912</v>
      </c>
      <c r="L25" s="19" t="n">
        <f aca="false">L11+L24</f>
        <v>26166.4523990007</v>
      </c>
      <c r="M25" s="19" t="n">
        <f aca="false">M11+M24</f>
        <v>26525.0655592663</v>
      </c>
      <c r="N25" s="19" t="n">
        <f aca="false">N11+N24</f>
        <v>26886.7330855444</v>
      </c>
    </row>
    <row r="26" customFormat="false" ht="15" hidden="false" customHeight="true" outlineLevel="0" collapsed="false">
      <c r="B26" s="3" t="s">
        <v>113</v>
      </c>
      <c r="D26" s="23" t="n">
        <f aca="false">-Inputs!$B$5*Inputs!$B$28*(1+Inputs!$B$29)^(D$2-1)</f>
        <v>-2000</v>
      </c>
      <c r="E26" s="23" t="n">
        <f aca="false">-Inputs!$B$5*Inputs!$B$28*(1+Inputs!$B$29)^(E$2-1)</f>
        <v>-2050</v>
      </c>
      <c r="F26" s="23" t="n">
        <f aca="false">-Inputs!$B$5*Inputs!$B$28*(1+Inputs!$B$29)^(F$2-1)</f>
        <v>-2101.25</v>
      </c>
      <c r="G26" s="23" t="n">
        <f aca="false">-Inputs!$B$5*Inputs!$B$28*(1+Inputs!$B$29)^(G$2-1)</f>
        <v>-2153.78125</v>
      </c>
      <c r="H26" s="23" t="n">
        <f aca="false">-Inputs!$B$5*Inputs!$B$28*(1+Inputs!$B$29)^(H$2-1)</f>
        <v>-2207.62578125</v>
      </c>
      <c r="I26" s="23" t="n">
        <f aca="false">-Inputs!$B$5*Inputs!$B$28*(1+Inputs!$B$29)^(I$2-1)</f>
        <v>-2262.81642578125</v>
      </c>
      <c r="J26" s="23" t="n">
        <f aca="false">-Inputs!$B$5*Inputs!$B$28*(1+Inputs!$B$29)^(J$2-1)</f>
        <v>-2319.38683642578</v>
      </c>
      <c r="K26" s="23" t="n">
        <f aca="false">-Inputs!$B$5*Inputs!$B$28*(1+Inputs!$B$29)^(K$2-1)</f>
        <v>-2377.37150733642</v>
      </c>
      <c r="L26" s="23" t="n">
        <f aca="false">-Inputs!$B$5*Inputs!$B$28*(1+Inputs!$B$29)^(L$2-1)</f>
        <v>-2436.80579501983</v>
      </c>
      <c r="M26" s="23" t="n">
        <f aca="false">-Inputs!$B$5*Inputs!$B$28*(1+Inputs!$B$29)^(M$2-1)</f>
        <v>-2497.72593989533</v>
      </c>
      <c r="N26" s="23" t="n">
        <f aca="false">-Inputs!$B$5*Inputs!$B$28*(1+Inputs!$B$29)^(N$2-1)</f>
        <v>-2560.16908839271</v>
      </c>
    </row>
    <row r="27" customFormat="false" ht="15" hidden="false" customHeight="true" outlineLevel="0" collapsed="false">
      <c r="B27" s="3" t="s">
        <v>114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115</v>
      </c>
      <c r="D28" s="19" t="n">
        <f aca="false">D25+D26+D27</f>
        <v>21411.5</v>
      </c>
      <c r="E28" s="19" t="n">
        <f aca="false">E25+E26+E27</f>
        <v>21694.54</v>
      </c>
      <c r="F28" s="19" t="n">
        <f aca="false">F25+F26+F27</f>
        <v>21979.61105</v>
      </c>
      <c r="G28" s="19" t="n">
        <f aca="false">G25+G26+G27</f>
        <v>22266.66302725</v>
      </c>
      <c r="H28" s="19" t="n">
        <f aca="false">H25+H26+H27</f>
        <v>22555.6425379513</v>
      </c>
      <c r="I28" s="19" t="n">
        <f aca="false">I25+I26+I27</f>
        <v>22846.4927951205</v>
      </c>
      <c r="J28" s="19" t="n">
        <f aca="false">J25+J26+J27</f>
        <v>23139.1534925933</v>
      </c>
      <c r="K28" s="19" t="n">
        <f aca="false">K25+K26+K27</f>
        <v>23433.5606750548</v>
      </c>
      <c r="L28" s="19" t="n">
        <f aca="false">L25+L26+L27</f>
        <v>23729.6466039808</v>
      </c>
      <c r="M28" s="19" t="n">
        <f aca="false">M25+M26+M27</f>
        <v>24027.339619371</v>
      </c>
      <c r="N28" s="19" t="n">
        <f aca="false">N25+N26+N27</f>
        <v>24326.5639971517</v>
      </c>
    </row>
    <row r="30" customFormat="false" ht="15" hidden="false" customHeight="true" outlineLevel="0" collapsed="false">
      <c r="B30" s="4" t="s">
        <v>116</v>
      </c>
    </row>
    <row r="31" customFormat="false" ht="15" hidden="false" customHeight="true" outlineLevel="0" collapsed="false">
      <c r="B31" s="1" t="s">
        <v>117</v>
      </c>
      <c r="D31" s="12" t="n">
        <f aca="false">IF(D$2=1,Inputs!$B$52,IF(AND(Inputs!$F$14&gt;0,D$2=Inputs!$F$14+1),Inputs!$F$24,C35))</f>
        <v>225899.642676578</v>
      </c>
      <c r="E31" s="12" t="n">
        <f aca="false">IF(E$2=1,Inputs!$B$52,IF(AND(Inputs!$F$14&gt;0,E$2=Inputs!$F$14+1),Inputs!$F$24,D35))</f>
        <v>222308.930896002</v>
      </c>
      <c r="F31" s="12" t="n">
        <f aca="false">IF(F$2=1,Inputs!$B$52,IF(AND(Inputs!$F$14&gt;0,F$2=Inputs!$F$14+1),Inputs!$F$24,E35))</f>
        <v>218468.205263321</v>
      </c>
      <c r="G31" s="12" t="n">
        <f aca="false">IF(G$2=1,Inputs!$B$52,IF(AND(Inputs!$F$14&gt;0,G$2=Inputs!$F$14+1),Inputs!$F$24,F35))</f>
        <v>214360.057829897</v>
      </c>
      <c r="H31" s="12" t="n">
        <f aca="false">IF(H$2=1,Inputs!$B$52,IF(AND(Inputs!$F$14&gt;0,H$2=Inputs!$F$14+1),Inputs!$F$24,G35))</f>
        <v>209965.868567551</v>
      </c>
      <c r="I31" s="12" t="n">
        <f aca="false">IF(I$2=1,Inputs!$B$52,IF(AND(Inputs!$F$14&gt;0,I$2=Inputs!$F$14+1),Inputs!$F$24,H35))</f>
        <v>205265.720973962</v>
      </c>
      <c r="J31" s="12" t="n">
        <f aca="false">IF(J$2=1,Inputs!$B$52,IF(AND(Inputs!$F$14&gt;0,J$2=Inputs!$F$14+1),Inputs!$F$24,I35))</f>
        <v>200238.311801849</v>
      </c>
      <c r="K31" s="12" t="n">
        <f aca="false">IF(K$2=1,Inputs!$B$52,IF(AND(Inputs!$F$14&gt;0,K$2=Inputs!$F$14+1),Inputs!$F$24,J35))</f>
        <v>194860.854502779</v>
      </c>
      <c r="L31" s="12" t="n">
        <f aca="false">IF(L$2=1,Inputs!$B$52,IF(AND(Inputs!$F$14&gt;0,L$2=Inputs!$F$14+1),Inputs!$F$24,K35))</f>
        <v>189108.975947972</v>
      </c>
      <c r="M31" s="12" t="n">
        <f aca="false">IF(M$2=1,Inputs!$B$52,IF(AND(Inputs!$F$14&gt;0,M$2=Inputs!$F$14+1),Inputs!$F$24,L35))</f>
        <v>182956.605957982</v>
      </c>
      <c r="N31" s="12" t="n">
        <f aca="false">IF(N$2=1,Inputs!$B$52,IF(AND(Inputs!$F$14&gt;0,N$2=Inputs!$F$14+1),Inputs!$F$24,M35))</f>
        <v>176375.859140563</v>
      </c>
    </row>
    <row r="32" customFormat="false" ht="15" hidden="false" customHeight="true" outlineLevel="0" collapsed="false">
      <c r="B32" s="3" t="s">
        <v>118</v>
      </c>
      <c r="D32" s="23" t="n">
        <f aca="false">IF(D$2&lt;=Inputs!$B$36,D31*IF(AND(Inputs!$F$14&gt;0,D$2&gt;Inputs!$F$14),Inputs!$F$18,Inputs!$B$34),12*IF(AND(Inputs!$F$14&gt;0,D$2&gt;Inputs!$F$14),Inputs!$F$28,Inputs!$B$53)-(D31-D35))</f>
        <v>15138.488219424</v>
      </c>
      <c r="E32" s="23" t="n">
        <f aca="false">IF(E$2&lt;=Inputs!$B$36,E31*IF(AND(Inputs!$F$14&gt;0,E$2&gt;Inputs!$F$14),Inputs!$F$18,Inputs!$B$34),12*IF(AND(Inputs!$F$14&gt;0,E$2&gt;Inputs!$F$14),Inputs!$F$28,Inputs!$B$53)-(E31-E35))</f>
        <v>14888.4743673184</v>
      </c>
      <c r="F32" s="23" t="n">
        <f aca="false">IF(F$2&lt;=Inputs!$B$36,F31*IF(AND(Inputs!$F$14&gt;0,F$2&gt;Inputs!$F$14),Inputs!$F$18,Inputs!$B$34),12*IF(AND(Inputs!$F$14&gt;0,F$2&gt;Inputs!$F$14),Inputs!$F$28,Inputs!$B$53)-(F31-F35))</f>
        <v>14621.0525665763</v>
      </c>
      <c r="G32" s="23" t="n">
        <f aca="false">IF(G$2&lt;=Inputs!$B$36,G31*IF(AND(Inputs!$F$14&gt;0,G$2&gt;Inputs!$F$14),Inputs!$F$18,Inputs!$B$34),12*IF(AND(Inputs!$F$14&gt;0,G$2&gt;Inputs!$F$14),Inputs!$F$28,Inputs!$B$53)-(G31-G35))</f>
        <v>14335.0107376543</v>
      </c>
      <c r="H32" s="23" t="n">
        <f aca="false">IF(H$2&lt;=Inputs!$B$36,H31*IF(AND(Inputs!$F$14&gt;0,H$2&gt;Inputs!$F$14),Inputs!$F$18,Inputs!$B$34),12*IF(AND(Inputs!$F$14&gt;0,H$2&gt;Inputs!$F$14),Inputs!$F$28,Inputs!$B$53)-(H31-H35))</f>
        <v>14029.0524064112</v>
      </c>
      <c r="I32" s="23" t="n">
        <f aca="false">IF(I$2&lt;=Inputs!$B$36,I31*IF(AND(Inputs!$F$14&gt;0,I$2&gt;Inputs!$F$14),Inputs!$F$18,Inputs!$B$34),12*IF(AND(Inputs!$F$14&gt;0,I$2&gt;Inputs!$F$14),Inputs!$F$28,Inputs!$B$53)-(I31-I35))</f>
        <v>13701.7908278866</v>
      </c>
      <c r="J32" s="23" t="n">
        <f aca="false">IF(J$2&lt;=Inputs!$B$36,J31*IF(AND(Inputs!$F$14&gt;0,J$2&gt;Inputs!$F$14),Inputs!$F$18,Inputs!$B$34),12*IF(AND(Inputs!$F$14&gt;0,J$2&gt;Inputs!$F$14),Inputs!$F$28,Inputs!$B$53)-(J31-J35))</f>
        <v>13351.7427009302</v>
      </c>
      <c r="K32" s="23" t="n">
        <f aca="false">IF(K$2&lt;=Inputs!$B$36,K31*IF(AND(Inputs!$F$14&gt;0,K$2&gt;Inputs!$F$14),Inputs!$F$18,Inputs!$B$34),12*IF(AND(Inputs!$F$14&gt;0,K$2&gt;Inputs!$F$14),Inputs!$F$28,Inputs!$B$53)-(K31-K35))</f>
        <v>12977.3214451929</v>
      </c>
      <c r="L32" s="23" t="n">
        <f aca="false">IF(L$2&lt;=Inputs!$B$36,L31*IF(AND(Inputs!$F$14&gt;0,L$2&gt;Inputs!$F$14),Inputs!$F$18,Inputs!$B$34),12*IF(AND(Inputs!$F$14&gt;0,L$2&gt;Inputs!$F$14),Inputs!$F$28,Inputs!$B$53)-(L31-L35))</f>
        <v>12576.8300100101</v>
      </c>
      <c r="M32" s="23" t="n">
        <f aca="false">IF(M$2&lt;=Inputs!$B$36,M31*IF(AND(Inputs!$F$14&gt;0,M$2&gt;Inputs!$F$14),Inputs!$F$18,Inputs!$B$34),12*IF(AND(Inputs!$F$14&gt;0,M$2&gt;Inputs!$F$14),Inputs!$F$28,Inputs!$B$53)-(M31-M35))</f>
        <v>12148.4531825808</v>
      </c>
      <c r="N32" s="23" t="n">
        <f aca="false">IF(N$2&lt;=Inputs!$B$36,N31*IF(AND(Inputs!$F$14&gt;0,N$2&gt;Inputs!$F$14),Inputs!$F$18,Inputs!$B$34),12*IF(AND(Inputs!$F$14&gt;0,N$2&gt;Inputs!$F$14),Inputs!$F$28,Inputs!$B$53)-(N31-N35))</f>
        <v>11690.2493605824</v>
      </c>
    </row>
    <row r="33" customFormat="false" ht="15" hidden="false" customHeight="true" outlineLevel="0" collapsed="false">
      <c r="B33" s="3" t="s">
        <v>119</v>
      </c>
      <c r="D33" s="23" t="n">
        <f aca="false">D31-D35</f>
        <v>3590.71178057601</v>
      </c>
      <c r="E33" s="23" t="n">
        <f aca="false">E31-E35</f>
        <v>3840.7256326816</v>
      </c>
      <c r="F33" s="23" t="n">
        <f aca="false">F31-F35</f>
        <v>4108.14743342367</v>
      </c>
      <c r="G33" s="23" t="n">
        <f aca="false">G31-G35</f>
        <v>4394.18926234572</v>
      </c>
      <c r="H33" s="23" t="n">
        <f aca="false">H31-H35</f>
        <v>4700.14759358883</v>
      </c>
      <c r="I33" s="23" t="n">
        <f aca="false">I31-I35</f>
        <v>5027.40917211337</v>
      </c>
      <c r="J33" s="23" t="n">
        <f aca="false">J31-J35</f>
        <v>5377.45729906982</v>
      </c>
      <c r="K33" s="23" t="n">
        <f aca="false">K31-K35</f>
        <v>5751.87855480705</v>
      </c>
      <c r="L33" s="23" t="n">
        <f aca="false">L31-L35</f>
        <v>6152.36998998991</v>
      </c>
      <c r="M33" s="23" t="n">
        <f aca="false">M31-M35</f>
        <v>6580.74681741922</v>
      </c>
      <c r="N33" s="23" t="n">
        <f aca="false">N31-N35</f>
        <v>7038.9506394176</v>
      </c>
    </row>
    <row r="34" customFormat="false" ht="15" hidden="false" customHeight="true" outlineLevel="0" collapsed="false">
      <c r="B34" s="4" t="s">
        <v>120</v>
      </c>
      <c r="D34" s="19" t="n">
        <f aca="false">D32+D33</f>
        <v>18729.2</v>
      </c>
      <c r="E34" s="19" t="n">
        <f aca="false">E32+E33</f>
        <v>18729.2</v>
      </c>
      <c r="F34" s="19" t="n">
        <f aca="false">F32+F33</f>
        <v>18729.2</v>
      </c>
      <c r="G34" s="19" t="n">
        <f aca="false">G32+G33</f>
        <v>18729.2</v>
      </c>
      <c r="H34" s="19" t="n">
        <f aca="false">H32+H33</f>
        <v>18729.2</v>
      </c>
      <c r="I34" s="19" t="n">
        <f aca="false">I32+I33</f>
        <v>18729.2</v>
      </c>
      <c r="J34" s="19" t="n">
        <f aca="false">J32+J33</f>
        <v>18729.2</v>
      </c>
      <c r="K34" s="19" t="n">
        <f aca="false">K32+K33</f>
        <v>18729.2</v>
      </c>
      <c r="L34" s="19" t="n">
        <f aca="false">L32+L33</f>
        <v>18729.2</v>
      </c>
      <c r="M34" s="19" t="n">
        <f aca="false">M32+M33</f>
        <v>18729.2</v>
      </c>
      <c r="N34" s="19" t="n">
        <f aca="false">N32+N33</f>
        <v>18729.2</v>
      </c>
    </row>
    <row r="35" customFormat="false" ht="15" hidden="false" customHeight="true" outlineLevel="0" collapsed="false">
      <c r="B35" s="3" t="s">
        <v>121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222308.930896002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218468.205263321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214360.057829897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209965.868567551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205265.720973962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200238.311801849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194860.854502779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189108.975947972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182956.605957982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176375.859140563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169336.908501145</v>
      </c>
    </row>
    <row r="37" customFormat="false" ht="15" hidden="false" customHeight="true" outlineLevel="0" collapsed="false">
      <c r="B37" s="4" t="s">
        <v>122</v>
      </c>
      <c r="D37" s="19" t="n">
        <f aca="false">D28-D34</f>
        <v>2682.30000000001</v>
      </c>
      <c r="E37" s="19" t="n">
        <f aca="false">E28-E34</f>
        <v>2965.34000000001</v>
      </c>
      <c r="F37" s="19" t="n">
        <f aca="false">F28-F34</f>
        <v>3250.41105000001</v>
      </c>
      <c r="G37" s="19" t="n">
        <f aca="false">G28-G34</f>
        <v>3537.46302725002</v>
      </c>
      <c r="H37" s="19" t="n">
        <f aca="false">H28-H34</f>
        <v>3826.44253795128</v>
      </c>
      <c r="I37" s="19" t="n">
        <f aca="false">I28-I34</f>
        <v>4117.29279512047</v>
      </c>
      <c r="J37" s="19" t="n">
        <f aca="false">J28-J34</f>
        <v>4409.95349259328</v>
      </c>
      <c r="K37" s="19" t="n">
        <f aca="false">K28-K34</f>
        <v>4704.36067505481</v>
      </c>
      <c r="L37" s="19" t="n">
        <f aca="false">L28-L34</f>
        <v>5000.44660398083</v>
      </c>
      <c r="M37" s="19" t="n">
        <f aca="false">M28-M34</f>
        <v>5298.13961937099</v>
      </c>
      <c r="N37" s="19" t="n">
        <f aca="false">N28-N34</f>
        <v>5597.36399715171</v>
      </c>
    </row>
    <row r="38" customFormat="false" ht="15" hidden="false" customHeight="true" outlineLevel="0" collapsed="false">
      <c r="B38" s="3" t="s">
        <v>123</v>
      </c>
      <c r="D38" s="24" t="n">
        <f aca="false">IFERROR(D25/D34,"")</f>
        <v>1.25</v>
      </c>
      <c r="E38" s="24" t="n">
        <f aca="false">IFERROR(E25/E34,"")</f>
        <v>1.26778185934263</v>
      </c>
      <c r="F38" s="24" t="n">
        <f aca="false">IFERROR(F25/F34,"")</f>
        <v>1.28573890235568</v>
      </c>
      <c r="G38" s="24" t="n">
        <f aca="false">IFERROR(G25/G34,"")</f>
        <v>1.30387012137465</v>
      </c>
      <c r="H38" s="24" t="n">
        <f aca="false">IFERROR(H25/H34,"")</f>
        <v>1.32217437579829</v>
      </c>
      <c r="I38" s="24" t="n">
        <f aca="false">IFERROR(I25/I34,"")</f>
        <v>1.3406503866103</v>
      </c>
      <c r="J38" s="24" t="n">
        <f aca="false">IFERROR(J25/J34,"")</f>
        <v>1.35929673072096</v>
      </c>
      <c r="K38" s="24" t="n">
        <f aca="false">IFERROR(K25/K34,"")</f>
        <v>1.3781118351233</v>
      </c>
      <c r="L38" s="24" t="n">
        <f aca="false">IFERROR(L25/L34,"")</f>
        <v>1.39709397085837</v>
      </c>
      <c r="M38" s="24" t="n">
        <f aca="false">IFERROR(M25/M34,"")</f>
        <v>1.41624124678397</v>
      </c>
      <c r="N38" s="24" t="n">
        <f aca="false">IFERROR(N25/N34,"")</f>
        <v>1.43555160314079</v>
      </c>
    </row>
    <row r="39" customFormat="false" ht="15" hidden="false" customHeight="true" outlineLevel="0" collapsed="false">
      <c r="B39" s="3" t="s">
        <v>124</v>
      </c>
      <c r="D39" s="25" t="n">
        <f aca="false">IFERROR(D37/Inputs!$B$54,"")</f>
        <v>0.00860099261973282</v>
      </c>
      <c r="E39" s="25" t="n">
        <f aca="false">IFERROR(E37/Inputs!$B$54,"")</f>
        <v>0.00950858123811599</v>
      </c>
      <c r="F39" s="25" t="n">
        <f aca="false">IFERROR(F37/Inputs!$B$54,"")</f>
        <v>0.0104226825680006</v>
      </c>
      <c r="G39" s="25" t="n">
        <f aca="false">IFERROR(G37/Inputs!$B$54,"")</f>
        <v>0.011343135887095</v>
      </c>
      <c r="H39" s="25" t="n">
        <f aca="false">IFERROR(H37/Inputs!$B$54,"")</f>
        <v>0.0122697699842488</v>
      </c>
      <c r="I39" s="25" t="n">
        <f aca="false">IFERROR(I37/Inputs!$B$54,"")</f>
        <v>0.013202402767815</v>
      </c>
      <c r="J39" s="25" t="n">
        <f aca="false">IFERROR(J37/Inputs!$B$54,"")</f>
        <v>0.0141408408616335</v>
      </c>
      <c r="K39" s="25" t="n">
        <f aca="false">IFERROR(K37/Inputs!$B$54,"")</f>
        <v>0.0150848791882741</v>
      </c>
      <c r="L39" s="25" t="n">
        <f aca="false">IFERROR(L37/Inputs!$B$54,"")</f>
        <v>0.0160343005391667</v>
      </c>
      <c r="M39" s="25" t="n">
        <f aca="false">IFERROR(M37/Inputs!$B$54,"")</f>
        <v>0.0169888751312395</v>
      </c>
      <c r="N39" s="25" t="n">
        <f aca="false">IFERROR(N37/Inputs!$B$54,"")</f>
        <v>0.01794836014967</v>
      </c>
    </row>
    <row r="40" customFormat="false" ht="15" hidden="false" customHeight="true" outlineLevel="0" collapsed="false">
      <c r="B40" s="3" t="s">
        <v>125</v>
      </c>
      <c r="D40" s="24" t="n">
        <f aca="false">IFERROR((D25+D26)/D34,"")</f>
        <v>1.14321487303248</v>
      </c>
      <c r="E40" s="24" t="n">
        <f aca="false">IFERROR((E25+E26)/E34,"")</f>
        <v>1.15832710420093</v>
      </c>
      <c r="F40" s="24" t="n">
        <f aca="false">IFERROR((F25+F26)/F34,"")</f>
        <v>1.17354777833543</v>
      </c>
      <c r="G40" s="24" t="n">
        <f aca="false">IFERROR((G25+G26)/G34,"")</f>
        <v>1.18887421925389</v>
      </c>
      <c r="H40" s="24" t="n">
        <f aca="false">IFERROR((H25+H26)/H34,"")</f>
        <v>1.20430357612452</v>
      </c>
      <c r="I40" s="24" t="n">
        <f aca="false">IFERROR((I25+I26)/I34,"")</f>
        <v>1.21983281694469</v>
      </c>
      <c r="J40" s="24" t="n">
        <f aca="false">IFERROR((J25+J26)/J34,"")</f>
        <v>1.23545872181371</v>
      </c>
      <c r="K40" s="24" t="n">
        <f aca="false">IFERROR((K25+K26)/K34,"")</f>
        <v>1.25117787599336</v>
      </c>
      <c r="L40" s="24" t="n">
        <f aca="false">IFERROR((L25+L26)/L34,"")</f>
        <v>1.26698666275019</v>
      </c>
      <c r="M40" s="24" t="n">
        <f aca="false">IFERROR((M25+M26)/M34,"")</f>
        <v>1.28288125597308</v>
      </c>
      <c r="N40" s="24" t="n">
        <f aca="false">IFERROR((N25+N26)/N34,"")</f>
        <v>1.29885761255962</v>
      </c>
    </row>
    <row r="41" customFormat="false" ht="15" hidden="false" customHeight="true" outlineLevel="0" collapsed="false">
      <c r="B41" s="4" t="s">
        <v>126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-525000</v>
      </c>
    </row>
    <row r="43" customFormat="false" ht="15" hidden="false" customHeight="true" outlineLevel="0" collapsed="false">
      <c r="B43" s="1" t="s">
        <v>127</v>
      </c>
      <c r="C43" s="12" t="n">
        <f aca="false">-Inputs!$B$2*Inputs!$B$3</f>
        <v>-10500</v>
      </c>
    </row>
    <row r="44" customFormat="false" ht="15" hidden="false" customHeight="true" outlineLevel="0" collapsed="false">
      <c r="B44" s="1" t="s">
        <v>128</v>
      </c>
      <c r="C44" s="12" t="n">
        <f aca="false">-Inputs!$B$52*Inputs!$B$4</f>
        <v>-2258.99642676578</v>
      </c>
    </row>
    <row r="45" customFormat="false" ht="15" hidden="false" customHeight="true" outlineLevel="0" collapsed="false">
      <c r="B45" s="1" t="s">
        <v>129</v>
      </c>
      <c r="C45" s="12" t="n">
        <f aca="false">Inputs!$B$52</f>
        <v>225899.642676578</v>
      </c>
    </row>
    <row r="46" customFormat="false" ht="15" hidden="false" customHeight="true" outlineLevel="0" collapsed="false">
      <c r="B46" s="1" t="s">
        <v>130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506338.157307959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131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-15190.1447192388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132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-205265.720973962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133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134</v>
      </c>
      <c r="C50" s="19" t="n">
        <f aca="false">C42+C43+C52</f>
        <v>-535500</v>
      </c>
      <c r="D50" s="19" t="n">
        <f aca="false">IF(D$2&lt;=Inputs!$B$40,D28,0)+D46+D47</f>
        <v>21411.5</v>
      </c>
      <c r="E50" s="19" t="n">
        <f aca="false">IF(E$2&lt;=Inputs!$B$40,E28,0)+E46+E47</f>
        <v>21694.54</v>
      </c>
      <c r="F50" s="19" t="n">
        <f aca="false">IF(F$2&lt;=Inputs!$B$40,F28,0)+F46+F47</f>
        <v>21979.61105</v>
      </c>
      <c r="G50" s="19" t="n">
        <f aca="false">IF(G$2&lt;=Inputs!$B$40,G28,0)+G46+G47</f>
        <v>22266.66302725</v>
      </c>
      <c r="H50" s="19" t="n">
        <f aca="false">IF(H$2&lt;=Inputs!$B$40,H28,0)+H46+H47</f>
        <v>513703.655126672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135</v>
      </c>
      <c r="C51" s="19" t="n">
        <f aca="false">C42+C43+C44+C45+C52</f>
        <v>-311859.353750188</v>
      </c>
      <c r="D51" s="19" t="n">
        <f aca="false">IF(D$2&lt;=Inputs!$B$40,D37,0)+D46+D47+D48+D49</f>
        <v>2682.30000000001</v>
      </c>
      <c r="E51" s="19" t="n">
        <f aca="false">IF(E$2&lt;=Inputs!$B$40,E37,0)+E46+E47+E48+E49</f>
        <v>2965.34000000001</v>
      </c>
      <c r="F51" s="19" t="n">
        <f aca="false">IF(F$2&lt;=Inputs!$B$40,F37,0)+F46+F47+F48+F49</f>
        <v>3250.41105000001</v>
      </c>
      <c r="G51" s="19" t="n">
        <f aca="false">IF(G$2&lt;=Inputs!$B$40,G37,0)+G46+G47+G48+G49</f>
        <v>3537.46302725002</v>
      </c>
      <c r="H51" s="19" t="n">
        <f aca="false">IF(H$2&lt;=Inputs!$B$40,H37,0)+H46+H47+H48+H49</f>
        <v>289708.734152709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136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137</v>
      </c>
    </row>
    <row r="54" customFormat="false" ht="15" hidden="false" customHeight="true" outlineLevel="0" collapsed="false">
      <c r="B54" s="1" t="s">
        <v>138</v>
      </c>
      <c r="C54" s="21" t="n">
        <f aca="false">IFERROR(IRR(C50:N50,0.1),"")</f>
        <v>0.0252737781079349</v>
      </c>
    </row>
    <row r="55" customFormat="false" ht="15" hidden="false" customHeight="true" outlineLevel="0" collapsed="false">
      <c r="B55" s="1" t="s">
        <v>139</v>
      </c>
      <c r="C55" s="26" t="n">
        <f aca="false">IFERROR(IRR(C51:N51,0.1),"")</f>
        <v>-0.00643436917315688</v>
      </c>
    </row>
    <row r="56" customFormat="false" ht="15" hidden="false" customHeight="true" outlineLevel="0" collapsed="false">
      <c r="B56" s="1" t="s">
        <v>140</v>
      </c>
      <c r="C56" s="27" t="n">
        <f aca="false">IFERROR(1+SUM(C51:N51)/(-C51),"")</f>
        <v>0.968847798203256</v>
      </c>
    </row>
    <row r="57" customFormat="false" ht="15" hidden="false" customHeight="true" outlineLevel="0" collapsed="false">
      <c r="B57" s="1" t="s">
        <v>141</v>
      </c>
      <c r="C57" s="12" t="n">
        <f aca="false">SUM(C51:N51)</f>
        <v>-9715.10552022814</v>
      </c>
    </row>
    <row r="58" customFormat="false" ht="15" hidden="false" customHeight="true" outlineLevel="0" collapsed="false">
      <c r="B58" s="1" t="s">
        <v>142</v>
      </c>
      <c r="C58" s="21" t="n">
        <f aca="false">IFERROR(AVERAGEIFS(D37:N37,D2:N2,"&lt;="&amp;Inputs!$B$40)/Inputs!$B$54,"")</f>
        <v>0.0104290324594386</v>
      </c>
    </row>
    <row r="59" customFormat="false" ht="15" hidden="false" customHeight="true" outlineLevel="0" collapsed="false">
      <c r="B59" s="1" t="s">
        <v>143</v>
      </c>
      <c r="C59" s="28" t="n">
        <f aca="false">IFERROR(AVERAGEIFS(D25:N25,D2:N2,"&lt;="&amp;Inputs!$B$40)/AVERAGEIFS(D34:N34,D2:N2,"&lt;="&amp;Inputs!$B$40),"")</f>
        <v>1.28591305177425</v>
      </c>
    </row>
    <row r="61" customFormat="false" ht="15" hidden="false" customHeight="true" outlineLevel="0" collapsed="false">
      <c r="B61" s="4" t="s">
        <v>144</v>
      </c>
    </row>
    <row r="62" customFormat="false" ht="15" hidden="false" customHeight="true" outlineLevel="0" collapsed="false">
      <c r="B62" s="3" t="s">
        <v>145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146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147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148</v>
      </c>
    </row>
    <row r="2" customFormat="false" ht="15" hidden="false" customHeight="true" outlineLevel="0" collapsed="false">
      <c r="B2" s="1" t="s">
        <v>94</v>
      </c>
      <c r="C2" s="30" t="n">
        <f aca="false">Inputs!$B$55</f>
        <v>280673.418375169</v>
      </c>
    </row>
    <row r="3" customFormat="false" ht="15" hidden="false" customHeight="true" outlineLevel="0" collapsed="false">
      <c r="B3" s="1" t="s">
        <v>95</v>
      </c>
      <c r="C3" s="30" t="n">
        <f aca="false">Inputs!$B$56</f>
        <v>31185.9353750187</v>
      </c>
    </row>
    <row r="5" customFormat="false" ht="15" hidden="false" customHeight="true" outlineLevel="0" collapsed="false">
      <c r="B5" s="4" t="s">
        <v>98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149</v>
      </c>
      <c r="D6" s="19" t="n">
        <f aca="false">'Annual CF'!D51</f>
        <v>2682.30000000001</v>
      </c>
      <c r="E6" s="19" t="n">
        <f aca="false">'Annual CF'!E51</f>
        <v>2965.34000000001</v>
      </c>
      <c r="F6" s="19" t="n">
        <f aca="false">'Annual CF'!F51</f>
        <v>3250.41105000001</v>
      </c>
      <c r="G6" s="19" t="n">
        <f aca="false">'Annual CF'!G51</f>
        <v>3537.46302725002</v>
      </c>
      <c r="H6" s="19" t="n">
        <f aca="false">'Annual CF'!H51</f>
        <v>289708.734152709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150</v>
      </c>
    </row>
    <row r="9" customFormat="false" ht="15" hidden="false" customHeight="true" outlineLevel="0" collapsed="false">
      <c r="B9" s="1" t="s">
        <v>151</v>
      </c>
      <c r="D9" s="12" t="n">
        <f aca="false">IF(D$5=1,0,C12)</f>
        <v>0</v>
      </c>
      <c r="E9" s="12" t="n">
        <f aca="false">IF(E$5=1,0,D12)</f>
        <v>19771.5734700135</v>
      </c>
      <c r="F9" s="12" t="n">
        <f aca="false">IF(F$5=1,0,E12)</f>
        <v>39260.106940027</v>
      </c>
      <c r="G9" s="12" t="n">
        <f aca="false">IF(G$5=1,0,F12)</f>
        <v>58463.5693600405</v>
      </c>
      <c r="H9" s="12" t="n">
        <f aca="false">IF(H$5=1,0,G12)</f>
        <v>77379.979802804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152</v>
      </c>
      <c r="D10" s="12" t="n">
        <f aca="false">IF(D$5&lt;=Inputs!$B$40,D15*Inputs!$B$47,0)</f>
        <v>22453.8734700135</v>
      </c>
      <c r="E10" s="12" t="n">
        <f aca="false">IF(E$5&lt;=Inputs!$B$40,E15*Inputs!$B$47,0)</f>
        <v>22453.8734700135</v>
      </c>
      <c r="F10" s="12" t="n">
        <f aca="false">IF(F$5&lt;=Inputs!$B$40,F15*Inputs!$B$47,0)</f>
        <v>22453.8734700135</v>
      </c>
      <c r="G10" s="12" t="n">
        <f aca="false">IF(G$5&lt;=Inputs!$B$40,G15*Inputs!$B$47,0)</f>
        <v>22453.8734700135</v>
      </c>
      <c r="H10" s="12" t="n">
        <f aca="false">IF(H$5&lt;=Inputs!$B$40,H15*Inputs!$B$47,0)</f>
        <v>22453.8734700135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153</v>
      </c>
      <c r="D11" s="12" t="n">
        <f aca="false">MIN(MAX(D6,0),D9+D10)</f>
        <v>2682.30000000001</v>
      </c>
      <c r="E11" s="12" t="n">
        <f aca="false">MIN(MAX(E6,0),E9+E10)</f>
        <v>2965.34000000001</v>
      </c>
      <c r="F11" s="12" t="n">
        <f aca="false">MIN(MAX(F6,0),F9+F10)</f>
        <v>3250.41105000001</v>
      </c>
      <c r="G11" s="12" t="n">
        <f aca="false">MIN(MAX(G6,0),G9+G10)</f>
        <v>3537.46302725002</v>
      </c>
      <c r="H11" s="12" t="n">
        <f aca="false">MIN(MAX(H6,0),H9+H10)</f>
        <v>99833.8532728175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154</v>
      </c>
      <c r="D12" s="12" t="n">
        <f aca="false">D9+D10-D11</f>
        <v>19771.5734700135</v>
      </c>
      <c r="E12" s="12" t="n">
        <f aca="false">E9+E10-E11</f>
        <v>39260.106940027</v>
      </c>
      <c r="F12" s="12" t="n">
        <f aca="false">F9+F10-F11</f>
        <v>58463.5693600405</v>
      </c>
      <c r="G12" s="12" t="n">
        <f aca="false">G9+G10-G11</f>
        <v>77379.979802804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155</v>
      </c>
    </row>
    <row r="15" customFormat="false" ht="15" hidden="false" customHeight="true" outlineLevel="0" collapsed="false">
      <c r="B15" s="1" t="s">
        <v>156</v>
      </c>
      <c r="D15" s="12" t="n">
        <f aca="false">IF(D$5=1,$C$2,C17)</f>
        <v>280673.418375169</v>
      </c>
      <c r="E15" s="12" t="n">
        <f aca="false">IF(E$5=1,$C$2,D17)</f>
        <v>280673.418375169</v>
      </c>
      <c r="F15" s="12" t="n">
        <f aca="false">IF(F$5=1,$C$2,E17)</f>
        <v>280673.418375169</v>
      </c>
      <c r="G15" s="12" t="n">
        <f aca="false">IF(G$5=1,$C$2,F17)</f>
        <v>280673.418375169</v>
      </c>
      <c r="H15" s="12" t="n">
        <f aca="false">IF(H$5=1,$C$2,G17)</f>
        <v>280673.418375169</v>
      </c>
      <c r="I15" s="12" t="n">
        <f aca="false">IF(I$5=1,$C$2,H17)</f>
        <v>90798.537495277</v>
      </c>
      <c r="J15" s="12" t="n">
        <f aca="false">IF(J$5=1,$C$2,I17)</f>
        <v>90798.537495277</v>
      </c>
      <c r="K15" s="12" t="n">
        <f aca="false">IF(K$5=1,$C$2,J17)</f>
        <v>90798.537495277</v>
      </c>
      <c r="L15" s="12" t="n">
        <f aca="false">IF(L$5=1,$C$2,K17)</f>
        <v>90798.537495277</v>
      </c>
      <c r="M15" s="12" t="n">
        <f aca="false">IF(M$5=1,$C$2,L17)</f>
        <v>90798.537495277</v>
      </c>
      <c r="N15" s="12" t="n">
        <f aca="false">IF(N$5=1,$C$2,M17)</f>
        <v>90798.537495277</v>
      </c>
    </row>
    <row r="16" customFormat="false" ht="15" hidden="false" customHeight="true" outlineLevel="0" collapsed="false">
      <c r="B16" s="1" t="s">
        <v>157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189874.880879892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158</v>
      </c>
      <c r="D17" s="12" t="n">
        <f aca="false">D15-D16</f>
        <v>280673.418375169</v>
      </c>
      <c r="E17" s="12" t="n">
        <f aca="false">E15-E16</f>
        <v>280673.418375169</v>
      </c>
      <c r="F17" s="12" t="n">
        <f aca="false">F15-F16</f>
        <v>280673.418375169</v>
      </c>
      <c r="G17" s="12" t="n">
        <f aca="false">G15-G16</f>
        <v>280673.418375169</v>
      </c>
      <c r="H17" s="12" t="n">
        <f aca="false">H15-H16</f>
        <v>90798.537495277</v>
      </c>
      <c r="I17" s="12" t="n">
        <f aca="false">I15-I16</f>
        <v>90798.537495277</v>
      </c>
      <c r="J17" s="12" t="n">
        <f aca="false">J15-J16</f>
        <v>90798.537495277</v>
      </c>
      <c r="K17" s="12" t="n">
        <f aca="false">K15-K16</f>
        <v>90798.537495277</v>
      </c>
      <c r="L17" s="12" t="n">
        <f aca="false">L15-L16</f>
        <v>90798.537495277</v>
      </c>
      <c r="M17" s="12" t="n">
        <f aca="false">M15-M16</f>
        <v>90798.537495277</v>
      </c>
      <c r="N17" s="12" t="n">
        <f aca="false">N15-N16</f>
        <v>90798.537495277</v>
      </c>
    </row>
    <row r="18" customFormat="false" ht="15" hidden="false" customHeight="true" outlineLevel="0" collapsed="false">
      <c r="B18" s="1" t="s">
        <v>159</v>
      </c>
      <c r="D18" s="12" t="n">
        <f aca="false">IF(D$5=1,$C$3,C20)</f>
        <v>31185.9353750187</v>
      </c>
      <c r="E18" s="12" t="n">
        <f aca="false">IF(E$5=1,$C$3,D20)</f>
        <v>31185.9353750187</v>
      </c>
      <c r="F18" s="12" t="n">
        <f aca="false">IF(F$5=1,$C$3,E20)</f>
        <v>31185.9353750187</v>
      </c>
      <c r="G18" s="12" t="n">
        <f aca="false">IF(G$5=1,$C$3,F20)</f>
        <v>31185.9353750187</v>
      </c>
      <c r="H18" s="12" t="n">
        <f aca="false">IF(H$5=1,$C$3,G20)</f>
        <v>31185.9353750187</v>
      </c>
      <c r="I18" s="12" t="n">
        <f aca="false">IF(I$5=1,$C$3,H20)</f>
        <v>31185.9353750187</v>
      </c>
      <c r="J18" s="12" t="n">
        <f aca="false">IF(J$5=1,$C$3,I20)</f>
        <v>31185.9353750187</v>
      </c>
      <c r="K18" s="12" t="n">
        <f aca="false">IF(K$5=1,$C$3,J20)</f>
        <v>31185.9353750187</v>
      </c>
      <c r="L18" s="12" t="n">
        <f aca="false">IF(L$5=1,$C$3,K20)</f>
        <v>31185.9353750187</v>
      </c>
      <c r="M18" s="12" t="n">
        <f aca="false">IF(M$5=1,$C$3,L20)</f>
        <v>31185.9353750187</v>
      </c>
      <c r="N18" s="12" t="n">
        <f aca="false">IF(N$5=1,$C$3,M20)</f>
        <v>31185.9353750187</v>
      </c>
    </row>
    <row r="19" customFormat="false" ht="15" hidden="false" customHeight="true" outlineLevel="0" collapsed="false">
      <c r="B19" s="1" t="s">
        <v>160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0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161</v>
      </c>
      <c r="D20" s="12" t="n">
        <f aca="false">D18-D19</f>
        <v>31185.9353750187</v>
      </c>
      <c r="E20" s="12" t="n">
        <f aca="false">E18-E19</f>
        <v>31185.9353750187</v>
      </c>
      <c r="F20" s="12" t="n">
        <f aca="false">F18-F19</f>
        <v>31185.9353750187</v>
      </c>
      <c r="G20" s="12" t="n">
        <f aca="false">G18-G19</f>
        <v>31185.9353750187</v>
      </c>
      <c r="H20" s="12" t="n">
        <f aca="false">H18-H19</f>
        <v>31185.9353750187</v>
      </c>
      <c r="I20" s="12" t="n">
        <f aca="false">I18-I19</f>
        <v>31185.9353750187</v>
      </c>
      <c r="J20" s="12" t="n">
        <f aca="false">J18-J19</f>
        <v>31185.9353750187</v>
      </c>
      <c r="K20" s="12" t="n">
        <f aca="false">K18-K19</f>
        <v>31185.9353750187</v>
      </c>
      <c r="L20" s="12" t="n">
        <f aca="false">L18-L19</f>
        <v>31185.9353750187</v>
      </c>
      <c r="M20" s="12" t="n">
        <f aca="false">M18-M19</f>
        <v>31185.9353750187</v>
      </c>
      <c r="N20" s="12" t="n">
        <f aca="false">N18-N19</f>
        <v>31185.9353750187</v>
      </c>
    </row>
    <row r="22" customFormat="false" ht="15" hidden="false" customHeight="true" outlineLevel="0" collapsed="false">
      <c r="B22" s="4" t="s">
        <v>162</v>
      </c>
    </row>
    <row r="23" customFormat="false" ht="15" hidden="false" customHeight="true" outlineLevel="0" collapsed="false">
      <c r="B23" s="1" t="s">
        <v>163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164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165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166</v>
      </c>
      <c r="C27" s="12" t="n">
        <f aca="false">-$C$2</f>
        <v>-280673.418375169</v>
      </c>
      <c r="D27" s="12" t="n">
        <f aca="false">D11+D16+D24</f>
        <v>2682.30000000001</v>
      </c>
      <c r="E27" s="12" t="n">
        <f aca="false">E11+E16+E24</f>
        <v>2965.34000000001</v>
      </c>
      <c r="F27" s="12" t="n">
        <f aca="false">F11+F16+F24</f>
        <v>3250.41105000001</v>
      </c>
      <c r="G27" s="12" t="n">
        <f aca="false">G11+G16+G24</f>
        <v>3537.46302725002</v>
      </c>
      <c r="H27" s="12" t="n">
        <f aca="false">H11+H16+H24</f>
        <v>289708.734152709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167</v>
      </c>
      <c r="C28" s="12" t="n">
        <f aca="false">-$C$3</f>
        <v>-31185.9353750187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0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168</v>
      </c>
      <c r="C30" s="26" t="n">
        <f aca="false">IFERROR(IRR(C27:N27,0.1),"")</f>
        <v>0.0151580196038101</v>
      </c>
    </row>
    <row r="31" customFormat="false" ht="15" hidden="false" customHeight="true" outlineLevel="0" collapsed="false">
      <c r="B31" s="1" t="s">
        <v>169</v>
      </c>
      <c r="C31" s="27" t="n">
        <f aca="false">IFERROR(1+SUM(C27:N27)/$C$2,"")</f>
        <v>1.07649755355917</v>
      </c>
    </row>
    <row r="32" customFormat="false" ht="15" hidden="false" customHeight="true" outlineLevel="0" collapsed="false">
      <c r="B32" s="1" t="s">
        <v>170</v>
      </c>
      <c r="C32" s="12" t="n">
        <f aca="false">SUM(C27:N27)</f>
        <v>21470.8298547906</v>
      </c>
    </row>
    <row r="33" customFormat="false" ht="15" hidden="false" customHeight="true" outlineLevel="0" collapsed="false">
      <c r="B33" s="1" t="s">
        <v>171</v>
      </c>
      <c r="C33" s="21" t="str">
        <f aca="false">IFERROR(IRR(C28:N28,0.1),"")</f>
        <v/>
      </c>
    </row>
    <row r="34" customFormat="false" ht="15" hidden="false" customHeight="true" outlineLevel="0" collapsed="false">
      <c r="B34" s="1" t="s">
        <v>172</v>
      </c>
      <c r="C34" s="27" t="n">
        <f aca="false">IFERROR(1+SUM(C28:N28)/$C$3,"")</f>
        <v>0</v>
      </c>
    </row>
    <row r="35" customFormat="false" ht="15" hidden="false" customHeight="true" outlineLevel="0" collapsed="false">
      <c r="B35" s="1" t="s">
        <v>173</v>
      </c>
      <c r="C35" s="12" t="n">
        <f aca="false">SUM(C28:N28)</f>
        <v>-31185.9353750187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174</v>
      </c>
    </row>
    <row r="3" customFormat="false" ht="15" hidden="false" customHeight="true" outlineLevel="0" collapsed="false">
      <c r="A3" s="1" t="s">
        <v>175</v>
      </c>
      <c r="B3" s="12" t="n">
        <f aca="false">INDEX('Annual CF'!C25:N25,MATCH(Inputs!$B$40+1,'Annual CF'!C2:N2,0))</f>
        <v>25109.3092209017</v>
      </c>
    </row>
    <row r="4" customFormat="false" ht="15" hidden="false" customHeight="true" outlineLevel="0" collapsed="false">
      <c r="A4" s="1" t="s">
        <v>176</v>
      </c>
      <c r="B4" s="12" t="n">
        <f aca="false">INDEX('Annual CF'!C35:N35,MATCH(Inputs!$B$40,'Annual CF'!C2:N2,0))</f>
        <v>205265.720973962</v>
      </c>
    </row>
    <row r="5" customFormat="false" ht="15" hidden="false" customHeight="true" outlineLevel="0" collapsed="false">
      <c r="A5" s="1" t="s">
        <v>177</v>
      </c>
      <c r="B5" s="12" t="n">
        <f aca="false">SUMIFS('Annual CF'!D37:N37,'Annual CF'!D2:N2,"&lt;="&amp;Inputs!$B$40)</f>
        <v>16261.9566152013</v>
      </c>
    </row>
    <row r="6" customFormat="false" ht="15" hidden="false" customHeight="true" outlineLevel="0" collapsed="false">
      <c r="A6" s="1" t="s">
        <v>178</v>
      </c>
      <c r="B6" s="12" t="n">
        <f aca="false">Inputs!$B$54</f>
        <v>311859.353750188</v>
      </c>
    </row>
    <row r="8" customFormat="false" ht="15" hidden="false" customHeight="true" outlineLevel="0" collapsed="false">
      <c r="A8" s="6" t="s">
        <v>179</v>
      </c>
      <c r="B8" s="6" t="s">
        <v>180</v>
      </c>
      <c r="C8" s="6" t="s">
        <v>181</v>
      </c>
      <c r="D8" s="6" t="s">
        <v>141</v>
      </c>
      <c r="E8" s="6" t="s">
        <v>140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502186.184418034</v>
      </c>
      <c r="C9" s="12" t="n">
        <f aca="false">B9*(1-Inputs!$B$42)-$B$4</f>
        <v>281854.877911531</v>
      </c>
      <c r="D9" s="12" t="n">
        <f aca="false">C9+$B$5-$B$6</f>
        <v>-13742.5192234556</v>
      </c>
      <c r="E9" s="27" t="n">
        <f aca="false">IFERROR((C9+$B$5)/$B$6,0)</f>
        <v>0.955933599367156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478272.556588604</v>
      </c>
      <c r="C10" s="12" t="n">
        <f aca="false">B10*(1-Inputs!$B$42)-$B$4</f>
        <v>258658.658916983</v>
      </c>
      <c r="D10" s="12" t="n">
        <f aca="false">C10+$B$5-$B$6</f>
        <v>-36938.7382180028</v>
      </c>
      <c r="E10" s="27" t="n">
        <f aca="false">IFERROR((C10+$B$5)/$B$6,0)</f>
        <v>0.88155321373624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456532.894925486</v>
      </c>
      <c r="C11" s="12" t="n">
        <f aca="false">B11*(1-Inputs!$B$42)-$B$4</f>
        <v>237571.187103759</v>
      </c>
      <c r="D11" s="12" t="n">
        <f aca="false">C11+$B$5-$B$6</f>
        <v>-58026.2100312277</v>
      </c>
      <c r="E11" s="27" t="n">
        <f aca="false">IFERROR((C11+$B$5)/$B$6,0)</f>
        <v>0.813934681344498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436683.638624377</v>
      </c>
      <c r="C12" s="12" t="n">
        <f aca="false">B12*(1-Inputs!$B$42)-$B$4</f>
        <v>218317.408491684</v>
      </c>
      <c r="D12" s="12" t="n">
        <f aca="false">C12+$B$5-$B$6</f>
        <v>-77279.9886433025</v>
      </c>
      <c r="E12" s="27" t="n">
        <f aca="false">IFERROR((C12+$B$5)/$B$6,0)</f>
        <v>0.752196021334646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418488.487015028</v>
      </c>
      <c r="C13" s="12" t="n">
        <f aca="false">B13*(1-Inputs!$B$42)-$B$4</f>
        <v>200668.111430615</v>
      </c>
      <c r="D13" s="12" t="n">
        <f aca="false">C13+$B$5-$B$6</f>
        <v>-94929.2857043711</v>
      </c>
      <c r="E13" s="27" t="n">
        <f aca="false">IFERROR((C13+$B$5)/$B$6,0)</f>
        <v>0.695602249658949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401748.947534427</v>
      </c>
      <c r="C14" s="12" t="n">
        <f aca="false">B14*(1-Inputs!$B$42)-$B$4</f>
        <v>184430.758134432</v>
      </c>
      <c r="D14" s="12" t="n">
        <f aca="false">C14+$B$5-$B$6</f>
        <v>-111166.639000554</v>
      </c>
      <c r="E14" s="27" t="n">
        <f aca="false">IFERROR((C14+$B$5)/$B$6,0)</f>
        <v>0.643535979717308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386297.064936949</v>
      </c>
      <c r="C15" s="12" t="n">
        <f aca="false">B15*(1-Inputs!$B$42)-$B$4</f>
        <v>169442.432014878</v>
      </c>
      <c r="D15" s="12" t="n">
        <f aca="false">C15+$B$5-$B$6</f>
        <v>-126154.965120108</v>
      </c>
      <c r="E15" s="27" t="n">
        <f aca="false">IFERROR((C15+$B$5)/$B$6,0)</f>
        <v>0.595474807463485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371989.766235581</v>
      </c>
      <c r="C16" s="12" t="n">
        <f aca="false">B16*(1-Inputs!$B$42)-$B$4</f>
        <v>155564.352274551</v>
      </c>
      <c r="D16" s="12" t="n">
        <f aca="false">C16+$B$5-$B$6</f>
        <v>-140033.044860435</v>
      </c>
      <c r="E16" s="27" t="n">
        <f aca="false">IFERROR((C16+$B$5)/$B$6,0)</f>
        <v>0.550973722043278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358704.417441453</v>
      </c>
      <c r="C17" s="12" t="n">
        <f aca="false">B17*(1-Inputs!$B$42)-$B$4</f>
        <v>142677.563944247</v>
      </c>
      <c r="D17" s="12" t="n">
        <f aca="false">C17+$B$5-$B$6</f>
        <v>-152919.833190739</v>
      </c>
      <c r="E17" s="27" t="n">
        <f aca="false">IFERROR((C17+$B$5)/$B$6,0)</f>
        <v>0.509651285581658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346335.299598644</v>
      </c>
      <c r="C18" s="12" t="n">
        <f aca="false">B18*(1-Inputs!$B$42)-$B$4</f>
        <v>130679.519636722</v>
      </c>
      <c r="D18" s="12" t="n">
        <f aca="false">C18+$B$5-$B$6</f>
        <v>-164917.877498264</v>
      </c>
      <c r="E18" s="27" t="n">
        <f aca="false">IFERROR((C18+$B$5)/$B$6,0)</f>
        <v>0.471178672324288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334790.789612023</v>
      </c>
      <c r="C19" s="12" t="n">
        <f aca="false">B19*(1-Inputs!$B$42)-$B$4</f>
        <v>119481.3449497</v>
      </c>
      <c r="D19" s="12" t="n">
        <f aca="false">C19+$B$5-$B$6</f>
        <v>-176116.052185287</v>
      </c>
      <c r="E19" s="27" t="n">
        <f aca="false">IFERROR((C19+$B$5)/$B$6,0)</f>
        <v>0.435270899950742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323991.086721312</v>
      </c>
      <c r="C20" s="12" t="n">
        <f aca="false">B20*(1-Inputs!$B$42)-$B$4</f>
        <v>109005.633145711</v>
      </c>
      <c r="D20" s="12" t="n">
        <f aca="false">C20+$B$5-$B$6</f>
        <v>-186591.763989276</v>
      </c>
      <c r="E20" s="27" t="n">
        <f aca="false">IFERROR((C20+$B$5)/$B$6,0)</f>
        <v>0.401679758052909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313866.365261271</v>
      </c>
      <c r="C21" s="12" t="n">
        <f aca="false">B21*(1-Inputs!$B$42)-$B$4</f>
        <v>99184.6533294708</v>
      </c>
      <c r="D21" s="12" t="n">
        <f aca="false">C21+$B$5-$B$6</f>
        <v>-196412.743805515</v>
      </c>
      <c r="E21" s="27" t="n">
        <f aca="false">IFERROR((C21+$B$5)/$B$6,0)</f>
        <v>0.37018806252369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182</v>
      </c>
    </row>
    <row r="3" customFormat="false" ht="15" hidden="false" customHeight="true" outlineLevel="0" collapsed="false">
      <c r="A3" s="1" t="s">
        <v>183</v>
      </c>
    </row>
    <row r="4" customFormat="false" ht="15" hidden="false" customHeight="true" outlineLevel="0" collapsed="false">
      <c r="A4" s="1" t="s">
        <v>184</v>
      </c>
      <c r="B4" s="1" t="s">
        <v>185</v>
      </c>
      <c r="C4" s="1" t="s">
        <v>186</v>
      </c>
      <c r="D4" s="1" t="s">
        <v>187</v>
      </c>
    </row>
    <row r="5" customFormat="false" ht="15" hidden="false" customHeight="true" outlineLevel="0" collapsed="false">
      <c r="A5" s="1" t="s">
        <v>108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43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45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47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50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52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54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188</v>
      </c>
    </row>
    <row r="14" customFormat="false" ht="15" hidden="false" customHeight="true" outlineLevel="0" collapsed="false">
      <c r="A14" s="1" t="s">
        <v>189</v>
      </c>
      <c r="B14" s="1" t="s">
        <v>190</v>
      </c>
      <c r="C14" s="1" t="s">
        <v>191</v>
      </c>
      <c r="D14" s="1" t="s">
        <v>192</v>
      </c>
    </row>
    <row r="15" customFormat="false" ht="15" hidden="false" customHeight="true" outlineLevel="0" collapsed="false">
      <c r="A15" s="1" t="s">
        <v>193</v>
      </c>
      <c r="B15" s="1" t="s">
        <v>194</v>
      </c>
      <c r="C15" s="1" t="s">
        <v>195</v>
      </c>
      <c r="D15" s="1" t="s">
        <v>196</v>
      </c>
    </row>
    <row r="16" customFormat="false" ht="15" hidden="false" customHeight="true" outlineLevel="0" collapsed="false">
      <c r="A16" s="1" t="s">
        <v>197</v>
      </c>
      <c r="B16" s="1" t="s">
        <v>198</v>
      </c>
      <c r="C16" s="1" t="s">
        <v>199</v>
      </c>
      <c r="D16" s="1" t="s">
        <v>200</v>
      </c>
    </row>
    <row r="17" customFormat="false" ht="15" hidden="false" customHeight="true" outlineLevel="0" collapsed="false">
      <c r="A17" s="1" t="s">
        <v>201</v>
      </c>
      <c r="B17" s="1" t="s">
        <v>202</v>
      </c>
      <c r="C17" s="1" t="s">
        <v>203</v>
      </c>
      <c r="D17" s="1" t="s">
        <v>204</v>
      </c>
    </row>
    <row r="18" customFormat="false" ht="15" hidden="false" customHeight="true" outlineLevel="0" collapsed="false">
      <c r="A18" s="1" t="s">
        <v>205</v>
      </c>
      <c r="B18" s="1" t="s">
        <v>206</v>
      </c>
      <c r="C18" s="1" t="s">
        <v>207</v>
      </c>
      <c r="D18" s="1" t="s">
        <v>208</v>
      </c>
    </row>
    <row r="19" customFormat="false" ht="15" hidden="false" customHeight="true" outlineLevel="0" collapsed="false">
      <c r="A19" s="1" t="s">
        <v>209</v>
      </c>
      <c r="B19" s="1" t="s">
        <v>210</v>
      </c>
      <c r="C19" s="1" t="s">
        <v>211</v>
      </c>
      <c r="D19" s="1" t="s">
        <v>212</v>
      </c>
    </row>
    <row r="21" customFormat="false" ht="15" hidden="false" customHeight="true" outlineLevel="0" collapsed="false">
      <c r="A21" s="1" t="s">
        <v>213</v>
      </c>
    </row>
    <row r="22" customFormat="false" ht="15" hidden="false" customHeight="true" outlineLevel="0" collapsed="false">
      <c r="A22" s="1" t="s">
        <v>214</v>
      </c>
      <c r="B22" s="1" t="s">
        <v>215</v>
      </c>
    </row>
    <row r="23" customFormat="false" ht="15" hidden="false" customHeight="true" outlineLevel="0" collapsed="false">
      <c r="A23" s="1" t="s">
        <v>216</v>
      </c>
      <c r="B23" s="1" t="s">
        <v>217</v>
      </c>
    </row>
    <row r="24" customFormat="false" ht="15" hidden="false" customHeight="true" outlineLevel="0" collapsed="false">
      <c r="A24" s="1" t="s">
        <v>218</v>
      </c>
      <c r="B24" s="1" t="s">
        <v>219</v>
      </c>
    </row>
    <row r="25" customFormat="false" ht="15" hidden="false" customHeight="true" outlineLevel="0" collapsed="false">
      <c r="A25" s="1" t="s">
        <v>220</v>
      </c>
      <c r="B25" s="1" t="s">
        <v>221</v>
      </c>
    </row>
    <row r="26" customFormat="false" ht="15" hidden="false" customHeight="true" outlineLevel="0" collapsed="false">
      <c r="A26" s="1" t="s">
        <v>222</v>
      </c>
      <c r="B26" s="1" t="s">
        <v>223</v>
      </c>
      <c r="C26" s="1" t="s">
        <v>224</v>
      </c>
    </row>
    <row r="27" customFormat="false" ht="15" hidden="false" customHeight="true" outlineLevel="0" collapsed="false">
      <c r="A27" s="1" t="s">
        <v>225</v>
      </c>
      <c r="B27" s="1" t="s">
        <v>226</v>
      </c>
    </row>
    <row r="28" customFormat="false" ht="15" hidden="false" customHeight="true" outlineLevel="0" collapsed="false">
      <c r="A28" s="1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228</v>
      </c>
      <c r="B1" s="4" t="s">
        <v>229</v>
      </c>
    </row>
    <row r="2" customFormat="false" ht="15" hidden="false" customHeight="true" outlineLevel="0" collapsed="false">
      <c r="A2" s="1" t="s">
        <v>230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231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232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233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234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235</v>
      </c>
      <c r="B7" s="1" t="str">
        <f aca="false">IF('Annual CF'!D40&gt;=1.15,"OK","CHECK")</f>
        <v>CHECK</v>
      </c>
    </row>
    <row r="8" customFormat="false" ht="15" hidden="false" customHeight="true" outlineLevel="0" collapsed="false">
      <c r="A8" s="1" t="s">
        <v>236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237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238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239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240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241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2026-08-02T17:17:05Z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