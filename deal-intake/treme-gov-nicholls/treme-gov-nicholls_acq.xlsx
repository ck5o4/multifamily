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<sst xmlns="http://schemas.openxmlformats.org/spreadsheetml/2006/main" count="267" uniqueCount="241">
  <si>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</si>
  <si>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</si>
  <si>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</si>
  <si>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</si>
  <si>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</si>
  <si>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</si>
  <si>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</si>
  <si>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</si>
  <si>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</si>
  <si>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</si>
  <si>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</si>
  <si>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</si>
  <si>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</si>
  <si>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</si>
  <si>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</si>
  <si>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</si>
  <si>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</si>
  <si>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</si>
  <si>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</si>
  <si>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</si>
  <si>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</si>
  <si>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</si>
  <si>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</si>
  <si>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1 BR/ 1 BA</t>
  </si>
  <si>
    <t xml:space="preserve">Loan Fee (% of Loan)</t>
  </si>
  <si>
    <t xml:space="preserve">BR/BA</t>
  </si>
  <si>
    <t xml:space="preserve">Total Units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</si>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</sst>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9" min="5" style="1" width="12"/>
  </cols>
  <sheetData>
    <row r="1" customFormat="false" ht="15" hidden="false" customHeight="true" outlineLevel="0" collapsed="false">
      <c r="A1" s="4" t="s">
        <v>14</v>
      </c>
      <c r="E1" s="4" t="s">
        <v>15</v>
      </c>
    </row>
    <row r="2" customFormat="false" ht="15" hidden="false" customHeight="true" outlineLevel="0" collapsed="false">
      <c r="A2" s="1" t="s">
        <v>16</v>
      </c>
      <c r="B2" s="5" t="n">
        <v>849000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customFormat="false" ht="15" hidden="false" customHeight="true" outlineLevel="0" collapsed="false">
      <c r="A3" s="1" t="s">
        <v>22</v>
      </c>
      <c r="B3" s="7" t="n">
        <v>0.02</v>
      </c>
      <c r="E3" s="8" t="n">
        <v>8</v>
      </c>
      <c r="F3" s="8" t="s">
        <v>23</v>
      </c>
      <c r="G3" s="8" t="n">
        <v>650</v>
      </c>
      <c r="H3" s="9" t="n">
        <v>1400</v>
      </c>
      <c r="I3" s="10" t="n">
        <f aca="false">IFERROR(H3/G3,0)</f>
        <v>2.15384615384615</v>
      </c>
    </row>
    <row r="4" customFormat="false" ht="15" hidden="false" customHeight="true" outlineLevel="0" collapsed="false">
      <c r="A4" s="1" t="s">
        <v>24</v>
      </c>
      <c r="B4" s="7" t="n">
        <v>0.01</v>
      </c>
      <c r="E4" s="8" t="n">
        <v>0</v>
      </c>
      <c r="F4" s="8" t="s">
        <v>25</v>
      </c>
      <c r="G4" s="8" t="n">
        <v>0</v>
      </c>
      <c r="H4" s="9" t="n">
        <v>0</v>
      </c>
      <c r="I4" s="10" t="n">
        <f aca="false">IFERROR(H4/G4,0)</f>
        <v>0</v>
      </c>
    </row>
    <row r="5" customFormat="false" ht="15" hidden="false" customHeight="true" outlineLevel="0" collapsed="false">
      <c r="A5" s="1" t="s">
        <v>26</v>
      </c>
      <c r="B5" s="11" t="n">
        <f aca="false">E11</f>
        <v>8</v>
      </c>
      <c r="E5" s="8" t="n">
        <v>0</v>
      </c>
      <c r="F5" s="8" t="s">
        <v>25</v>
      </c>
      <c r="G5" s="8" t="n">
        <v>0</v>
      </c>
      <c r="H5" s="9" t="n">
        <v>0</v>
      </c>
      <c r="I5" s="10" t="n">
        <f aca="false">IFERROR(H5/G5,0)</f>
        <v>0</v>
      </c>
    </row>
    <row r="6" customFormat="false" ht="15" hidden="false" customHeight="true" outlineLevel="0" collapsed="false">
      <c r="A6" s="1" t="s">
        <v>27</v>
      </c>
      <c r="B6" s="12" t="n">
        <f aca="false">IFERROR(B2/B5,0)</f>
        <v>106125</v>
      </c>
      <c r="E6" s="8" t="n">
        <v>0</v>
      </c>
      <c r="F6" s="8" t="s">
        <v>25</v>
      </c>
      <c r="G6" s="8" t="n">
        <v>0</v>
      </c>
      <c r="H6" s="9" t="n">
        <v>0</v>
      </c>
      <c r="I6" s="10" t="n">
        <f aca="false">IFERROR(H6/G6,0)</f>
        <v>0</v>
      </c>
    </row>
    <row r="7" customFormat="false" ht="15" hidden="false" customHeight="true" outlineLevel="0" collapsed="false">
      <c r="E7" s="8" t="n">
        <v>0</v>
      </c>
      <c r="F7" s="8" t="s">
        <v>25</v>
      </c>
      <c r="G7" s="8" t="n">
        <v>0</v>
      </c>
      <c r="H7" s="9" t="n">
        <v>0</v>
      </c>
      <c r="I7" s="10" t="n">
        <f aca="false">IFERROR(H7/G7,0)</f>
        <v>0</v>
      </c>
    </row>
    <row r="8" customFormat="false" ht="15" hidden="false" customHeight="true" outlineLevel="0" collapsed="false">
      <c r="A8" s="4" t="s">
        <v>28</v>
      </c>
      <c r="E8" s="8" t="n">
        <v>0</v>
      </c>
      <c r="F8" s="8" t="s">
        <v>25</v>
      </c>
      <c r="G8" s="8" t="n">
        <v>0</v>
      </c>
      <c r="H8" s="9" t="n">
        <v>0</v>
      </c>
      <c r="I8" s="10" t="n">
        <f aca="false">IFERROR(H8/G8,0)</f>
        <v>0</v>
      </c>
    </row>
    <row r="9" customFormat="false" ht="15" hidden="false" customHeight="true" outlineLevel="0" collapsed="false">
      <c r="A9" s="1" t="s">
        <v>29</v>
      </c>
      <c r="B9" s="7" t="n">
        <v>0.07</v>
      </c>
      <c r="E9" s="8" t="n">
        <v>0</v>
      </c>
      <c r="F9" s="8" t="s">
        <v>25</v>
      </c>
      <c r="G9" s="8" t="n">
        <v>0</v>
      </c>
      <c r="H9" s="9" t="n">
        <v>0</v>
      </c>
      <c r="I9" s="10" t="n">
        <f aca="false">IFERROR(H9/G9,0)</f>
        <v>0</v>
      </c>
    </row>
    <row r="10" customFormat="false" ht="15" hidden="false" customHeight="true" outlineLevel="0" collapsed="false">
      <c r="A10" s="1" t="s">
        <v>30</v>
      </c>
      <c r="B10" s="7" t="n">
        <v>0.005</v>
      </c>
      <c r="E10" s="8" t="n">
        <v>0</v>
      </c>
      <c r="F10" s="8" t="s">
        <v>25</v>
      </c>
      <c r="G10" s="8" t="n">
        <v>0</v>
      </c>
      <c r="H10" s="9" t="n">
        <v>0</v>
      </c>
      <c r="I10" s="10" t="n">
        <f aca="false">IFERROR(H10/G10,0)</f>
        <v>0</v>
      </c>
    </row>
    <row r="11" customFormat="false" ht="15" hidden="false" customHeight="true" outlineLevel="0" collapsed="false">
      <c r="A11" s="1" t="s">
        <v>31</v>
      </c>
      <c r="B11" s="7" t="n">
        <v>0</v>
      </c>
      <c r="E11" s="13" t="n">
        <f aca="false">SUM(E3:E10)</f>
        <v>8</v>
      </c>
      <c r="G11" s="14" t="n">
        <f aca="false">IFERROR(SUMPRODUCT(G3:G10,E3:E10)/E11,0)</f>
        <v>650</v>
      </c>
      <c r="H11" s="12" t="n">
        <f aca="false">IFERROR(SUMPRODUCT(H3:H10,E3:E10)/E11,0)</f>
        <v>1400</v>
      </c>
      <c r="I11" s="10" t="n">
        <f aca="false">IFERROR(H11/G11,0)</f>
        <v>2.15384615384615</v>
      </c>
    </row>
    <row r="12" customFormat="false" ht="15" hidden="false" customHeight="true" outlineLevel="0" collapsed="false">
      <c r="A12" s="1" t="s">
        <v>32</v>
      </c>
      <c r="B12" s="9" t="n">
        <v>40</v>
      </c>
    </row>
    <row r="13" customFormat="false" ht="15" hidden="false" customHeight="true" outlineLevel="0" collapsed="false">
      <c r="A13" s="1" t="s">
        <v>33</v>
      </c>
      <c r="B13" s="7" t="n">
        <v>0.02</v>
      </c>
      <c r="E13" s="4" t="s">
        <v>34</v>
      </c>
    </row>
    <row r="14" customFormat="false" ht="15" hidden="false" customHeight="true" outlineLevel="0" collapsed="false">
      <c r="A14" s="1" t="s">
        <v>35</v>
      </c>
      <c r="B14" s="7" t="n">
        <v>0.02</v>
      </c>
      <c r="E14" s="1" t="s">
        <v>36</v>
      </c>
      <c r="F14" s="15" t="n">
        <v>0</v>
      </c>
    </row>
    <row r="15" customFormat="false" ht="15" hidden="false" customHeight="true" outlineLevel="0" collapsed="false">
      <c r="E15" s="1" t="s">
        <v>37</v>
      </c>
      <c r="F15" s="16" t="n">
        <v>0.07</v>
      </c>
    </row>
    <row r="16" customFormat="false" ht="15" hidden="false" customHeight="true" outlineLevel="0" collapsed="false">
      <c r="A16" s="4" t="s">
        <v>38</v>
      </c>
      <c r="E16" s="1" t="s">
        <v>39</v>
      </c>
      <c r="F16" s="7" t="n">
        <v>0.75</v>
      </c>
    </row>
    <row r="17" customFormat="false" ht="15" hidden="false" customHeight="true" outlineLevel="0" collapsed="false">
      <c r="A17" s="1" t="s">
        <v>40</v>
      </c>
      <c r="B17" s="9" t="n">
        <v>0</v>
      </c>
      <c r="E17" s="1" t="s">
        <v>41</v>
      </c>
      <c r="F17" s="17" t="n">
        <v>1.3</v>
      </c>
    </row>
    <row r="18" customFormat="false" ht="15" hidden="false" customHeight="true" outlineLevel="0" collapsed="false">
      <c r="A18" s="1" t="s">
        <v>42</v>
      </c>
      <c r="B18" s="9" t="n">
        <v>200</v>
      </c>
      <c r="E18" s="1" t="s">
        <v>43</v>
      </c>
      <c r="F18" s="16" t="n">
        <v>0.0675</v>
      </c>
    </row>
    <row r="19" customFormat="false" ht="15" hidden="false" customHeight="true" outlineLevel="0" collapsed="false">
      <c r="A19" s="1" t="s">
        <v>44</v>
      </c>
      <c r="B19" s="9" t="n">
        <v>400</v>
      </c>
      <c r="E19" s="1" t="s">
        <v>45</v>
      </c>
      <c r="F19" s="18" t="n">
        <v>25</v>
      </c>
    </row>
    <row r="20" customFormat="false" ht="15" hidden="false" customHeight="true" outlineLevel="0" collapsed="false">
      <c r="A20" s="1" t="s">
        <v>46</v>
      </c>
      <c r="B20" s="9" t="n">
        <v>700</v>
      </c>
      <c r="E20" s="1" t="s">
        <v>47</v>
      </c>
      <c r="F20" s="7" t="n">
        <v>0.02</v>
      </c>
    </row>
    <row r="21" customFormat="false" ht="15" hidden="false" customHeight="true" outlineLevel="0" collapsed="false">
      <c r="A21" s="1" t="s">
        <v>48</v>
      </c>
      <c r="B21" s="9" t="n">
        <v>0</v>
      </c>
    </row>
    <row r="22" customFormat="false" ht="15" hidden="false" customHeight="true" outlineLevel="0" collapsed="false">
      <c r="A22" s="1" t="s">
        <v>49</v>
      </c>
      <c r="B22" s="9" t="n">
        <v>755</v>
      </c>
      <c r="E22" s="4" t="s">
        <v>50</v>
      </c>
    </row>
    <row r="23" customFormat="false" ht="15" hidden="false" customHeight="true" outlineLevel="0" collapsed="false">
      <c r="A23" s="1" t="s">
        <v>51</v>
      </c>
      <c r="B23" s="9" t="n">
        <v>105</v>
      </c>
      <c r="E23" s="1" t="s">
        <v>52</v>
      </c>
      <c r="F23" s="12" t="n">
        <f aca="false">IFERROR(IF($F$14=0,0,INDEX('Annual CF'!C25:N25,MATCH($F$14,'Annual CF'!C2:N2,0))/$F$15),0)</f>
        <v>0</v>
      </c>
    </row>
    <row r="24" customFormat="false" ht="15" hidden="false" customHeight="true" outlineLevel="0" collapsed="false">
      <c r="A24" s="1" t="s">
        <v>53</v>
      </c>
      <c r="B24" s="9" t="n">
        <v>3000</v>
      </c>
      <c r="E24" s="1" t="s">
        <v>54</v>
      </c>
      <c r="F24" s="12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true" outlineLevel="0" collapsed="false">
      <c r="A25" s="1" t="s">
        <v>55</v>
      </c>
      <c r="B25" s="5" t="n">
        <v>11206</v>
      </c>
      <c r="E25" s="1" t="s">
        <v>56</v>
      </c>
      <c r="F25" s="12" t="n">
        <f aca="false">IFERROR(IF($F$14=0,0,INDEX('Annual CF'!C35:N35,MATCH($F$14,'Annual CF'!C2:N2,0))),0)</f>
        <v>0</v>
      </c>
    </row>
    <row r="26" customFormat="false" ht="15" hidden="false" customHeight="true" outlineLevel="0" collapsed="false">
      <c r="A26" s="1" t="s">
        <v>57</v>
      </c>
      <c r="B26" s="7" t="n">
        <v>0.08</v>
      </c>
      <c r="E26" s="1" t="s">
        <v>58</v>
      </c>
      <c r="F26" s="12" t="n">
        <f aca="false">$F$24*$F$20</f>
        <v>0</v>
      </c>
    </row>
    <row r="27" customFormat="false" ht="15" hidden="false" customHeight="true" outlineLevel="0" collapsed="false">
      <c r="A27" s="1" t="s">
        <v>59</v>
      </c>
      <c r="B27" s="7" t="n">
        <v>0</v>
      </c>
      <c r="E27" s="1" t="s">
        <v>60</v>
      </c>
      <c r="F27" s="19" t="n">
        <f aca="false">$F$24-$F$25-$F$26</f>
        <v>0</v>
      </c>
    </row>
    <row r="28" customFormat="false" ht="15" hidden="false" customHeight="true" outlineLevel="0" collapsed="false">
      <c r="A28" s="1" t="s">
        <v>61</v>
      </c>
      <c r="B28" s="9" t="n">
        <v>350</v>
      </c>
      <c r="E28" s="1" t="s">
        <v>62</v>
      </c>
      <c r="F28" s="12" t="n">
        <f aca="false">IFERROR(IF($F$14=0,0,PMT($F$18/12,$F$19*12,-$F$24)),0)</f>
        <v>0</v>
      </c>
    </row>
    <row r="29" customFormat="false" ht="15" hidden="false" customHeight="true" outlineLevel="0" collapsed="false">
      <c r="A29" s="1" t="s">
        <v>63</v>
      </c>
      <c r="B29" s="7" t="n">
        <v>0.025</v>
      </c>
    </row>
    <row r="30" customFormat="false" ht="15" hidden="false" customHeight="true" outlineLevel="0" collapsed="false">
      <c r="E30" s="4" t="s">
        <v>64</v>
      </c>
    </row>
    <row r="31" customFormat="false" ht="15" hidden="false" customHeight="true" outlineLevel="0" collapsed="false">
      <c r="A31" s="4" t="s">
        <v>65</v>
      </c>
      <c r="E31" s="1" t="s">
        <v>66</v>
      </c>
      <c r="F31" s="15" t="n">
        <v>0</v>
      </c>
    </row>
    <row r="32" customFormat="false" ht="15" hidden="false" customHeight="true" outlineLevel="0" collapsed="false">
      <c r="A32" s="1" t="s">
        <v>67</v>
      </c>
      <c r="B32" s="7" t="n">
        <v>0.75</v>
      </c>
      <c r="E32" s="1" t="s">
        <v>68</v>
      </c>
      <c r="F32" s="9" t="n">
        <v>0</v>
      </c>
    </row>
    <row r="33" customFormat="false" ht="15" hidden="false" customHeight="true" outlineLevel="0" collapsed="false">
      <c r="A33" s="1" t="s">
        <v>69</v>
      </c>
      <c r="B33" s="17" t="n">
        <v>1.3</v>
      </c>
      <c r="E33" s="1" t="s">
        <v>70</v>
      </c>
      <c r="F33" s="5" t="n">
        <v>0</v>
      </c>
    </row>
    <row r="34" customFormat="false" ht="15" hidden="false" customHeight="true" outlineLevel="0" collapsed="false">
      <c r="A34" s="1" t="s">
        <v>71</v>
      </c>
      <c r="B34" s="20" t="n">
        <v>0.0675</v>
      </c>
      <c r="E34" s="1" t="s">
        <v>72</v>
      </c>
      <c r="F34" s="18" t="n">
        <v>0</v>
      </c>
    </row>
    <row r="35" customFormat="false" ht="15" hidden="false" customHeight="true" outlineLevel="0" collapsed="false">
      <c r="A35" s="1" t="s">
        <v>73</v>
      </c>
      <c r="B35" s="18" t="n">
        <v>25</v>
      </c>
      <c r="E35" s="1" t="s">
        <v>74</v>
      </c>
      <c r="F35" s="18" t="n">
        <v>1</v>
      </c>
    </row>
    <row r="36" customFormat="false" ht="15" hidden="false" customHeight="true" outlineLevel="0" collapsed="false">
      <c r="A36" s="1" t="s">
        <v>75</v>
      </c>
      <c r="B36" s="18" t="n">
        <v>0</v>
      </c>
      <c r="E36" s="1" t="s">
        <v>76</v>
      </c>
      <c r="F36" s="18" t="n">
        <v>1</v>
      </c>
    </row>
    <row r="38" customFormat="false" ht="15" hidden="false" customHeight="true" outlineLevel="0" collapsed="false">
      <c r="E38" s="1" t="s">
        <v>77</v>
      </c>
      <c r="F38" s="19" t="n">
        <f aca="false">$F$31*$F$32</f>
        <v>0</v>
      </c>
    </row>
    <row r="39" customFormat="false" ht="15" hidden="false" customHeight="true" outlineLevel="0" collapsed="false">
      <c r="A39" s="4" t="s">
        <v>78</v>
      </c>
      <c r="E39" s="1" t="s">
        <v>79</v>
      </c>
      <c r="F39" s="14" t="n">
        <f aca="false">IFERROR(ROUNDUP($F$31/$F$34,0),0)</f>
        <v>0</v>
      </c>
    </row>
    <row r="40" customFormat="false" ht="15" hidden="false" customHeight="true" outlineLevel="0" collapsed="false">
      <c r="A40" s="1" t="s">
        <v>80</v>
      </c>
      <c r="B40" s="15" t="n">
        <v>5</v>
      </c>
    </row>
    <row r="41" customFormat="false" ht="15" hidden="false" customHeight="true" outlineLevel="0" collapsed="false">
      <c r="A41" s="1" t="s">
        <v>81</v>
      </c>
      <c r="B41" s="20" t="n">
        <v>0.08177</v>
      </c>
    </row>
    <row r="42" customFormat="false" ht="15" hidden="false" customHeight="true" outlineLevel="0" collapsed="false">
      <c r="A42" s="1" t="s">
        <v>82</v>
      </c>
      <c r="B42" s="7" t="n">
        <v>0.03</v>
      </c>
    </row>
    <row r="44" customFormat="false" ht="15" hidden="false" customHeight="true" outlineLevel="0" collapsed="false">
      <c r="A44" s="4" t="s">
        <v>83</v>
      </c>
    </row>
    <row r="45" customFormat="false" ht="15" hidden="false" customHeight="true" outlineLevel="0" collapsed="false">
      <c r="A45" s="1" t="s">
        <v>84</v>
      </c>
      <c r="B45" s="7" t="n">
        <v>0.9</v>
      </c>
    </row>
    <row r="46" customFormat="false" ht="15" hidden="false" customHeight="true" outlineLevel="0" collapsed="false">
      <c r="A46" s="1" t="s">
        <v>85</v>
      </c>
      <c r="B46" s="21" t="n">
        <f aca="false">1-B45</f>
        <v>0.1</v>
      </c>
    </row>
    <row r="47" customFormat="false" ht="15" hidden="false" customHeight="true" outlineLevel="0" collapsed="false">
      <c r="A47" s="1" t="s">
        <v>86</v>
      </c>
      <c r="B47" s="7" t="n">
        <v>0.08</v>
      </c>
    </row>
    <row r="48" customFormat="false" ht="15" hidden="false" customHeight="true" outlineLevel="0" collapsed="false">
      <c r="A48" s="1" t="s">
        <v>87</v>
      </c>
      <c r="B48" s="7" t="n">
        <v>0.7</v>
      </c>
    </row>
    <row r="49" customFormat="false" ht="15" hidden="false" customHeight="true" outlineLevel="0" collapsed="false">
      <c r="A49" s="1" t="s">
        <v>88</v>
      </c>
      <c r="B49" s="21" t="n">
        <f aca="false">1-B48</f>
        <v>0.3</v>
      </c>
    </row>
    <row r="51" customFormat="false" ht="15" hidden="false" customHeight="true" outlineLevel="0" collapsed="false">
      <c r="A51" s="4" t="s">
        <v>89</v>
      </c>
    </row>
    <row r="52" customFormat="false" ht="15" hidden="false" customHeight="true" outlineLevel="0" collapsed="false">
      <c r="A52" s="1" t="s">
        <v>90</v>
      </c>
      <c r="B52" s="12" t="n">
        <f aca="false">MIN(B32*B2, PV(B34/12, B35*12, -('Annual CF'!D25/B33)/12))</f>
        <v>604681.526724934</v>
      </c>
    </row>
    <row r="53" customFormat="false" ht="15" hidden="false" customHeight="true" outlineLevel="0" collapsed="false">
      <c r="A53" s="1" t="s">
        <v>91</v>
      </c>
      <c r="B53" s="12" t="n">
        <f aca="false">PMT(B34/12,B35*12,-B52)</f>
        <v>4177.81435897436</v>
      </c>
    </row>
    <row r="54" customFormat="false" ht="15" hidden="false" customHeight="true" outlineLevel="0" collapsed="false">
      <c r="A54" s="1" t="s">
        <v>92</v>
      </c>
      <c r="B54" s="19" t="n">
        <f aca="false">B2+B2*B3+B52*B4-B52+$F$38</f>
        <v>267345.288542316</v>
      </c>
    </row>
    <row r="55" customFormat="false" ht="15" hidden="false" customHeight="true" outlineLevel="0" collapsed="false">
      <c r="A55" s="1" t="s">
        <v>93</v>
      </c>
      <c r="B55" s="12" t="n">
        <f aca="false">B54*B45</f>
        <v>240610.759688084</v>
      </c>
    </row>
    <row r="56" customFormat="false" ht="15" hidden="false" customHeight="true" outlineLevel="0" collapsed="false">
      <c r="A56" s="1" t="s">
        <v>94</v>
      </c>
      <c r="B56" s="12" t="n">
        <f aca="false">B54-B55</f>
        <v>26734.5288542316</v>
      </c>
    </row>
    <row r="57" customFormat="false" ht="15" hidden="false" customHeight="true" outlineLevel="0" collapsed="false">
      <c r="A57" s="1" t="s">
        <v>95</v>
      </c>
      <c r="B57" s="22" t="n">
        <f aca="false">IFERROR('Annual CF'!D25/B2,0)</f>
        <v>0.0767654935217903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96</v>
      </c>
    </row>
    <row r="2" customFormat="false" ht="15" hidden="false" customHeight="true" outlineLevel="0" collapsed="false">
      <c r="B2" s="4" t="s">
        <v>97</v>
      </c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4" t="n">
        <v>11</v>
      </c>
    </row>
    <row r="4" customFormat="false" ht="15" hidden="false" customHeight="true" outlineLevel="0" collapsed="false">
      <c r="B4" s="4" t="s">
        <v>98</v>
      </c>
    </row>
    <row r="5" customFormat="false" ht="15" hidden="false" customHeight="true" outlineLevel="0" collapsed="false">
      <c r="B5" s="3" t="s">
        <v>99</v>
      </c>
      <c r="D5" s="23" t="n">
        <f aca="false">(SUMPRODUCT(Inputs!$E$3:$E$10,Inputs!$H$3:$H$10)+MIN(Inputs!$F$31,MAX(0,(D$2-Inputs!$F$36+1)*Inputs!$F$34))*Inputs!$F$33)*12*(1+Inputs!$B$13)^(D$2-1)</f>
        <v>134400</v>
      </c>
      <c r="E5" s="23" t="n">
        <f aca="false">(SUMPRODUCT(Inputs!$E$3:$E$10,Inputs!$H$3:$H$10)+MIN(Inputs!$F$31,MAX(0,(E$2-Inputs!$F$36+1)*Inputs!$F$34))*Inputs!$F$33)*12*(1+Inputs!$B$13)^(E$2-1)</f>
        <v>137088</v>
      </c>
      <c r="F5" s="23" t="n">
        <f aca="false">(SUMPRODUCT(Inputs!$E$3:$E$10,Inputs!$H$3:$H$10)+MIN(Inputs!$F$31,MAX(0,(F$2-Inputs!$F$36+1)*Inputs!$F$34))*Inputs!$F$33)*12*(1+Inputs!$B$13)^(F$2-1)</f>
        <v>139829.76</v>
      </c>
      <c r="G5" s="23" t="n">
        <f aca="false">(SUMPRODUCT(Inputs!$E$3:$E$10,Inputs!$H$3:$H$10)+MIN(Inputs!$F$31,MAX(0,(G$2-Inputs!$F$36+1)*Inputs!$F$34))*Inputs!$F$33)*12*(1+Inputs!$B$13)^(G$2-1)</f>
        <v>142626.3552</v>
      </c>
      <c r="H5" s="23" t="n">
        <f aca="false">(SUMPRODUCT(Inputs!$E$3:$E$10,Inputs!$H$3:$H$10)+MIN(Inputs!$F$31,MAX(0,(H$2-Inputs!$F$36+1)*Inputs!$F$34))*Inputs!$F$33)*12*(1+Inputs!$B$13)^(H$2-1)</f>
        <v>145478.882304</v>
      </c>
      <c r="I5" s="23" t="n">
        <f aca="false">(SUMPRODUCT(Inputs!$E$3:$E$10,Inputs!$H$3:$H$10)+MIN(Inputs!$F$31,MAX(0,(I$2-Inputs!$F$36+1)*Inputs!$F$34))*Inputs!$F$33)*12*(1+Inputs!$B$13)^(I$2-1)</f>
        <v>148388.45995008</v>
      </c>
      <c r="J5" s="23" t="n">
        <f aca="false">(SUMPRODUCT(Inputs!$E$3:$E$10,Inputs!$H$3:$H$10)+MIN(Inputs!$F$31,MAX(0,(J$2-Inputs!$F$36+1)*Inputs!$F$34))*Inputs!$F$33)*12*(1+Inputs!$B$13)^(J$2-1)</f>
        <v>151356.229149082</v>
      </c>
      <c r="K5" s="23" t="n">
        <f aca="false">(SUMPRODUCT(Inputs!$E$3:$E$10,Inputs!$H$3:$H$10)+MIN(Inputs!$F$31,MAX(0,(K$2-Inputs!$F$36+1)*Inputs!$F$34))*Inputs!$F$33)*12*(1+Inputs!$B$13)^(K$2-1)</f>
        <v>154383.353732063</v>
      </c>
      <c r="L5" s="23" t="n">
        <f aca="false">(SUMPRODUCT(Inputs!$E$3:$E$10,Inputs!$H$3:$H$10)+MIN(Inputs!$F$31,MAX(0,(L$2-Inputs!$F$36+1)*Inputs!$F$34))*Inputs!$F$33)*12*(1+Inputs!$B$13)^(L$2-1)</f>
        <v>157471.020806705</v>
      </c>
      <c r="M5" s="23" t="n">
        <f aca="false">(SUMPRODUCT(Inputs!$E$3:$E$10,Inputs!$H$3:$H$10)+MIN(Inputs!$F$31,MAX(0,(M$2-Inputs!$F$36+1)*Inputs!$F$34))*Inputs!$F$33)*12*(1+Inputs!$B$13)^(M$2-1)</f>
        <v>160620.441222839</v>
      </c>
      <c r="N5" s="23" t="n">
        <f aca="false">(SUMPRODUCT(Inputs!$E$3:$E$10,Inputs!$H$3:$H$10)+MIN(Inputs!$F$31,MAX(0,(N$2-Inputs!$F$36+1)*Inputs!$F$34))*Inputs!$F$33)*12*(1+Inputs!$B$13)^(N$2-1)</f>
        <v>163832.850047295</v>
      </c>
    </row>
    <row r="6" customFormat="false" ht="15" hidden="false" customHeight="true" outlineLevel="0" collapsed="false">
      <c r="B6" s="3" t="s">
        <v>100</v>
      </c>
      <c r="D6" s="23" t="n">
        <f aca="false">-(D5*Inputs!$B$9+(MIN(Inputs!$F$31,MAX(0,(D$2-Inputs!$F$36+1)*Inputs!$F$34))-MIN(Inputs!$F$31,MAX(0,(D$2-Inputs!$F$36)*Inputs!$F$34)))*Inputs!$F$35*Inputs!$H$11*(1+Inputs!$B$13)^(D$2-1))</f>
        <v>-9408</v>
      </c>
      <c r="E6" s="23" t="n">
        <f aca="false">-(E5*Inputs!$B$9+(MIN(Inputs!$F$31,MAX(0,(E$2-Inputs!$F$36+1)*Inputs!$F$34))-MIN(Inputs!$F$31,MAX(0,(E$2-Inputs!$F$36)*Inputs!$F$34)))*Inputs!$F$35*Inputs!$H$11*(1+Inputs!$B$13)^(E$2-1))</f>
        <v>-9596.16</v>
      </c>
      <c r="F6" s="23" t="n">
        <f aca="false">-(F5*Inputs!$B$9+(MIN(Inputs!$F$31,MAX(0,(F$2-Inputs!$F$36+1)*Inputs!$F$34))-MIN(Inputs!$F$31,MAX(0,(F$2-Inputs!$F$36)*Inputs!$F$34)))*Inputs!$F$35*Inputs!$H$11*(1+Inputs!$B$13)^(F$2-1))</f>
        <v>-9788.0832</v>
      </c>
      <c r="G6" s="23" t="n">
        <f aca="false">-(G5*Inputs!$B$9+(MIN(Inputs!$F$31,MAX(0,(G$2-Inputs!$F$36+1)*Inputs!$F$34))-MIN(Inputs!$F$31,MAX(0,(G$2-Inputs!$F$36)*Inputs!$F$34)))*Inputs!$F$35*Inputs!$H$11*(1+Inputs!$B$13)^(G$2-1))</f>
        <v>-9983.844864</v>
      </c>
      <c r="H6" s="23" t="n">
        <f aca="false">-(H5*Inputs!$B$9+(MIN(Inputs!$F$31,MAX(0,(H$2-Inputs!$F$36+1)*Inputs!$F$34))-MIN(Inputs!$F$31,MAX(0,(H$2-Inputs!$F$36)*Inputs!$F$34)))*Inputs!$F$35*Inputs!$H$11*(1+Inputs!$B$13)^(H$2-1))</f>
        <v>-10183.52176128</v>
      </c>
      <c r="I6" s="23" t="n">
        <f aca="false">-(I5*Inputs!$B$9+(MIN(Inputs!$F$31,MAX(0,(I$2-Inputs!$F$36+1)*Inputs!$F$34))-MIN(Inputs!$F$31,MAX(0,(I$2-Inputs!$F$36)*Inputs!$F$34)))*Inputs!$F$35*Inputs!$H$11*(1+Inputs!$B$13)^(I$2-1))</f>
        <v>-10387.1921965056</v>
      </c>
      <c r="J6" s="23" t="n">
        <f aca="false">-(J5*Inputs!$B$9+(MIN(Inputs!$F$31,MAX(0,(J$2-Inputs!$F$36+1)*Inputs!$F$34))-MIN(Inputs!$F$31,MAX(0,(J$2-Inputs!$F$36)*Inputs!$F$34)))*Inputs!$F$35*Inputs!$H$11*(1+Inputs!$B$13)^(J$2-1))</f>
        <v>-10594.9360404357</v>
      </c>
      <c r="K6" s="23" t="n">
        <f aca="false">-(K5*Inputs!$B$9+(MIN(Inputs!$F$31,MAX(0,(K$2-Inputs!$F$36+1)*Inputs!$F$34))-MIN(Inputs!$F$31,MAX(0,(K$2-Inputs!$F$36)*Inputs!$F$34)))*Inputs!$F$35*Inputs!$H$11*(1+Inputs!$B$13)^(K$2-1))</f>
        <v>-10806.8347612444</v>
      </c>
      <c r="L6" s="23" t="n">
        <f aca="false">-(L5*Inputs!$B$9+(MIN(Inputs!$F$31,MAX(0,(L$2-Inputs!$F$36+1)*Inputs!$F$34))-MIN(Inputs!$F$31,MAX(0,(L$2-Inputs!$F$36)*Inputs!$F$34)))*Inputs!$F$35*Inputs!$H$11*(1+Inputs!$B$13)^(L$2-1))</f>
        <v>-11022.9714564693</v>
      </c>
      <c r="M6" s="23" t="n">
        <f aca="false">-(M5*Inputs!$B$9+(MIN(Inputs!$F$31,MAX(0,(M$2-Inputs!$F$36+1)*Inputs!$F$34))-MIN(Inputs!$F$31,MAX(0,(M$2-Inputs!$F$36)*Inputs!$F$34)))*Inputs!$F$35*Inputs!$H$11*(1+Inputs!$B$13)^(M$2-1))</f>
        <v>-11243.4308855987</v>
      </c>
      <c r="N6" s="23" t="n">
        <f aca="false">-(N5*Inputs!$B$9+(MIN(Inputs!$F$31,MAX(0,(N$2-Inputs!$F$36+1)*Inputs!$F$34))-MIN(Inputs!$F$31,MAX(0,(N$2-Inputs!$F$36)*Inputs!$F$34)))*Inputs!$F$35*Inputs!$H$11*(1+Inputs!$B$13)^(N$2-1))</f>
        <v>-11468.2995033107</v>
      </c>
    </row>
    <row r="7" customFormat="false" ht="15" hidden="false" customHeight="true" outlineLevel="0" collapsed="false">
      <c r="B7" s="3" t="s">
        <v>101</v>
      </c>
      <c r="D7" s="23" t="n">
        <f aca="false">-D5*Inputs!$B$10</f>
        <v>-672</v>
      </c>
      <c r="E7" s="23" t="n">
        <f aca="false">-E5*Inputs!$B$10</f>
        <v>-685.44</v>
      </c>
      <c r="F7" s="23" t="n">
        <f aca="false">-F5*Inputs!$B$10</f>
        <v>-699.1488</v>
      </c>
      <c r="G7" s="23" t="n">
        <f aca="false">-G5*Inputs!$B$10</f>
        <v>-713.131776</v>
      </c>
      <c r="H7" s="23" t="n">
        <f aca="false">-H5*Inputs!$B$10</f>
        <v>-727.39441152</v>
      </c>
      <c r="I7" s="23" t="n">
        <f aca="false">-I5*Inputs!$B$10</f>
        <v>-741.9422997504</v>
      </c>
      <c r="J7" s="23" t="n">
        <f aca="false">-J5*Inputs!$B$10</f>
        <v>-756.781145745408</v>
      </c>
      <c r="K7" s="23" t="n">
        <f aca="false">-K5*Inputs!$B$10</f>
        <v>-771.916768660316</v>
      </c>
      <c r="L7" s="23" t="n">
        <f aca="false">-L5*Inputs!$B$10</f>
        <v>-787.355104033523</v>
      </c>
      <c r="M7" s="23" t="n">
        <f aca="false">-M5*Inputs!$B$10</f>
        <v>-803.102206114193</v>
      </c>
      <c r="N7" s="23" t="n">
        <f aca="false">-N5*Inputs!$B$10</f>
        <v>-819.164250236477</v>
      </c>
    </row>
    <row r="8" customFormat="false" ht="15" hidden="false" customHeight="true" outlineLevel="0" collapsed="false">
      <c r="B8" s="3" t="s">
        <v>102</v>
      </c>
      <c r="D8" s="23" t="n">
        <f aca="false">-D5*Inputs!$B$11</f>
        <v>-0</v>
      </c>
      <c r="E8" s="23" t="n">
        <f aca="false">-E5*Inputs!$B$11</f>
        <v>-0</v>
      </c>
      <c r="F8" s="23" t="n">
        <f aca="false">-F5*Inputs!$B$11</f>
        <v>-0</v>
      </c>
      <c r="G8" s="23" t="n">
        <f aca="false">-G5*Inputs!$B$11</f>
        <v>-0</v>
      </c>
      <c r="H8" s="23" t="n">
        <f aca="false">-H5*Inputs!$B$11</f>
        <v>-0</v>
      </c>
      <c r="I8" s="23" t="n">
        <f aca="false">-I5*Inputs!$B$11</f>
        <v>-0</v>
      </c>
      <c r="J8" s="23" t="n">
        <f aca="false">-J5*Inputs!$B$11</f>
        <v>-0</v>
      </c>
      <c r="K8" s="23" t="n">
        <f aca="false">-K5*Inputs!$B$11</f>
        <v>-0</v>
      </c>
      <c r="L8" s="23" t="n">
        <f aca="false">-L5*Inputs!$B$11</f>
        <v>-0</v>
      </c>
      <c r="M8" s="23" t="n">
        <f aca="false">-M5*Inputs!$B$11</f>
        <v>-0</v>
      </c>
      <c r="N8" s="23" t="n">
        <f aca="false">-N5*Inputs!$B$11</f>
        <v>-0</v>
      </c>
    </row>
    <row r="9" customFormat="false" ht="15" hidden="false" customHeight="true" outlineLevel="0" collapsed="false">
      <c r="B9" s="4" t="s">
        <v>103</v>
      </c>
      <c r="D9" s="19" t="n">
        <f aca="false">SUM(D5:D8)</f>
        <v>124320</v>
      </c>
      <c r="E9" s="19" t="n">
        <f aca="false">SUM(E5:E8)</f>
        <v>126806.4</v>
      </c>
      <c r="F9" s="19" t="n">
        <f aca="false">SUM(F5:F8)</f>
        <v>129342.528</v>
      </c>
      <c r="G9" s="19" t="n">
        <f aca="false">SUM(G5:G8)</f>
        <v>131929.37856</v>
      </c>
      <c r="H9" s="19" t="n">
        <f aca="false">SUM(H5:H8)</f>
        <v>134567.9661312</v>
      </c>
      <c r="I9" s="19" t="n">
        <f aca="false">SUM(I5:I8)</f>
        <v>137259.325453824</v>
      </c>
      <c r="J9" s="19" t="n">
        <f aca="false">SUM(J5:J8)</f>
        <v>140004.511962901</v>
      </c>
      <c r="K9" s="19" t="n">
        <f aca="false">SUM(K5:K8)</f>
        <v>142804.602202158</v>
      </c>
      <c r="L9" s="19" t="n">
        <f aca="false">SUM(L5:L8)</f>
        <v>145660.694246202</v>
      </c>
      <c r="M9" s="19" t="n">
        <f aca="false">SUM(M5:M8)</f>
        <v>148573.908131126</v>
      </c>
      <c r="N9" s="19" t="n">
        <f aca="false">SUM(N5:N8)</f>
        <v>151545.386293748</v>
      </c>
    </row>
    <row r="10" customFormat="false" ht="15" hidden="false" customHeight="true" outlineLevel="0" collapsed="false">
      <c r="B10" s="3" t="s">
        <v>104</v>
      </c>
      <c r="D10" s="23" t="n">
        <f aca="false">Inputs!$B$5*Inputs!$B$12*12*(1-Inputs!$B$9)*(1+Inputs!$B$14)^(D$2-1)</f>
        <v>3571.2</v>
      </c>
      <c r="E10" s="23" t="n">
        <f aca="false">Inputs!$B$5*Inputs!$B$12*12*(1-Inputs!$B$9)*(1+Inputs!$B$14)^(E$2-1)</f>
        <v>3642.624</v>
      </c>
      <c r="F10" s="23" t="n">
        <f aca="false">Inputs!$B$5*Inputs!$B$12*12*(1-Inputs!$B$9)*(1+Inputs!$B$14)^(F$2-1)</f>
        <v>3715.47648</v>
      </c>
      <c r="G10" s="23" t="n">
        <f aca="false">Inputs!$B$5*Inputs!$B$12*12*(1-Inputs!$B$9)*(1+Inputs!$B$14)^(G$2-1)</f>
        <v>3789.7860096</v>
      </c>
      <c r="H10" s="23" t="n">
        <f aca="false">Inputs!$B$5*Inputs!$B$12*12*(1-Inputs!$B$9)*(1+Inputs!$B$14)^(H$2-1)</f>
        <v>3865.581729792</v>
      </c>
      <c r="I10" s="23" t="n">
        <f aca="false">Inputs!$B$5*Inputs!$B$12*12*(1-Inputs!$B$9)*(1+Inputs!$B$14)^(I$2-1)</f>
        <v>3942.89336438784</v>
      </c>
      <c r="J10" s="23" t="n">
        <f aca="false">Inputs!$B$5*Inputs!$B$12*12*(1-Inputs!$B$9)*(1+Inputs!$B$14)^(J$2-1)</f>
        <v>4021.7512316756</v>
      </c>
      <c r="K10" s="23" t="n">
        <f aca="false">Inputs!$B$5*Inputs!$B$12*12*(1-Inputs!$B$9)*(1+Inputs!$B$14)^(K$2-1)</f>
        <v>4102.18625630911</v>
      </c>
      <c r="L10" s="23" t="n">
        <f aca="false">Inputs!$B$5*Inputs!$B$12*12*(1-Inputs!$B$9)*(1+Inputs!$B$14)^(L$2-1)</f>
        <v>4184.22998143529</v>
      </c>
      <c r="M10" s="23" t="n">
        <f aca="false">Inputs!$B$5*Inputs!$B$12*12*(1-Inputs!$B$9)*(1+Inputs!$B$14)^(M$2-1)</f>
        <v>4267.914581064</v>
      </c>
      <c r="N10" s="23" t="n">
        <f aca="false">Inputs!$B$5*Inputs!$B$12*12*(1-Inputs!$B$9)*(1+Inputs!$B$14)^(N$2-1)</f>
        <v>4353.27287268528</v>
      </c>
    </row>
    <row r="11" customFormat="false" ht="15" hidden="false" customHeight="true" outlineLevel="0" collapsed="false">
      <c r="B11" s="4" t="s">
        <v>105</v>
      </c>
      <c r="D11" s="19" t="n">
        <f aca="false">D9+D10</f>
        <v>127891.2</v>
      </c>
      <c r="E11" s="19" t="n">
        <f aca="false">E9+E10</f>
        <v>130449.024</v>
      </c>
      <c r="F11" s="19" t="n">
        <f aca="false">F9+F10</f>
        <v>133058.00448</v>
      </c>
      <c r="G11" s="19" t="n">
        <f aca="false">G9+G10</f>
        <v>135719.1645696</v>
      </c>
      <c r="H11" s="19" t="n">
        <f aca="false">H9+H10</f>
        <v>138433.547860992</v>
      </c>
      <c r="I11" s="19" t="n">
        <f aca="false">I9+I10</f>
        <v>141202.218818212</v>
      </c>
      <c r="J11" s="19" t="n">
        <f aca="false">J9+J10</f>
        <v>144026.263194576</v>
      </c>
      <c r="K11" s="19" t="n">
        <f aca="false">K9+K10</f>
        <v>146906.788458468</v>
      </c>
      <c r="L11" s="19" t="n">
        <f aca="false">L9+L10</f>
        <v>149844.924227637</v>
      </c>
      <c r="M11" s="19" t="n">
        <f aca="false">M9+M10</f>
        <v>152841.82271219</v>
      </c>
      <c r="N11" s="19" t="n">
        <f aca="false">N9+N10</f>
        <v>155898.659166434</v>
      </c>
    </row>
    <row r="13" customFormat="false" ht="15" hidden="false" customHeight="true" outlineLevel="0" collapsed="false">
      <c r="B13" s="4" t="s">
        <v>106</v>
      </c>
    </row>
    <row r="14" customFormat="false" ht="15" hidden="false" customHeight="true" outlineLevel="0" collapsed="false">
      <c r="B14" s="3" t="s">
        <v>107</v>
      </c>
      <c r="D14" s="23" t="n">
        <f aca="false">-Inputs!$B$17*Inputs!$B$5*(1+Inputs!$B$29)^(D$2-1)</f>
        <v>-0</v>
      </c>
      <c r="E14" s="23" t="n">
        <f aca="false">-Inputs!$B$17*Inputs!$B$5*(1+Inputs!$B$29)^(E$2-1)</f>
        <v>-0</v>
      </c>
      <c r="F14" s="23" t="n">
        <f aca="false">-Inputs!$B$17*Inputs!$B$5*(1+Inputs!$B$29)^(F$2-1)</f>
        <v>-0</v>
      </c>
      <c r="G14" s="23" t="n">
        <f aca="false">-Inputs!$B$17*Inputs!$B$5*(1+Inputs!$B$29)^(G$2-1)</f>
        <v>-0</v>
      </c>
      <c r="H14" s="23" t="n">
        <f aca="false">-Inputs!$B$17*Inputs!$B$5*(1+Inputs!$B$29)^(H$2-1)</f>
        <v>-0</v>
      </c>
      <c r="I14" s="23" t="n">
        <f aca="false">-Inputs!$B$17*Inputs!$B$5*(1+Inputs!$B$29)^(I$2-1)</f>
        <v>-0</v>
      </c>
      <c r="J14" s="23" t="n">
        <f aca="false">-Inputs!$B$17*Inputs!$B$5*(1+Inputs!$B$29)^(J$2-1)</f>
        <v>-0</v>
      </c>
      <c r="K14" s="23" t="n">
        <f aca="false">-Inputs!$B$17*Inputs!$B$5*(1+Inputs!$B$29)^(K$2-1)</f>
        <v>-0</v>
      </c>
      <c r="L14" s="23" t="n">
        <f aca="false">-Inputs!$B$17*Inputs!$B$5*(1+Inputs!$B$29)^(L$2-1)</f>
        <v>-0</v>
      </c>
      <c r="M14" s="23" t="n">
        <f aca="false">-Inputs!$B$17*Inputs!$B$5*(1+Inputs!$B$29)^(M$2-1)</f>
        <v>-0</v>
      </c>
      <c r="N14" s="23" t="n">
        <f aca="false">-Inputs!$B$17*Inputs!$B$5*(1+Inputs!$B$29)^(N$2-1)</f>
        <v>-0</v>
      </c>
    </row>
    <row r="15" customFormat="false" ht="15" hidden="false" customHeight="true" outlineLevel="0" collapsed="false">
      <c r="B15" s="3" t="s">
        <v>42</v>
      </c>
      <c r="D15" s="23" t="n">
        <f aca="false">-Inputs!$B$18*Inputs!$B$5*(1+Inputs!$B$29)^(D$2-1)</f>
        <v>-1600</v>
      </c>
      <c r="E15" s="23" t="n">
        <f aca="false">-Inputs!$B$18*Inputs!$B$5*(1+Inputs!$B$29)^(E$2-1)</f>
        <v>-1640</v>
      </c>
      <c r="F15" s="23" t="n">
        <f aca="false">-Inputs!$B$18*Inputs!$B$5*(1+Inputs!$B$29)^(F$2-1)</f>
        <v>-1681</v>
      </c>
      <c r="G15" s="23" t="n">
        <f aca="false">-Inputs!$B$18*Inputs!$B$5*(1+Inputs!$B$29)^(G$2-1)</f>
        <v>-1723.025</v>
      </c>
      <c r="H15" s="23" t="n">
        <f aca="false">-Inputs!$B$18*Inputs!$B$5*(1+Inputs!$B$29)^(H$2-1)</f>
        <v>-1766.100625</v>
      </c>
      <c r="I15" s="23" t="n">
        <f aca="false">-Inputs!$B$18*Inputs!$B$5*(1+Inputs!$B$29)^(I$2-1)</f>
        <v>-1810.253140625</v>
      </c>
      <c r="J15" s="23" t="n">
        <f aca="false">-Inputs!$B$18*Inputs!$B$5*(1+Inputs!$B$29)^(J$2-1)</f>
        <v>-1855.50946914062</v>
      </c>
      <c r="K15" s="23" t="n">
        <f aca="false">-Inputs!$B$18*Inputs!$B$5*(1+Inputs!$B$29)^(K$2-1)</f>
        <v>-1901.89720586914</v>
      </c>
      <c r="L15" s="23" t="n">
        <f aca="false">-Inputs!$B$18*Inputs!$B$5*(1+Inputs!$B$29)^(L$2-1)</f>
        <v>-1949.44463601587</v>
      </c>
      <c r="M15" s="23" t="n">
        <f aca="false">-Inputs!$B$18*Inputs!$B$5*(1+Inputs!$B$29)^(M$2-1)</f>
        <v>-1998.18075191626</v>
      </c>
      <c r="N15" s="23" t="n">
        <f aca="false">-Inputs!$B$18*Inputs!$B$5*(1+Inputs!$B$29)^(N$2-1)</f>
        <v>-2048.13527071417</v>
      </c>
    </row>
    <row r="16" customFormat="false" ht="15" hidden="false" customHeight="true" outlineLevel="0" collapsed="false">
      <c r="B16" s="3" t="s">
        <v>44</v>
      </c>
      <c r="D16" s="23" t="n">
        <f aca="false">-Inputs!$B$19*Inputs!$B$5*(1+Inputs!$B$29)^(D$2-1)</f>
        <v>-3200</v>
      </c>
      <c r="E16" s="23" t="n">
        <f aca="false">-Inputs!$B$19*Inputs!$B$5*(1+Inputs!$B$29)^(E$2-1)</f>
        <v>-3280</v>
      </c>
      <c r="F16" s="23" t="n">
        <f aca="false">-Inputs!$B$19*Inputs!$B$5*(1+Inputs!$B$29)^(F$2-1)</f>
        <v>-3362</v>
      </c>
      <c r="G16" s="23" t="n">
        <f aca="false">-Inputs!$B$19*Inputs!$B$5*(1+Inputs!$B$29)^(G$2-1)</f>
        <v>-3446.05</v>
      </c>
      <c r="H16" s="23" t="n">
        <f aca="false">-Inputs!$B$19*Inputs!$B$5*(1+Inputs!$B$29)^(H$2-1)</f>
        <v>-3532.20125</v>
      </c>
      <c r="I16" s="23" t="n">
        <f aca="false">-Inputs!$B$19*Inputs!$B$5*(1+Inputs!$B$29)^(I$2-1)</f>
        <v>-3620.50628125</v>
      </c>
      <c r="J16" s="23" t="n">
        <f aca="false">-Inputs!$B$19*Inputs!$B$5*(1+Inputs!$B$29)^(J$2-1)</f>
        <v>-3711.01893828125</v>
      </c>
      <c r="K16" s="23" t="n">
        <f aca="false">-Inputs!$B$19*Inputs!$B$5*(1+Inputs!$B$29)^(K$2-1)</f>
        <v>-3803.79441173828</v>
      </c>
      <c r="L16" s="23" t="n">
        <f aca="false">-Inputs!$B$19*Inputs!$B$5*(1+Inputs!$B$29)^(L$2-1)</f>
        <v>-3898.88927203174</v>
      </c>
      <c r="M16" s="23" t="n">
        <f aca="false">-Inputs!$B$19*Inputs!$B$5*(1+Inputs!$B$29)^(M$2-1)</f>
        <v>-3996.36150383253</v>
      </c>
      <c r="N16" s="23" t="n">
        <f aca="false">-Inputs!$B$19*Inputs!$B$5*(1+Inputs!$B$29)^(N$2-1)</f>
        <v>-4096.27054142834</v>
      </c>
    </row>
    <row r="17" customFormat="false" ht="15" hidden="false" customHeight="true" outlineLevel="0" collapsed="false">
      <c r="B17" s="3" t="s">
        <v>46</v>
      </c>
      <c r="D17" s="23" t="n">
        <f aca="false">-Inputs!$B$20*Inputs!$B$5*(1+Inputs!$B$29)^(D$2-1)</f>
        <v>-5600</v>
      </c>
      <c r="E17" s="23" t="n">
        <f aca="false">-Inputs!$B$20*Inputs!$B$5*(1+Inputs!$B$29)^(E$2-1)</f>
        <v>-5740</v>
      </c>
      <c r="F17" s="23" t="n">
        <f aca="false">-Inputs!$B$20*Inputs!$B$5*(1+Inputs!$B$29)^(F$2-1)</f>
        <v>-5883.5</v>
      </c>
      <c r="G17" s="23" t="n">
        <f aca="false">-Inputs!$B$20*Inputs!$B$5*(1+Inputs!$B$29)^(G$2-1)</f>
        <v>-6030.5875</v>
      </c>
      <c r="H17" s="23" t="n">
        <f aca="false">-Inputs!$B$20*Inputs!$B$5*(1+Inputs!$B$29)^(H$2-1)</f>
        <v>-6181.3521875</v>
      </c>
      <c r="I17" s="23" t="n">
        <f aca="false">-Inputs!$B$20*Inputs!$B$5*(1+Inputs!$B$29)^(I$2-1)</f>
        <v>-6335.8859921875</v>
      </c>
      <c r="J17" s="23" t="n">
        <f aca="false">-Inputs!$B$20*Inputs!$B$5*(1+Inputs!$B$29)^(J$2-1)</f>
        <v>-6494.28314199218</v>
      </c>
      <c r="K17" s="23" t="n">
        <f aca="false">-Inputs!$B$20*Inputs!$B$5*(1+Inputs!$B$29)^(K$2-1)</f>
        <v>-6656.64022054199</v>
      </c>
      <c r="L17" s="23" t="n">
        <f aca="false">-Inputs!$B$20*Inputs!$B$5*(1+Inputs!$B$29)^(L$2-1)</f>
        <v>-6823.05622605554</v>
      </c>
      <c r="M17" s="23" t="n">
        <f aca="false">-Inputs!$B$20*Inputs!$B$5*(1+Inputs!$B$29)^(M$2-1)</f>
        <v>-6993.63263170693</v>
      </c>
      <c r="N17" s="23" t="n">
        <f aca="false">-Inputs!$B$20*Inputs!$B$5*(1+Inputs!$B$29)^(N$2-1)</f>
        <v>-7168.4734474996</v>
      </c>
    </row>
    <row r="18" customFormat="false" ht="15" hidden="false" customHeight="true" outlineLevel="0" collapsed="false">
      <c r="B18" s="3" t="s">
        <v>48</v>
      </c>
      <c r="D18" s="23" t="n">
        <f aca="false">-Inputs!$B$21*Inputs!$B$5*(1+Inputs!$B$29)^(D$2-1)</f>
        <v>-0</v>
      </c>
      <c r="E18" s="23" t="n">
        <f aca="false">-Inputs!$B$21*Inputs!$B$5*(1+Inputs!$B$29)^(E$2-1)</f>
        <v>-0</v>
      </c>
      <c r="F18" s="23" t="n">
        <f aca="false">-Inputs!$B$21*Inputs!$B$5*(1+Inputs!$B$29)^(F$2-1)</f>
        <v>-0</v>
      </c>
      <c r="G18" s="23" t="n">
        <f aca="false">-Inputs!$B$21*Inputs!$B$5*(1+Inputs!$B$29)^(G$2-1)</f>
        <v>-0</v>
      </c>
      <c r="H18" s="23" t="n">
        <f aca="false">-Inputs!$B$21*Inputs!$B$5*(1+Inputs!$B$29)^(H$2-1)</f>
        <v>-0</v>
      </c>
      <c r="I18" s="23" t="n">
        <f aca="false">-Inputs!$B$21*Inputs!$B$5*(1+Inputs!$B$29)^(I$2-1)</f>
        <v>-0</v>
      </c>
      <c r="J18" s="23" t="n">
        <f aca="false">-Inputs!$B$21*Inputs!$B$5*(1+Inputs!$B$29)^(J$2-1)</f>
        <v>-0</v>
      </c>
      <c r="K18" s="23" t="n">
        <f aca="false">-Inputs!$B$21*Inputs!$B$5*(1+Inputs!$B$29)^(K$2-1)</f>
        <v>-0</v>
      </c>
      <c r="L18" s="23" t="n">
        <f aca="false">-Inputs!$B$21*Inputs!$B$5*(1+Inputs!$B$29)^(L$2-1)</f>
        <v>-0</v>
      </c>
      <c r="M18" s="23" t="n">
        <f aca="false">-Inputs!$B$21*Inputs!$B$5*(1+Inputs!$B$29)^(M$2-1)</f>
        <v>-0</v>
      </c>
      <c r="N18" s="23" t="n">
        <f aca="false">-Inputs!$B$21*Inputs!$B$5*(1+Inputs!$B$29)^(N$2-1)</f>
        <v>-0</v>
      </c>
    </row>
    <row r="19" customFormat="false" ht="15" hidden="false" customHeight="true" outlineLevel="0" collapsed="false">
      <c r="B19" s="3" t="s">
        <v>49</v>
      </c>
      <c r="D19" s="23" t="n">
        <f aca="false">-Inputs!$B$22*Inputs!$B$5*(1+Inputs!$B$29)^(D$2-1)</f>
        <v>-6040</v>
      </c>
      <c r="E19" s="23" t="n">
        <f aca="false">-Inputs!$B$22*Inputs!$B$5*(1+Inputs!$B$29)^(E$2-1)</f>
        <v>-6191</v>
      </c>
      <c r="F19" s="23" t="n">
        <f aca="false">-Inputs!$B$22*Inputs!$B$5*(1+Inputs!$B$29)^(F$2-1)</f>
        <v>-6345.775</v>
      </c>
      <c r="G19" s="23" t="n">
        <f aca="false">-Inputs!$B$22*Inputs!$B$5*(1+Inputs!$B$29)^(G$2-1)</f>
        <v>-6504.419375</v>
      </c>
      <c r="H19" s="23" t="n">
        <f aca="false">-Inputs!$B$22*Inputs!$B$5*(1+Inputs!$B$29)^(H$2-1)</f>
        <v>-6667.029859375</v>
      </c>
      <c r="I19" s="23" t="n">
        <f aca="false">-Inputs!$B$22*Inputs!$B$5*(1+Inputs!$B$29)^(I$2-1)</f>
        <v>-6833.70560585937</v>
      </c>
      <c r="J19" s="23" t="n">
        <f aca="false">-Inputs!$B$22*Inputs!$B$5*(1+Inputs!$B$29)^(J$2-1)</f>
        <v>-7004.54824600586</v>
      </c>
      <c r="K19" s="23" t="n">
        <f aca="false">-Inputs!$B$22*Inputs!$B$5*(1+Inputs!$B$29)^(K$2-1)</f>
        <v>-7179.661952156</v>
      </c>
      <c r="L19" s="23" t="n">
        <f aca="false">-Inputs!$B$22*Inputs!$B$5*(1+Inputs!$B$29)^(L$2-1)</f>
        <v>-7359.1535009599</v>
      </c>
      <c r="M19" s="23" t="n">
        <f aca="false">-Inputs!$B$22*Inputs!$B$5*(1+Inputs!$B$29)^(M$2-1)</f>
        <v>-7543.1323384839</v>
      </c>
      <c r="N19" s="23" t="n">
        <f aca="false">-Inputs!$B$22*Inputs!$B$5*(1+Inputs!$B$29)^(N$2-1)</f>
        <v>-7731.71064694599</v>
      </c>
    </row>
    <row r="20" customFormat="false" ht="15" hidden="false" customHeight="true" outlineLevel="0" collapsed="false">
      <c r="B20" s="3" t="s">
        <v>51</v>
      </c>
      <c r="D20" s="23" t="n">
        <f aca="false">-Inputs!$B$23*Inputs!$B$5*(1+Inputs!$B$29)^(D$2-1)</f>
        <v>-840</v>
      </c>
      <c r="E20" s="23" t="n">
        <f aca="false">-Inputs!$B$23*Inputs!$B$5*(1+Inputs!$B$29)^(E$2-1)</f>
        <v>-861</v>
      </c>
      <c r="F20" s="23" t="n">
        <f aca="false">-Inputs!$B$23*Inputs!$B$5*(1+Inputs!$B$29)^(F$2-1)</f>
        <v>-882.525</v>
      </c>
      <c r="G20" s="23" t="n">
        <f aca="false">-Inputs!$B$23*Inputs!$B$5*(1+Inputs!$B$29)^(G$2-1)</f>
        <v>-904.588125</v>
      </c>
      <c r="H20" s="23" t="n">
        <f aca="false">-Inputs!$B$23*Inputs!$B$5*(1+Inputs!$B$29)^(H$2-1)</f>
        <v>-927.202828125</v>
      </c>
      <c r="I20" s="23" t="n">
        <f aca="false">-Inputs!$B$23*Inputs!$B$5*(1+Inputs!$B$29)^(I$2-1)</f>
        <v>-950.382898828125</v>
      </c>
      <c r="J20" s="23" t="n">
        <f aca="false">-Inputs!$B$23*Inputs!$B$5*(1+Inputs!$B$29)^(J$2-1)</f>
        <v>-974.142471298828</v>
      </c>
      <c r="K20" s="23" t="n">
        <f aca="false">-Inputs!$B$23*Inputs!$B$5*(1+Inputs!$B$29)^(K$2-1)</f>
        <v>-998.496033081298</v>
      </c>
      <c r="L20" s="23" t="n">
        <f aca="false">-Inputs!$B$23*Inputs!$B$5*(1+Inputs!$B$29)^(L$2-1)</f>
        <v>-1023.45843390833</v>
      </c>
      <c r="M20" s="23" t="n">
        <f aca="false">-Inputs!$B$23*Inputs!$B$5*(1+Inputs!$B$29)^(M$2-1)</f>
        <v>-1049.04489475604</v>
      </c>
      <c r="N20" s="23" t="n">
        <f aca="false">-Inputs!$B$23*Inputs!$B$5*(1+Inputs!$B$29)^(N$2-1)</f>
        <v>-1075.27101712494</v>
      </c>
    </row>
    <row r="21" customFormat="false" ht="15" hidden="false" customHeight="true" outlineLevel="0" collapsed="false">
      <c r="B21" s="3" t="s">
        <v>53</v>
      </c>
      <c r="D21" s="23" t="n">
        <f aca="false">-Inputs!$B$24*Inputs!$B$5*(1+Inputs!$B$29)^(D$2-1)</f>
        <v>-24000</v>
      </c>
      <c r="E21" s="23" t="n">
        <f aca="false">-Inputs!$B$24*Inputs!$B$5*(1+Inputs!$B$29)^(E$2-1)</f>
        <v>-24600</v>
      </c>
      <c r="F21" s="23" t="n">
        <f aca="false">-Inputs!$B$24*Inputs!$B$5*(1+Inputs!$B$29)^(F$2-1)</f>
        <v>-25215</v>
      </c>
      <c r="G21" s="23" t="n">
        <f aca="false">-Inputs!$B$24*Inputs!$B$5*(1+Inputs!$B$29)^(G$2-1)</f>
        <v>-25845.375</v>
      </c>
      <c r="H21" s="23" t="n">
        <f aca="false">-Inputs!$B$24*Inputs!$B$5*(1+Inputs!$B$29)^(H$2-1)</f>
        <v>-26491.509375</v>
      </c>
      <c r="I21" s="23" t="n">
        <f aca="false">-Inputs!$B$24*Inputs!$B$5*(1+Inputs!$B$29)^(I$2-1)</f>
        <v>-27153.797109375</v>
      </c>
      <c r="J21" s="23" t="n">
        <f aca="false">-Inputs!$B$24*Inputs!$B$5*(1+Inputs!$B$29)^(J$2-1)</f>
        <v>-27832.6420371094</v>
      </c>
      <c r="K21" s="23" t="n">
        <f aca="false">-Inputs!$B$24*Inputs!$B$5*(1+Inputs!$B$29)^(K$2-1)</f>
        <v>-28528.4580880371</v>
      </c>
      <c r="L21" s="23" t="n">
        <f aca="false">-Inputs!$B$24*Inputs!$B$5*(1+Inputs!$B$29)^(L$2-1)</f>
        <v>-29241.669540238</v>
      </c>
      <c r="M21" s="23" t="n">
        <f aca="false">-Inputs!$B$24*Inputs!$B$5*(1+Inputs!$B$29)^(M$2-1)</f>
        <v>-29972.711278744</v>
      </c>
      <c r="N21" s="23" t="n">
        <f aca="false">-Inputs!$B$24*Inputs!$B$5*(1+Inputs!$B$29)^(N$2-1)</f>
        <v>-30722.0290607126</v>
      </c>
    </row>
    <row r="22" customFormat="false" ht="15" hidden="false" customHeight="true" outlineLevel="0" collapsed="false">
      <c r="B22" s="3" t="s">
        <v>108</v>
      </c>
      <c r="D22" s="23" t="n">
        <f aca="false">-Inputs!$B$25*(1+Inputs!$B$29)^(D$2-1)</f>
        <v>-11206</v>
      </c>
      <c r="E22" s="23" t="n">
        <f aca="false">-Inputs!$B$25*(1+Inputs!$B$29)^(E$2-1)</f>
        <v>-11486.15</v>
      </c>
      <c r="F22" s="23" t="n">
        <f aca="false">-Inputs!$B$25*(1+Inputs!$B$29)^(F$2-1)</f>
        <v>-11773.30375</v>
      </c>
      <c r="G22" s="23" t="n">
        <f aca="false">-Inputs!$B$25*(1+Inputs!$B$29)^(G$2-1)</f>
        <v>-12067.63634375</v>
      </c>
      <c r="H22" s="23" t="n">
        <f aca="false">-Inputs!$B$25*(1+Inputs!$B$29)^(H$2-1)</f>
        <v>-12369.3272523437</v>
      </c>
      <c r="I22" s="23" t="n">
        <f aca="false">-Inputs!$B$25*(1+Inputs!$B$29)^(I$2-1)</f>
        <v>-12678.5604336523</v>
      </c>
      <c r="J22" s="23" t="n">
        <f aca="false">-Inputs!$B$25*(1+Inputs!$B$29)^(J$2-1)</f>
        <v>-12995.5244444936</v>
      </c>
      <c r="K22" s="23" t="n">
        <f aca="false">-Inputs!$B$25*(1+Inputs!$B$29)^(K$2-1)</f>
        <v>-13320.412555606</v>
      </c>
      <c r="L22" s="23" t="n">
        <f aca="false">-Inputs!$B$25*(1+Inputs!$B$29)^(L$2-1)</f>
        <v>-13653.4228694961</v>
      </c>
      <c r="M22" s="23" t="n">
        <f aca="false">-Inputs!$B$25*(1+Inputs!$B$29)^(M$2-1)</f>
        <v>-13994.7584412335</v>
      </c>
      <c r="N22" s="23" t="n">
        <f aca="false">-Inputs!$B$25*(1+Inputs!$B$29)^(N$2-1)</f>
        <v>-14344.6274022644</v>
      </c>
    </row>
    <row r="23" customFormat="false" ht="15" hidden="false" customHeight="true" outlineLevel="0" collapsed="false">
      <c r="B23" s="3" t="s">
        <v>109</v>
      </c>
      <c r="D23" s="23" t="n">
        <f aca="false">-D11*Inputs!$B$26</f>
        <v>-10231.296</v>
      </c>
      <c r="E23" s="23" t="n">
        <f aca="false">-E11*Inputs!$B$26</f>
        <v>-10435.92192</v>
      </c>
      <c r="F23" s="23" t="n">
        <f aca="false">-F11*Inputs!$B$26</f>
        <v>-10644.6403584</v>
      </c>
      <c r="G23" s="23" t="n">
        <f aca="false">-G11*Inputs!$B$26</f>
        <v>-10857.533165568</v>
      </c>
      <c r="H23" s="23" t="n">
        <f aca="false">-H11*Inputs!$B$26</f>
        <v>-11074.6838288794</v>
      </c>
      <c r="I23" s="23" t="n">
        <f aca="false">-I11*Inputs!$B$26</f>
        <v>-11296.1775054569</v>
      </c>
      <c r="J23" s="23" t="n">
        <f aca="false">-J11*Inputs!$B$26</f>
        <v>-11522.1010555661</v>
      </c>
      <c r="K23" s="23" t="n">
        <f aca="false">-K11*Inputs!$B$26</f>
        <v>-11752.5430766774</v>
      </c>
      <c r="L23" s="23" t="n">
        <f aca="false">-L11*Inputs!$B$26</f>
        <v>-11987.593938211</v>
      </c>
      <c r="M23" s="23" t="n">
        <f aca="false">-M11*Inputs!$B$26</f>
        <v>-12227.3458169752</v>
      </c>
      <c r="N23" s="23" t="n">
        <f aca="false">-N11*Inputs!$B$26</f>
        <v>-12471.8927333147</v>
      </c>
    </row>
    <row r="24" customFormat="false" ht="15" hidden="false" customHeight="true" outlineLevel="0" collapsed="false">
      <c r="B24" s="4" t="s">
        <v>110</v>
      </c>
      <c r="D24" s="19" t="n">
        <f aca="false">SUM(D14:D23)</f>
        <v>-62717.296</v>
      </c>
      <c r="E24" s="19" t="n">
        <f aca="false">SUM(E14:E23)</f>
        <v>-64234.07192</v>
      </c>
      <c r="F24" s="19" t="n">
        <f aca="false">SUM(F14:F23)</f>
        <v>-65787.7441084</v>
      </c>
      <c r="G24" s="19" t="n">
        <f aca="false">SUM(G14:G23)</f>
        <v>-67379.214509318</v>
      </c>
      <c r="H24" s="19" t="n">
        <f aca="false">SUM(H14:H23)</f>
        <v>-69009.4072062231</v>
      </c>
      <c r="I24" s="19" t="n">
        <f aca="false">SUM(I14:I23)</f>
        <v>-70679.2689672343</v>
      </c>
      <c r="J24" s="19" t="n">
        <f aca="false">SUM(J14:J23)</f>
        <v>-72389.7698038878</v>
      </c>
      <c r="K24" s="19" t="n">
        <f aca="false">SUM(K14:K23)</f>
        <v>-74141.9035437072</v>
      </c>
      <c r="L24" s="19" t="n">
        <f aca="false">SUM(L14:L23)</f>
        <v>-75936.6884169165</v>
      </c>
      <c r="M24" s="19" t="n">
        <f aca="false">SUM(M14:M23)</f>
        <v>-77775.1676576483</v>
      </c>
      <c r="N24" s="19" t="n">
        <f aca="false">SUM(N14:N23)</f>
        <v>-79658.4101200047</v>
      </c>
    </row>
    <row r="25" customFormat="false" ht="15" hidden="false" customHeight="true" outlineLevel="0" collapsed="false">
      <c r="B25" s="4" t="s">
        <v>111</v>
      </c>
      <c r="D25" s="19" t="n">
        <f aca="false">D11+D24</f>
        <v>65173.904</v>
      </c>
      <c r="E25" s="19" t="n">
        <f aca="false">E11+E24</f>
        <v>66214.95208</v>
      </c>
      <c r="F25" s="19" t="n">
        <f aca="false">F11+F24</f>
        <v>67270.2603716</v>
      </c>
      <c r="G25" s="19" t="n">
        <f aca="false">G11+G24</f>
        <v>68339.950060282</v>
      </c>
      <c r="H25" s="19" t="n">
        <f aca="false">H11+H24</f>
        <v>69424.1406547689</v>
      </c>
      <c r="I25" s="19" t="n">
        <f aca="false">I11+I24</f>
        <v>70522.9498509776</v>
      </c>
      <c r="J25" s="19" t="n">
        <f aca="false">J11+J24</f>
        <v>71636.4933906883</v>
      </c>
      <c r="K25" s="19" t="n">
        <f aca="false">K11+K24</f>
        <v>72764.8849147604</v>
      </c>
      <c r="L25" s="19" t="n">
        <f aca="false">L11+L24</f>
        <v>73908.2358107205</v>
      </c>
      <c r="M25" s="19" t="n">
        <f aca="false">M11+M24</f>
        <v>75066.6550545414</v>
      </c>
      <c r="N25" s="19" t="n">
        <f aca="false">N11+N24</f>
        <v>76240.2490464289</v>
      </c>
    </row>
    <row r="26" customFormat="false" ht="15" hidden="false" customHeight="true" outlineLevel="0" collapsed="false">
      <c r="B26" s="3" t="s">
        <v>112</v>
      </c>
      <c r="D26" s="23" t="n">
        <f aca="false">-Inputs!$B$5*Inputs!$B$28*(1+Inputs!$B$29)^(D$2-1)</f>
        <v>-2800</v>
      </c>
      <c r="E26" s="23" t="n">
        <f aca="false">-Inputs!$B$5*Inputs!$B$28*(1+Inputs!$B$29)^(E$2-1)</f>
        <v>-2870</v>
      </c>
      <c r="F26" s="23" t="n">
        <f aca="false">-Inputs!$B$5*Inputs!$B$28*(1+Inputs!$B$29)^(F$2-1)</f>
        <v>-2941.75</v>
      </c>
      <c r="G26" s="23" t="n">
        <f aca="false">-Inputs!$B$5*Inputs!$B$28*(1+Inputs!$B$29)^(G$2-1)</f>
        <v>-3015.29375</v>
      </c>
      <c r="H26" s="23" t="n">
        <f aca="false">-Inputs!$B$5*Inputs!$B$28*(1+Inputs!$B$29)^(H$2-1)</f>
        <v>-3090.67609375</v>
      </c>
      <c r="I26" s="23" t="n">
        <f aca="false">-Inputs!$B$5*Inputs!$B$28*(1+Inputs!$B$29)^(I$2-1)</f>
        <v>-3167.94299609375</v>
      </c>
      <c r="J26" s="23" t="n">
        <f aca="false">-Inputs!$B$5*Inputs!$B$28*(1+Inputs!$B$29)^(J$2-1)</f>
        <v>-3247.14157099609</v>
      </c>
      <c r="K26" s="23" t="n">
        <f aca="false">-Inputs!$B$5*Inputs!$B$28*(1+Inputs!$B$29)^(K$2-1)</f>
        <v>-3328.32011027099</v>
      </c>
      <c r="L26" s="23" t="n">
        <f aca="false">-Inputs!$B$5*Inputs!$B$28*(1+Inputs!$B$29)^(L$2-1)</f>
        <v>-3411.52811302777</v>
      </c>
      <c r="M26" s="23" t="n">
        <f aca="false">-Inputs!$B$5*Inputs!$B$28*(1+Inputs!$B$29)^(M$2-1)</f>
        <v>-3496.81631585346</v>
      </c>
      <c r="N26" s="23" t="n">
        <f aca="false">-Inputs!$B$5*Inputs!$B$28*(1+Inputs!$B$29)^(N$2-1)</f>
        <v>-3584.2367237498</v>
      </c>
    </row>
    <row r="27" customFormat="false" ht="15" hidden="false" customHeight="true" outlineLevel="0" collapsed="false">
      <c r="B27" s="3" t="s">
        <v>113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true" outlineLevel="0" collapsed="false">
      <c r="B28" s="4" t="s">
        <v>114</v>
      </c>
      <c r="D28" s="19" t="n">
        <f aca="false">D25+D26+D27</f>
        <v>62373.904</v>
      </c>
      <c r="E28" s="19" t="n">
        <f aca="false">E25+E26+E27</f>
        <v>63344.95208</v>
      </c>
      <c r="F28" s="19" t="n">
        <f aca="false">F25+F26+F27</f>
        <v>64328.5103716</v>
      </c>
      <c r="G28" s="19" t="n">
        <f aca="false">G25+G26+G27</f>
        <v>65324.656310282</v>
      </c>
      <c r="H28" s="19" t="n">
        <f aca="false">H25+H26+H27</f>
        <v>66333.4645610189</v>
      </c>
      <c r="I28" s="19" t="n">
        <f aca="false">I25+I26+I27</f>
        <v>67355.0068548838</v>
      </c>
      <c r="J28" s="19" t="n">
        <f aca="false">J25+J26+J27</f>
        <v>68389.3518196922</v>
      </c>
      <c r="K28" s="19" t="n">
        <f aca="false">K25+K26+K27</f>
        <v>69436.5648044894</v>
      </c>
      <c r="L28" s="19" t="n">
        <f aca="false">L25+L26+L27</f>
        <v>70496.7076976927</v>
      </c>
      <c r="M28" s="19" t="n">
        <f aca="false">M25+M26+M27</f>
        <v>71569.8387386879</v>
      </c>
      <c r="N28" s="19" t="n">
        <f aca="false">N25+N26+N27</f>
        <v>72656.0123226791</v>
      </c>
    </row>
    <row r="30" customFormat="false" ht="15" hidden="false" customHeight="true" outlineLevel="0" collapsed="false">
      <c r="B30" s="4" t="s">
        <v>115</v>
      </c>
    </row>
    <row r="31" customFormat="false" ht="15" hidden="false" customHeight="true" outlineLevel="0" collapsed="false">
      <c r="B31" s="1" t="s">
        <v>116</v>
      </c>
      <c r="D31" s="12" t="n">
        <f aca="false">IF(D$2=1,Inputs!$B$52,IF(AND(Inputs!$F$14&gt;0,D$2=Inputs!$F$14+1),Inputs!$F$24,C35))</f>
        <v>604681.526724934</v>
      </c>
      <c r="E31" s="12" t="n">
        <f aca="false">IF(E$2=1,Inputs!$B$52,IF(AND(Inputs!$F$14&gt;0,E$2=Inputs!$F$14+1),Inputs!$F$24,D35))</f>
        <v>595070.014923578</v>
      </c>
      <c r="F31" s="12" t="n">
        <f aca="false">IF(F$2=1,Inputs!$B$52,IF(AND(Inputs!$F$14&gt;0,F$2=Inputs!$F$14+1),Inputs!$F$24,E35))</f>
        <v>584789.273388159</v>
      </c>
      <c r="G31" s="12" t="n">
        <f aca="false">IF(G$2=1,Inputs!$B$52,IF(AND(Inputs!$F$14&gt;0,G$2=Inputs!$F$14+1),Inputs!$F$24,F35))</f>
        <v>573792.7050332</v>
      </c>
      <c r="H31" s="12" t="n">
        <f aca="false">IF(H$2=1,Inputs!$B$52,IF(AND(Inputs!$F$14&gt;0,H$2=Inputs!$F$14+1),Inputs!$F$24,G35))</f>
        <v>562030.468314315</v>
      </c>
      <c r="I31" s="12" t="n">
        <f aca="false">IF(I$2=1,Inputs!$B$52,IF(AND(Inputs!$F$14&gt;0,I$2=Inputs!$F$14+1),Inputs!$F$24,H35))</f>
        <v>549449.251323224</v>
      </c>
      <c r="J31" s="12" t="n">
        <f aca="false">IF(J$2=1,Inputs!$B$52,IF(AND(Inputs!$F$14&gt;0,J$2=Inputs!$F$14+1),Inputs!$F$24,I35))</f>
        <v>535992.030153482</v>
      </c>
      <c r="K31" s="12" t="n">
        <f aca="false">IF(K$2=1,Inputs!$B$52,IF(AND(Inputs!$F$14&gt;0,K$2=Inputs!$F$14+1),Inputs!$F$24,J35))</f>
        <v>521597.8104417</v>
      </c>
      <c r="L31" s="12" t="n">
        <f aca="false">IF(L$2=1,Inputs!$B$52,IF(AND(Inputs!$F$14&gt;0,L$2=Inputs!$F$14+1),Inputs!$F$24,K35))</f>
        <v>506201.350912826</v>
      </c>
      <c r="M31" s="12" t="n">
        <f aca="false">IF(M$2=1,Inputs!$B$52,IF(AND(Inputs!$F$14&gt;0,M$2=Inputs!$F$14+1),Inputs!$F$24,L35))</f>
        <v>489732.867676444</v>
      </c>
      <c r="N31" s="12" t="n">
        <f aca="false">IF(N$2=1,Inputs!$B$52,IF(AND(Inputs!$F$14&gt;0,N$2=Inputs!$F$14+1),Inputs!$F$24,M35))</f>
        <v>472117.717933846</v>
      </c>
    </row>
    <row r="32" customFormat="false" ht="15" hidden="false" customHeight="true" outlineLevel="0" collapsed="false">
      <c r="B32" s="3" t="s">
        <v>117</v>
      </c>
      <c r="D32" s="23" t="n">
        <f aca="false">IF(D$2&lt;=Inputs!$B$36,D31*IF(AND(Inputs!$F$14&gt;0,D$2&gt;Inputs!$F$14),Inputs!$F$18,Inputs!$B$34),12*IF(AND(Inputs!$F$14&gt;0,D$2&gt;Inputs!$F$14),Inputs!$F$28,Inputs!$B$53)-(D31-D35))</f>
        <v>40522.2605063369</v>
      </c>
      <c r="E32" s="23" t="n">
        <f aca="false">IF(E$2&lt;=Inputs!$B$36,E31*IF(AND(Inputs!$F$14&gt;0,E$2&gt;Inputs!$F$14),Inputs!$F$18,Inputs!$B$34),12*IF(AND(Inputs!$F$14&gt;0,E$2&gt;Inputs!$F$14),Inputs!$F$28,Inputs!$B$53)-(E31-E35))</f>
        <v>39853.0307722729</v>
      </c>
      <c r="F32" s="23" t="n">
        <f aca="false">IF(F$2&lt;=Inputs!$B$36,F31*IF(AND(Inputs!$F$14&gt;0,F$2&gt;Inputs!$F$14),Inputs!$F$18,Inputs!$B$34),12*IF(AND(Inputs!$F$14&gt;0,F$2&gt;Inputs!$F$14),Inputs!$F$28,Inputs!$B$53)-(F31-F35))</f>
        <v>39137.2039527336</v>
      </c>
      <c r="G32" s="23" t="n">
        <f aca="false">IF(G$2&lt;=Inputs!$B$36,G31*IF(AND(Inputs!$F$14&gt;0,G$2&gt;Inputs!$F$14),Inputs!$F$18,Inputs!$B$34),12*IF(AND(Inputs!$F$14&gt;0,G$2&gt;Inputs!$F$14),Inputs!$F$28,Inputs!$B$53)-(G31-G35))</f>
        <v>38371.5355888069</v>
      </c>
      <c r="H32" s="23" t="n">
        <f aca="false">IF(H$2&lt;=Inputs!$B$36,H31*IF(AND(Inputs!$F$14&gt;0,H$2&gt;Inputs!$F$14),Inputs!$F$18,Inputs!$B$34),12*IF(AND(Inputs!$F$14&gt;0,H$2&gt;Inputs!$F$14),Inputs!$F$28,Inputs!$B$53)-(H31-H35))</f>
        <v>37552.5553166018</v>
      </c>
      <c r="I32" s="23" t="n">
        <f aca="false">IF(I$2&lt;=Inputs!$B$36,I31*IF(AND(Inputs!$F$14&gt;0,I$2&gt;Inputs!$F$14),Inputs!$F$18,Inputs!$B$34),12*IF(AND(Inputs!$F$14&gt;0,I$2&gt;Inputs!$F$14),Inputs!$F$28,Inputs!$B$53)-(I31-I35))</f>
        <v>36676.55113795</v>
      </c>
      <c r="J32" s="23" t="n">
        <f aca="false">IF(J$2&lt;=Inputs!$B$36,J31*IF(AND(Inputs!$F$14&gt;0,J$2&gt;Inputs!$F$14),Inputs!$F$18,Inputs!$B$34),12*IF(AND(Inputs!$F$14&gt;0,J$2&gt;Inputs!$F$14),Inputs!$F$28,Inputs!$B$53)-(J31-J35))</f>
        <v>35739.5525959105</v>
      </c>
      <c r="K32" s="23" t="n">
        <f aca="false">IF(K$2&lt;=Inputs!$B$36,K31*IF(AND(Inputs!$F$14&gt;0,K$2&gt;Inputs!$F$14),Inputs!$F$18,Inputs!$B$34),12*IF(AND(Inputs!$F$14&gt;0,K$2&gt;Inputs!$F$14),Inputs!$F$28,Inputs!$B$53)-(K31-K35))</f>
        <v>34737.3127788178</v>
      </c>
      <c r="L32" s="23" t="n">
        <f aca="false">IF(L$2&lt;=Inputs!$B$36,L31*IF(AND(Inputs!$F$14&gt;0,L$2&gt;Inputs!$F$14),Inputs!$F$18,Inputs!$B$34),12*IF(AND(Inputs!$F$14&gt;0,L$2&gt;Inputs!$F$14),Inputs!$F$28,Inputs!$B$53)-(L31-L35))</f>
        <v>33665.289071311</v>
      </c>
      <c r="M32" s="23" t="n">
        <f aca="false">IF(M$2&lt;=Inputs!$B$36,M31*IF(AND(Inputs!$F$14&gt;0,M$2&gt;Inputs!$F$14),Inputs!$F$18,Inputs!$B$34),12*IF(AND(Inputs!$F$14&gt;0,M$2&gt;Inputs!$F$14),Inputs!$F$28,Inputs!$B$53)-(M31-M35))</f>
        <v>32518.6225650943</v>
      </c>
      <c r="N32" s="23" t="n">
        <f aca="false">IF(N$2&lt;=Inputs!$B$36,N31*IF(AND(Inputs!$F$14&gt;0,N$2&gt;Inputs!$F$14),Inputs!$F$18,Inputs!$B$34),12*IF(AND(Inputs!$F$14&gt;0,N$2&gt;Inputs!$F$14),Inputs!$F$28,Inputs!$B$53)-(N31-N35))</f>
        <v>31292.1160361138</v>
      </c>
    </row>
    <row r="33" customFormat="false" ht="15" hidden="false" customHeight="true" outlineLevel="0" collapsed="false">
      <c r="B33" s="3" t="s">
        <v>118</v>
      </c>
      <c r="D33" s="23" t="n">
        <f aca="false">D31-D35</f>
        <v>9611.5118013554</v>
      </c>
      <c r="E33" s="23" t="n">
        <f aca="false">E31-E35</f>
        <v>10280.7415354194</v>
      </c>
      <c r="F33" s="23" t="n">
        <f aca="false">F31-F35</f>
        <v>10996.5683549587</v>
      </c>
      <c r="G33" s="23" t="n">
        <f aca="false">G31-G35</f>
        <v>11762.2367188854</v>
      </c>
      <c r="H33" s="23" t="n">
        <f aca="false">H31-H35</f>
        <v>12581.2169910904</v>
      </c>
      <c r="I33" s="23" t="n">
        <f aca="false">I31-I35</f>
        <v>13457.2211697423</v>
      </c>
      <c r="J33" s="23" t="n">
        <f aca="false">J31-J35</f>
        <v>14394.2197117818</v>
      </c>
      <c r="K33" s="23" t="n">
        <f aca="false">K31-K35</f>
        <v>15396.4595288745</v>
      </c>
      <c r="L33" s="23" t="n">
        <f aca="false">L31-L35</f>
        <v>16468.4832363813</v>
      </c>
      <c r="M33" s="23" t="n">
        <f aca="false">M31-M35</f>
        <v>17615.149742598</v>
      </c>
      <c r="N33" s="23" t="n">
        <f aca="false">N31-N35</f>
        <v>18841.6562715785</v>
      </c>
    </row>
    <row r="34" customFormat="false" ht="15" hidden="false" customHeight="true" outlineLevel="0" collapsed="false">
      <c r="B34" s="4" t="s">
        <v>119</v>
      </c>
      <c r="D34" s="19" t="n">
        <f aca="false">D32+D33</f>
        <v>50133.7723076923</v>
      </c>
      <c r="E34" s="19" t="n">
        <f aca="false">E32+E33</f>
        <v>50133.7723076923</v>
      </c>
      <c r="F34" s="19" t="n">
        <f aca="false">F32+F33</f>
        <v>50133.7723076923</v>
      </c>
      <c r="G34" s="19" t="n">
        <f aca="false">G32+G33</f>
        <v>50133.7723076923</v>
      </c>
      <c r="H34" s="19" t="n">
        <f aca="false">H32+H33</f>
        <v>50133.7723076923</v>
      </c>
      <c r="I34" s="19" t="n">
        <f aca="false">I32+I33</f>
        <v>50133.7723076923</v>
      </c>
      <c r="J34" s="19" t="n">
        <f aca="false">J32+J33</f>
        <v>50133.7723076923</v>
      </c>
      <c r="K34" s="19" t="n">
        <f aca="false">K32+K33</f>
        <v>50133.7723076923</v>
      </c>
      <c r="L34" s="19" t="n">
        <f aca="false">L32+L33</f>
        <v>50133.7723076923</v>
      </c>
      <c r="M34" s="19" t="n">
        <f aca="false">M32+M33</f>
        <v>50133.7723076923</v>
      </c>
      <c r="N34" s="19" t="n">
        <f aca="false">N32+N33</f>
        <v>50133.7723076923</v>
      </c>
    </row>
    <row r="35" customFormat="false" ht="15" hidden="false" customHeight="true" outlineLevel="0" collapsed="false">
      <c r="B35" s="3" t="s">
        <v>120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595070.014923578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584789.273388159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573792.7050332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562030.468314315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549449.251323224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535992.030153482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521597.8104417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506201.350912826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489732.867676444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472117.717933846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453276.061662268</v>
      </c>
    </row>
    <row r="37" customFormat="false" ht="15" hidden="false" customHeight="true" outlineLevel="0" collapsed="false">
      <c r="B37" s="4" t="s">
        <v>121</v>
      </c>
      <c r="D37" s="19" t="n">
        <f aca="false">D28-D34</f>
        <v>12240.1316923077</v>
      </c>
      <c r="E37" s="19" t="n">
        <f aca="false">E28-E34</f>
        <v>13211.1797723077</v>
      </c>
      <c r="F37" s="19" t="n">
        <f aca="false">F28-F34</f>
        <v>14194.7380639077</v>
      </c>
      <c r="G37" s="19" t="n">
        <f aca="false">G28-G34</f>
        <v>15190.8840025898</v>
      </c>
      <c r="H37" s="19" t="n">
        <f aca="false">H28-H34</f>
        <v>16199.6922533266</v>
      </c>
      <c r="I37" s="19" t="n">
        <f aca="false">I28-I34</f>
        <v>17221.2345471915</v>
      </c>
      <c r="J37" s="19" t="n">
        <f aca="false">J28-J34</f>
        <v>18255.5795119999</v>
      </c>
      <c r="K37" s="19" t="n">
        <f aca="false">K28-K34</f>
        <v>19302.7924967971</v>
      </c>
      <c r="L37" s="19" t="n">
        <f aca="false">L28-L34</f>
        <v>20362.9353900004</v>
      </c>
      <c r="M37" s="19" t="n">
        <f aca="false">M28-M34</f>
        <v>21436.0664309956</v>
      </c>
      <c r="N37" s="19" t="n">
        <f aca="false">N28-N34</f>
        <v>22522.2400149868</v>
      </c>
    </row>
    <row r="38" customFormat="false" ht="15" hidden="false" customHeight="true" outlineLevel="0" collapsed="false">
      <c r="B38" s="3" t="s">
        <v>122</v>
      </c>
      <c r="D38" s="24" t="n">
        <f aca="false">IFERROR(D25/D34,"")</f>
        <v>1.3</v>
      </c>
      <c r="E38" s="24" t="n">
        <f aca="false">IFERROR(E25/E34,"")</f>
        <v>1.32076540487739</v>
      </c>
      <c r="F38" s="24" t="n">
        <f aca="false">IFERROR(F25/F34,"")</f>
        <v>1.34181525297426</v>
      </c>
      <c r="G38" s="24" t="n">
        <f aca="false">IFERROR(G25/G34,"")</f>
        <v>1.36315196153305</v>
      </c>
      <c r="H38" s="24" t="n">
        <f aca="false">IFERROR(H25/H34,"")</f>
        <v>1.3847779143505</v>
      </c>
      <c r="I38" s="24" t="n">
        <f aca="false">IFERROR(I25/I34,"")</f>
        <v>1.40669545906397</v>
      </c>
      <c r="J38" s="24" t="n">
        <f aca="false">IFERROR(J25/J34,"")</f>
        <v>1.42890690433237</v>
      </c>
      <c r="K38" s="24" t="n">
        <f aca="false">IFERROR(K25/K34,"")</f>
        <v>1.45141451690831</v>
      </c>
      <c r="L38" s="24" t="n">
        <f aca="false">IFERROR(L25/L34,"")</f>
        <v>1.47422051859801</v>
      </c>
      <c r="M38" s="24" t="n">
        <f aca="false">IFERROR(M25/M34,"")</f>
        <v>1.49732708310528</v>
      </c>
      <c r="N38" s="24" t="n">
        <f aca="false">IFERROR(N25/N34,"")</f>
        <v>1.52073633275609</v>
      </c>
    </row>
    <row r="39" customFormat="false" ht="15" hidden="false" customHeight="true" outlineLevel="0" collapsed="false">
      <c r="B39" s="3" t="s">
        <v>123</v>
      </c>
      <c r="D39" s="25" t="n">
        <f aca="false">IFERROR(D37/Inputs!$B$54,"")</f>
        <v>0.0457839813039021</v>
      </c>
      <c r="E39" s="25" t="n">
        <f aca="false">IFERROR(E37/Inputs!$B$54,"")</f>
        <v>0.049416168298087</v>
      </c>
      <c r="F39" s="25" t="n">
        <f aca="false">IFERROR(F37/Inputs!$B$54,"")</f>
        <v>0.0530951495023671</v>
      </c>
      <c r="G39" s="25" t="n">
        <f aca="false">IFERROR(G37/Inputs!$B$54,"")</f>
        <v>0.0568212145626996</v>
      </c>
      <c r="H39" s="25" t="n">
        <f aca="false">IFERROR(H37/Inputs!$B$54,"")</f>
        <v>0.0605946427620045</v>
      </c>
      <c r="I39" s="25" t="n">
        <f aca="false">IFERROR(I37/Inputs!$B$54,"")</f>
        <v>0.0644157024090055</v>
      </c>
      <c r="J39" s="25" t="n">
        <f aca="false">IFERROR(J37/Inputs!$B$54,"")</f>
        <v>0.0682846502047496</v>
      </c>
      <c r="K39" s="25" t="n">
        <f aca="false">IFERROR(K37/Inputs!$B$54,"")</f>
        <v>0.0722017305861061</v>
      </c>
      <c r="L39" s="25" t="n">
        <f aca="false">IFERROR(L37/Inputs!$B$54,"")</f>
        <v>0.0761671750455305</v>
      </c>
      <c r="M39" s="25" t="n">
        <f aca="false">IFERROR(M37/Inputs!$B$54,"")</f>
        <v>0.0801812014263445</v>
      </c>
      <c r="N39" s="25" t="n">
        <f aca="false">IFERROR(N37/Inputs!$B$54,"")</f>
        <v>0.0842440131927813</v>
      </c>
    </row>
    <row r="40" customFormat="false" ht="15" hidden="false" customHeight="true" outlineLevel="0" collapsed="false">
      <c r="B40" s="3" t="s">
        <v>124</v>
      </c>
      <c r="D40" s="24" t="n">
        <f aca="false">IFERROR((D25+D26)/D34,"")</f>
        <v>1.24414942520552</v>
      </c>
      <c r="E40" s="24" t="n">
        <f aca="false">IFERROR((E25+E26)/E34,"")</f>
        <v>1.26351856571305</v>
      </c>
      <c r="F40" s="24" t="n">
        <f aca="false">IFERROR((F25+F26)/F34,"")</f>
        <v>1.28313724283081</v>
      </c>
      <c r="G40" s="24" t="n">
        <f aca="false">IFERROR((G25+G26)/G34,"")</f>
        <v>1.30300700113602</v>
      </c>
      <c r="H40" s="24" t="n">
        <f aca="false">IFERROR((H25+H26)/H34,"")</f>
        <v>1.32312932994354</v>
      </c>
      <c r="I40" s="24" t="n">
        <f aca="false">IFERROR((I25+I26)/I34,"")</f>
        <v>1.34350566004683</v>
      </c>
      <c r="J40" s="24" t="n">
        <f aca="false">IFERROR((J25+J26)/J34,"")</f>
        <v>1.36413736033981</v>
      </c>
      <c r="K40" s="24" t="n">
        <f aca="false">IFERROR((K25+K26)/K34,"")</f>
        <v>1.38502573431593</v>
      </c>
      <c r="L40" s="24" t="n">
        <f aca="false">IFERROR((L25+L26)/L34,"")</f>
        <v>1.40617201644082</v>
      </c>
      <c r="M40" s="24" t="n">
        <f aca="false">IFERROR((M25+M26)/M34,"")</f>
        <v>1.42757736839417</v>
      </c>
      <c r="N40" s="24" t="n">
        <f aca="false">IFERROR((N25+N26)/N34,"")</f>
        <v>1.4492428751772</v>
      </c>
    </row>
    <row r="41" customFormat="false" ht="15" hidden="false" customHeight="true" outlineLevel="0" collapsed="false">
      <c r="B41" s="4" t="s">
        <v>125</v>
      </c>
    </row>
    <row r="42" customFormat="false" ht="15" hidden="false" customHeight="true" outlineLevel="0" collapsed="false">
      <c r="B42" s="1" t="s">
        <v>16</v>
      </c>
      <c r="C42" s="12" t="n">
        <f aca="false">-Inputs!$B$2</f>
        <v>-849000</v>
      </c>
    </row>
    <row r="43" customFormat="false" ht="15" hidden="false" customHeight="true" outlineLevel="0" collapsed="false">
      <c r="B43" s="1" t="s">
        <v>126</v>
      </c>
      <c r="C43" s="12" t="n">
        <f aca="false">-Inputs!$B$2*Inputs!$B$3</f>
        <v>-16980</v>
      </c>
    </row>
    <row r="44" customFormat="false" ht="15" hidden="false" customHeight="true" outlineLevel="0" collapsed="false">
      <c r="B44" s="1" t="s">
        <v>127</v>
      </c>
      <c r="C44" s="12" t="n">
        <f aca="false">-Inputs!$B$52*Inputs!$B$4</f>
        <v>-6046.81526724934</v>
      </c>
    </row>
    <row r="45" customFormat="false" ht="15" hidden="false" customHeight="true" outlineLevel="0" collapsed="false">
      <c r="B45" s="1" t="s">
        <v>128</v>
      </c>
      <c r="C45" s="12" t="n">
        <f aca="false">Inputs!$B$52</f>
        <v>604681.526724934</v>
      </c>
    </row>
    <row r="46" customFormat="false" ht="15" hidden="false" customHeight="true" outlineLevel="0" collapsed="false">
      <c r="B46" s="1" t="s">
        <v>129</v>
      </c>
      <c r="D46" s="12" t="n">
        <f aca="false">IF(D$2=Inputs!$B$40,E25/Inputs!$B$41,0)</f>
        <v>0</v>
      </c>
      <c r="E46" s="12" t="n">
        <f aca="false">IF(E$2=Inputs!$B$40,F25/Inputs!$B$41,0)</f>
        <v>0</v>
      </c>
      <c r="F46" s="12" t="n">
        <f aca="false">IF(F$2=Inputs!$B$40,G25/Inputs!$B$41,0)</f>
        <v>0</v>
      </c>
      <c r="G46" s="12" t="n">
        <f aca="false">IF(G$2=Inputs!$B$40,H25/Inputs!$B$41,0)</f>
        <v>0</v>
      </c>
      <c r="H46" s="12" t="n">
        <f aca="false">IF(H$2=Inputs!$B$40,I25/Inputs!$B$41,0)</f>
        <v>862455.055044363</v>
      </c>
      <c r="I46" s="12" t="n">
        <f aca="false">IF(I$2=Inputs!$B$40,J25/Inputs!$B$41,0)</f>
        <v>0</v>
      </c>
      <c r="J46" s="12" t="n">
        <f aca="false">IF(J$2=Inputs!$B$40,K25/Inputs!$B$41,0)</f>
        <v>0</v>
      </c>
      <c r="K46" s="12" t="n">
        <f aca="false">IF(K$2=Inputs!$B$40,L25/Inputs!$B$41,0)</f>
        <v>0</v>
      </c>
      <c r="L46" s="12" t="n">
        <f aca="false">IF(L$2=Inputs!$B$40,M25/Inputs!$B$41,0)</f>
        <v>0</v>
      </c>
      <c r="M46" s="12" t="n">
        <f aca="false">IF(M$2=Inputs!$B$40,N25/Inputs!$B$41,0)</f>
        <v>0</v>
      </c>
    </row>
    <row r="47" customFormat="false" ht="15" hidden="false" customHeight="true" outlineLevel="0" collapsed="false">
      <c r="B47" s="1" t="s">
        <v>130</v>
      </c>
      <c r="D47" s="12" t="n">
        <f aca="false">-D46*Inputs!$B$42</f>
        <v>-0</v>
      </c>
      <c r="E47" s="12" t="n">
        <f aca="false">-E46*Inputs!$B$42</f>
        <v>-0</v>
      </c>
      <c r="F47" s="12" t="n">
        <f aca="false">-F46*Inputs!$B$42</f>
        <v>-0</v>
      </c>
      <c r="G47" s="12" t="n">
        <f aca="false">-G46*Inputs!$B$42</f>
        <v>-0</v>
      </c>
      <c r="H47" s="12" t="n">
        <f aca="false">-H46*Inputs!$B$42</f>
        <v>-25873.6516513309</v>
      </c>
      <c r="I47" s="12" t="n">
        <f aca="false">-I46*Inputs!$B$42</f>
        <v>-0</v>
      </c>
      <c r="J47" s="12" t="n">
        <f aca="false">-J46*Inputs!$B$42</f>
        <v>-0</v>
      </c>
      <c r="K47" s="12" t="n">
        <f aca="false">-K46*Inputs!$B$42</f>
        <v>-0</v>
      </c>
      <c r="L47" s="12" t="n">
        <f aca="false">-L46*Inputs!$B$42</f>
        <v>-0</v>
      </c>
      <c r="M47" s="12" t="n">
        <f aca="false">-M46*Inputs!$B$42</f>
        <v>-0</v>
      </c>
    </row>
    <row r="48" customFormat="false" ht="15" hidden="false" customHeight="true" outlineLevel="0" collapsed="false">
      <c r="B48" s="1" t="s">
        <v>131</v>
      </c>
      <c r="D48" s="12" t="n">
        <f aca="false">IF(D$2=Inputs!$B$40,-D35,0)</f>
        <v>0</v>
      </c>
      <c r="E48" s="12" t="n">
        <f aca="false">IF(E$2=Inputs!$B$40,-E35,0)</f>
        <v>0</v>
      </c>
      <c r="F48" s="12" t="n">
        <f aca="false">IF(F$2=Inputs!$B$40,-F35,0)</f>
        <v>0</v>
      </c>
      <c r="G48" s="12" t="n">
        <f aca="false">IF(G$2=Inputs!$B$40,-G35,0)</f>
        <v>0</v>
      </c>
      <c r="H48" s="12" t="n">
        <f aca="false">IF(H$2=Inputs!$B$40,-H35,0)</f>
        <v>-549449.251323224</v>
      </c>
      <c r="I48" s="12" t="n">
        <f aca="false">IF(I$2=Inputs!$B$40,-I35,0)</f>
        <v>0</v>
      </c>
      <c r="J48" s="12" t="n">
        <f aca="false">IF(J$2=Inputs!$B$40,-J35,0)</f>
        <v>0</v>
      </c>
      <c r="K48" s="12" t="n">
        <f aca="false">IF(K$2=Inputs!$B$40,-K35,0)</f>
        <v>0</v>
      </c>
      <c r="L48" s="12" t="n">
        <f aca="false">IF(L$2=Inputs!$B$40,-L35,0)</f>
        <v>0</v>
      </c>
      <c r="M48" s="12" t="n">
        <f aca="false">IF(M$2=Inputs!$B$40,-M35,0)</f>
        <v>0</v>
      </c>
    </row>
    <row r="49" customFormat="false" ht="15" hidden="false" customHeight="true" outlineLevel="0" collapsed="false">
      <c r="B49" s="1" t="s">
        <v>132</v>
      </c>
      <c r="D49" s="12" t="n">
        <f aca="false">IF(AND(Inputs!$F$14&gt;0,D$2=Inputs!$F$14),Inputs!$F$27,0)</f>
        <v>0</v>
      </c>
      <c r="E49" s="12" t="n">
        <f aca="false">IF(AND(Inputs!$F$14&gt;0,E$2=Inputs!$F$14),Inputs!$F$27,0)</f>
        <v>0</v>
      </c>
      <c r="F49" s="12" t="n">
        <f aca="false">IF(AND(Inputs!$F$14&gt;0,F$2=Inputs!$F$14),Inputs!$F$27,0)</f>
        <v>0</v>
      </c>
      <c r="G49" s="12" t="n">
        <f aca="false">IF(AND(Inputs!$F$14&gt;0,G$2=Inputs!$F$14),Inputs!$F$27,0)</f>
        <v>0</v>
      </c>
      <c r="H49" s="12" t="n">
        <f aca="false">IF(AND(Inputs!$F$14&gt;0,H$2=Inputs!$F$14),Inputs!$F$27,0)</f>
        <v>0</v>
      </c>
      <c r="I49" s="12" t="n">
        <f aca="false">IF(AND(Inputs!$F$14&gt;0,I$2=Inputs!$F$14),Inputs!$F$27,0)</f>
        <v>0</v>
      </c>
      <c r="J49" s="12" t="n">
        <f aca="false">IF(AND(Inputs!$F$14&gt;0,J$2=Inputs!$F$14),Inputs!$F$27,0)</f>
        <v>0</v>
      </c>
      <c r="K49" s="12" t="n">
        <f aca="false">IF(AND(Inputs!$F$14&gt;0,K$2=Inputs!$F$14),Inputs!$F$27,0)</f>
        <v>0</v>
      </c>
      <c r="L49" s="12" t="n">
        <f aca="false">IF(AND(Inputs!$F$14&gt;0,L$2=Inputs!$F$14),Inputs!$F$27,0)</f>
        <v>0</v>
      </c>
      <c r="M49" s="12" t="n">
        <f aca="false">IF(AND(Inputs!$F$14&gt;0,M$2=Inputs!$F$14),Inputs!$F$27,0)</f>
        <v>0</v>
      </c>
      <c r="N49" s="12" t="n">
        <f aca="false">IF(AND(Inputs!$F$14&gt;0,N$2=Inputs!$F$14),Inputs!$F$27,0)</f>
        <v>0</v>
      </c>
    </row>
    <row r="50" customFormat="false" ht="15" hidden="false" customHeight="true" outlineLevel="0" collapsed="false">
      <c r="B50" s="4" t="s">
        <v>133</v>
      </c>
      <c r="C50" s="19" t="n">
        <f aca="false">C42+C43+C52</f>
        <v>-865980</v>
      </c>
      <c r="D50" s="19" t="n">
        <f aca="false">IF(D$2&lt;=Inputs!$B$40,D28,0)+D46+D47</f>
        <v>62373.904</v>
      </c>
      <c r="E50" s="19" t="n">
        <f aca="false">IF(E$2&lt;=Inputs!$B$40,E28,0)+E46+E47</f>
        <v>63344.95208</v>
      </c>
      <c r="F50" s="19" t="n">
        <f aca="false">IF(F$2&lt;=Inputs!$B$40,F28,0)+F46+F47</f>
        <v>64328.5103716</v>
      </c>
      <c r="G50" s="19" t="n">
        <f aca="false">IF(G$2&lt;=Inputs!$B$40,G28,0)+G46+G47</f>
        <v>65324.656310282</v>
      </c>
      <c r="H50" s="19" t="n">
        <f aca="false">IF(H$2&lt;=Inputs!$B$40,H28,0)+H46+H47</f>
        <v>902914.867954051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true" outlineLevel="0" collapsed="false">
      <c r="B51" s="4" t="s">
        <v>134</v>
      </c>
      <c r="C51" s="19" t="n">
        <f aca="false">C42+C43+C44+C45+C52</f>
        <v>-267345.288542316</v>
      </c>
      <c r="D51" s="19" t="n">
        <f aca="false">IF(D$2&lt;=Inputs!$B$40,D37,0)+D46+D47+D48+D49</f>
        <v>12240.1316923077</v>
      </c>
      <c r="E51" s="19" t="n">
        <f aca="false">IF(E$2&lt;=Inputs!$B$40,E37,0)+E46+E47+E48+E49</f>
        <v>13211.1797723077</v>
      </c>
      <c r="F51" s="19" t="n">
        <f aca="false">IF(F$2&lt;=Inputs!$B$40,F37,0)+F46+F47+F48+F49</f>
        <v>14194.7380639077</v>
      </c>
      <c r="G51" s="19" t="n">
        <f aca="false">IF(G$2&lt;=Inputs!$B$40,G37,0)+G46+G47+G48+G49</f>
        <v>15190.8840025898</v>
      </c>
      <c r="H51" s="19" t="n">
        <f aca="false">IF(H$2&lt;=Inputs!$B$40,H37,0)+H46+H47+H48+H49</f>
        <v>303331.844323135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true" outlineLevel="0" collapsed="false">
      <c r="B52" s="1" t="s">
        <v>135</v>
      </c>
      <c r="C52" s="12" t="n">
        <f aca="false">-Inputs!$F$38</f>
        <v>-0</v>
      </c>
    </row>
    <row r="53" customFormat="false" ht="15" hidden="false" customHeight="true" outlineLevel="0" collapsed="false">
      <c r="B53" s="4" t="s">
        <v>136</v>
      </c>
    </row>
    <row r="54" customFormat="false" ht="15" hidden="false" customHeight="true" outlineLevel="0" collapsed="false">
      <c r="B54" s="1" t="s">
        <v>137</v>
      </c>
      <c r="C54" s="21" t="n">
        <f aca="false">IFERROR(IRR(C50:N50,0.1),"")</f>
        <v>0.0682237794482389</v>
      </c>
    </row>
    <row r="55" customFormat="false" ht="15" hidden="false" customHeight="true" outlineLevel="0" collapsed="false">
      <c r="B55" s="1" t="s">
        <v>138</v>
      </c>
      <c r="C55" s="26" t="n">
        <f aca="false">IFERROR(IRR(C51:N51,0.1),"")</f>
        <v>0.0656544550142127</v>
      </c>
    </row>
    <row r="56" customFormat="false" ht="15" hidden="false" customHeight="true" outlineLevel="0" collapsed="false">
      <c r="B56" s="1" t="s">
        <v>139</v>
      </c>
      <c r="C56" s="27" t="n">
        <f aca="false">IFERROR(1+SUM(C51:N51)/(-C51),"")</f>
        <v>1.33972354555841</v>
      </c>
    </row>
    <row r="57" customFormat="false" ht="15" hidden="false" customHeight="true" outlineLevel="0" collapsed="false">
      <c r="B57" s="1" t="s">
        <v>140</v>
      </c>
      <c r="C57" s="12" t="n">
        <f aca="false">SUM(C51:N51)</f>
        <v>90823.4893119316</v>
      </c>
    </row>
    <row r="58" customFormat="false" ht="15" hidden="false" customHeight="true" outlineLevel="0" collapsed="false">
      <c r="B58" s="1" t="s">
        <v>141</v>
      </c>
      <c r="C58" s="21" t="n">
        <f aca="false">IFERROR(AVERAGEIFS(D37:N37,D2:N2,"&lt;="&amp;Inputs!$B$40)/Inputs!$B$54,"")</f>
        <v>0.0531422312858121</v>
      </c>
    </row>
    <row r="59" customFormat="false" ht="15" hidden="false" customHeight="true" outlineLevel="0" collapsed="false">
      <c r="B59" s="1" t="s">
        <v>142</v>
      </c>
      <c r="C59" s="28" t="n">
        <f aca="false">IFERROR(AVERAGEIFS(D25:N25,D2:N2,"&lt;="&amp;Inputs!$B$40)/AVERAGEIFS(D34:N34,D2:N2,"&lt;="&amp;Inputs!$B$40),"")</f>
        <v>1.34210210674704</v>
      </c>
    </row>
    <row r="61" customFormat="false" ht="15" hidden="false" customHeight="true" outlineLevel="0" collapsed="false">
      <c r="B61" s="4" t="s">
        <v>143</v>
      </c>
    </row>
    <row r="62" customFormat="false" ht="15" hidden="false" customHeight="true" outlineLevel="0" collapsed="false">
      <c r="B62" s="3" t="s">
        <v>144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true" outlineLevel="0" collapsed="false">
      <c r="B63" s="3" t="s">
        <v>145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true" outlineLevel="0" collapsed="false">
      <c r="B64" s="3" t="s">
        <v>146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147</v>
      </c>
    </row>
    <row r="2" customFormat="false" ht="15" hidden="false" customHeight="true" outlineLevel="0" collapsed="false">
      <c r="B2" s="1" t="s">
        <v>93</v>
      </c>
      <c r="C2" s="30" t="n">
        <f aca="false">Inputs!$B$55</f>
        <v>240610.759688084</v>
      </c>
    </row>
    <row r="3" customFormat="false" ht="15" hidden="false" customHeight="true" outlineLevel="0" collapsed="false">
      <c r="B3" s="1" t="s">
        <v>94</v>
      </c>
      <c r="C3" s="30" t="n">
        <f aca="false">Inputs!$B$56</f>
        <v>26734.5288542316</v>
      </c>
    </row>
    <row r="5" customFormat="false" ht="15" hidden="false" customHeight="true" outlineLevel="0" collapsed="false">
      <c r="B5" s="4" t="s">
        <v>97</v>
      </c>
      <c r="C5" s="4" t="n">
        <f aca="false">'Annual CF'!C2</f>
        <v>0</v>
      </c>
      <c r="D5" s="4" t="n">
        <f aca="false">'Annual CF'!D2</f>
        <v>1</v>
      </c>
      <c r="E5" s="4" t="n">
        <f aca="false">'Annual CF'!E2</f>
        <v>2</v>
      </c>
      <c r="F5" s="4" t="n">
        <f aca="false">'Annual CF'!F2</f>
        <v>3</v>
      </c>
      <c r="G5" s="4" t="n">
        <f aca="false">'Annual CF'!G2</f>
        <v>4</v>
      </c>
      <c r="H5" s="4" t="n">
        <f aca="false">'Annual CF'!H2</f>
        <v>5</v>
      </c>
      <c r="I5" s="4" t="n">
        <f aca="false">'Annual CF'!I2</f>
        <v>6</v>
      </c>
      <c r="J5" s="4" t="n">
        <f aca="false">'Annual CF'!J2</f>
        <v>7</v>
      </c>
      <c r="K5" s="4" t="n">
        <f aca="false">'Annual CF'!K2</f>
        <v>8</v>
      </c>
      <c r="L5" s="4" t="n">
        <f aca="false">'Annual CF'!L2</f>
        <v>9</v>
      </c>
      <c r="M5" s="4" t="n">
        <f aca="false">'Annual CF'!M2</f>
        <v>10</v>
      </c>
      <c r="N5" s="4" t="n">
        <f aca="false">'Annual CF'!N2</f>
        <v>11</v>
      </c>
    </row>
    <row r="6" customFormat="false" ht="15" hidden="false" customHeight="true" outlineLevel="0" collapsed="false">
      <c r="B6" s="4" t="s">
        <v>148</v>
      </c>
      <c r="D6" s="19" t="n">
        <f aca="false">'Annual CF'!D51</f>
        <v>12240.1316923077</v>
      </c>
      <c r="E6" s="19" t="n">
        <f aca="false">'Annual CF'!E51</f>
        <v>13211.1797723077</v>
      </c>
      <c r="F6" s="19" t="n">
        <f aca="false">'Annual CF'!F51</f>
        <v>14194.7380639077</v>
      </c>
      <c r="G6" s="19" t="n">
        <f aca="false">'Annual CF'!G51</f>
        <v>15190.8840025898</v>
      </c>
      <c r="H6" s="19" t="n">
        <f aca="false">'Annual CF'!H51</f>
        <v>303331.844323135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true" outlineLevel="0" collapsed="false">
      <c r="B8" s="4" t="s">
        <v>149</v>
      </c>
    </row>
    <row r="9" customFormat="false" ht="15" hidden="false" customHeight="true" outlineLevel="0" collapsed="false">
      <c r="B9" s="1" t="s">
        <v>150</v>
      </c>
      <c r="D9" s="12" t="n">
        <f aca="false">IF(D$5=1,0,C12)</f>
        <v>0</v>
      </c>
      <c r="E9" s="12" t="n">
        <f aca="false">IF(E$5=1,0,D12)</f>
        <v>7008.72908273903</v>
      </c>
      <c r="F9" s="12" t="n">
        <f aca="false">IF(F$5=1,0,E12)</f>
        <v>13046.4100854781</v>
      </c>
      <c r="G9" s="12" t="n">
        <f aca="false">IF(G$5=1,0,F12)</f>
        <v>18100.5327966171</v>
      </c>
      <c r="H9" s="12" t="n">
        <f aca="false">IF(H$5=1,0,G12)</f>
        <v>22158.5095690741</v>
      </c>
      <c r="I9" s="12" t="n">
        <f aca="false">IF(I$5=1,0,H12)</f>
        <v>0</v>
      </c>
      <c r="J9" s="12" t="n">
        <f aca="false">IF(J$5=1,0,I12)</f>
        <v>0</v>
      </c>
      <c r="K9" s="12" t="n">
        <f aca="false">IF(K$5=1,0,J12)</f>
        <v>0</v>
      </c>
      <c r="L9" s="12" t="n">
        <f aca="false">IF(L$5=1,0,K12)</f>
        <v>0</v>
      </c>
      <c r="M9" s="12" t="n">
        <f aca="false">IF(M$5=1,0,L12)</f>
        <v>0</v>
      </c>
      <c r="N9" s="12" t="n">
        <f aca="false">IF(N$5=1,0,M12)</f>
        <v>0</v>
      </c>
    </row>
    <row r="10" customFormat="false" ht="15" hidden="false" customHeight="true" outlineLevel="0" collapsed="false">
      <c r="B10" s="1" t="s">
        <v>151</v>
      </c>
      <c r="D10" s="12" t="n">
        <f aca="false">IF(D$5&lt;=Inputs!$B$40,D15*Inputs!$B$47,0)</f>
        <v>19248.8607750467</v>
      </c>
      <c r="E10" s="12" t="n">
        <f aca="false">IF(E$5&lt;=Inputs!$B$40,E15*Inputs!$B$47,0)</f>
        <v>19248.8607750467</v>
      </c>
      <c r="F10" s="12" t="n">
        <f aca="false">IF(F$5&lt;=Inputs!$B$40,F15*Inputs!$B$47,0)</f>
        <v>19248.8607750467</v>
      </c>
      <c r="G10" s="12" t="n">
        <f aca="false">IF(G$5&lt;=Inputs!$B$40,G15*Inputs!$B$47,0)</f>
        <v>19248.8607750467</v>
      </c>
      <c r="H10" s="12" t="n">
        <f aca="false">IF(H$5&lt;=Inputs!$B$40,H15*Inputs!$B$47,0)</f>
        <v>19248.8607750467</v>
      </c>
      <c r="I10" s="12" t="n">
        <f aca="false">IF(I$5&lt;=Inputs!$B$40,I15*Inputs!$B$47,0)</f>
        <v>0</v>
      </c>
      <c r="J10" s="12" t="n">
        <f aca="false">IF(J$5&lt;=Inputs!$B$40,J15*Inputs!$B$47,0)</f>
        <v>0</v>
      </c>
      <c r="K10" s="12" t="n">
        <f aca="false">IF(K$5&lt;=Inputs!$B$40,K15*Inputs!$B$47,0)</f>
        <v>0</v>
      </c>
      <c r="L10" s="12" t="n">
        <f aca="false">IF(L$5&lt;=Inputs!$B$40,L15*Inputs!$B$47,0)</f>
        <v>0</v>
      </c>
      <c r="M10" s="12" t="n">
        <f aca="false">IF(M$5&lt;=Inputs!$B$40,M15*Inputs!$B$47,0)</f>
        <v>0</v>
      </c>
      <c r="N10" s="12" t="n">
        <f aca="false">IF(N$5&lt;=Inputs!$B$40,N15*Inputs!$B$47,0)</f>
        <v>0</v>
      </c>
    </row>
    <row r="11" customFormat="false" ht="15" hidden="false" customHeight="true" outlineLevel="0" collapsed="false">
      <c r="B11" s="1" t="s">
        <v>152</v>
      </c>
      <c r="D11" s="12" t="n">
        <f aca="false">MIN(MAX(D6,0),D9+D10)</f>
        <v>12240.1316923077</v>
      </c>
      <c r="E11" s="12" t="n">
        <f aca="false">MIN(MAX(E6,0),E9+E10)</f>
        <v>13211.1797723077</v>
      </c>
      <c r="F11" s="12" t="n">
        <f aca="false">MIN(MAX(F6,0),F9+F10)</f>
        <v>14194.7380639077</v>
      </c>
      <c r="G11" s="12" t="n">
        <f aca="false">MIN(MAX(G6,0),G9+G10)</f>
        <v>15190.8840025898</v>
      </c>
      <c r="H11" s="12" t="n">
        <f aca="false">MIN(MAX(H6,0),H9+H10)</f>
        <v>41407.3703441208</v>
      </c>
      <c r="I11" s="12" t="n">
        <f aca="false">MIN(MAX(I6,0),I9+I10)</f>
        <v>0</v>
      </c>
      <c r="J11" s="12" t="n">
        <f aca="false">MIN(MAX(J6,0),J9+J10)</f>
        <v>0</v>
      </c>
      <c r="K11" s="12" t="n">
        <f aca="false">MIN(MAX(K6,0),K9+K10)</f>
        <v>0</v>
      </c>
      <c r="L11" s="12" t="n">
        <f aca="false">MIN(MAX(L6,0),L9+L10)</f>
        <v>0</v>
      </c>
      <c r="M11" s="12" t="n">
        <f aca="false">MIN(MAX(M6,0),M9+M10)</f>
        <v>0</v>
      </c>
      <c r="N11" s="12" t="n">
        <f aca="false">MIN(MAX(N6,0),N9+N10)</f>
        <v>0</v>
      </c>
    </row>
    <row r="12" customFormat="false" ht="15" hidden="false" customHeight="true" outlineLevel="0" collapsed="false">
      <c r="B12" s="1" t="s">
        <v>153</v>
      </c>
      <c r="D12" s="12" t="n">
        <f aca="false">D9+D10-D11</f>
        <v>7008.72908273903</v>
      </c>
      <c r="E12" s="12" t="n">
        <f aca="false">E9+E10-E11</f>
        <v>13046.4100854781</v>
      </c>
      <c r="F12" s="12" t="n">
        <f aca="false">F9+F10-F11</f>
        <v>18100.5327966171</v>
      </c>
      <c r="G12" s="12" t="n">
        <f aca="false">G9+G10-G11</f>
        <v>22158.5095690741</v>
      </c>
      <c r="H12" s="12" t="n">
        <f aca="false">H9+H10-H11</f>
        <v>0</v>
      </c>
      <c r="I12" s="12" t="n">
        <f aca="false">I9+I10-I11</f>
        <v>0</v>
      </c>
      <c r="J12" s="12" t="n">
        <f aca="false">J9+J10-J11</f>
        <v>0</v>
      </c>
      <c r="K12" s="12" t="n">
        <f aca="false">K9+K10-K11</f>
        <v>0</v>
      </c>
      <c r="L12" s="12" t="n">
        <f aca="false">L9+L10-L11</f>
        <v>0</v>
      </c>
      <c r="M12" s="12" t="n">
        <f aca="false">M9+M10-M11</f>
        <v>0</v>
      </c>
      <c r="N12" s="12" t="n">
        <f aca="false">N9+N10-N11</f>
        <v>0</v>
      </c>
    </row>
    <row r="14" customFormat="false" ht="15" hidden="false" customHeight="true" outlineLevel="0" collapsed="false">
      <c r="B14" s="4" t="s">
        <v>154</v>
      </c>
    </row>
    <row r="15" customFormat="false" ht="15" hidden="false" customHeight="true" outlineLevel="0" collapsed="false">
      <c r="B15" s="1" t="s">
        <v>155</v>
      </c>
      <c r="D15" s="12" t="n">
        <f aca="false">IF(D$5=1,$C$2,C17)</f>
        <v>240610.759688084</v>
      </c>
      <c r="E15" s="12" t="n">
        <f aca="false">IF(E$5=1,$C$2,D17)</f>
        <v>240610.759688084</v>
      </c>
      <c r="F15" s="12" t="n">
        <f aca="false">IF(F$5=1,$C$2,E17)</f>
        <v>240610.759688084</v>
      </c>
      <c r="G15" s="12" t="n">
        <f aca="false">IF(G$5=1,$C$2,F17)</f>
        <v>240610.759688084</v>
      </c>
      <c r="H15" s="12" t="n">
        <f aca="false">IF(H$5=1,$C$2,G17)</f>
        <v>240610.759688084</v>
      </c>
      <c r="I15" s="12" t="n">
        <f aca="false">IF(I$5=1,$C$2,H17)</f>
        <v>0</v>
      </c>
      <c r="J15" s="12" t="n">
        <f aca="false">IF(J$5=1,$C$2,I17)</f>
        <v>0</v>
      </c>
      <c r="K15" s="12" t="n">
        <f aca="false">IF(K$5=1,$C$2,J17)</f>
        <v>0</v>
      </c>
      <c r="L15" s="12" t="n">
        <f aca="false">IF(L$5=1,$C$2,K17)</f>
        <v>0</v>
      </c>
      <c r="M15" s="12" t="n">
        <f aca="false">IF(M$5=1,$C$2,L17)</f>
        <v>0</v>
      </c>
      <c r="N15" s="12" t="n">
        <f aca="false">IF(N$5=1,$C$2,M17)</f>
        <v>0</v>
      </c>
    </row>
    <row r="16" customFormat="false" ht="15" hidden="false" customHeight="true" outlineLevel="0" collapsed="false">
      <c r="B16" s="1" t="s">
        <v>156</v>
      </c>
      <c r="D16" s="12" t="n">
        <f aca="false">MIN(MAX(D6-D11,0),D15)</f>
        <v>0</v>
      </c>
      <c r="E16" s="12" t="n">
        <f aca="false">MIN(MAX(E6-E11,0),E15)</f>
        <v>0</v>
      </c>
      <c r="F16" s="12" t="n">
        <f aca="false">MIN(MAX(F6-F11,0),F15)</f>
        <v>0</v>
      </c>
      <c r="G16" s="12" t="n">
        <f aca="false">MIN(MAX(G6-G11,0),G15)</f>
        <v>0</v>
      </c>
      <c r="H16" s="12" t="n">
        <f aca="false">MIN(MAX(H6-H11,0),H15)</f>
        <v>240610.759688084</v>
      </c>
      <c r="I16" s="12" t="n">
        <f aca="false">MIN(MAX(I6-I11,0),I15)</f>
        <v>0</v>
      </c>
      <c r="J16" s="12" t="n">
        <f aca="false">MIN(MAX(J6-J11,0),J15)</f>
        <v>0</v>
      </c>
      <c r="K16" s="12" t="n">
        <f aca="false">MIN(MAX(K6-K11,0),K15)</f>
        <v>0</v>
      </c>
      <c r="L16" s="12" t="n">
        <f aca="false">MIN(MAX(L6-L11,0),L15)</f>
        <v>0</v>
      </c>
      <c r="M16" s="12" t="n">
        <f aca="false">MIN(MAX(M6-M11,0),M15)</f>
        <v>0</v>
      </c>
      <c r="N16" s="12" t="n">
        <f aca="false">MIN(MAX(N6-N11,0),N15)</f>
        <v>0</v>
      </c>
    </row>
    <row r="17" customFormat="false" ht="15" hidden="false" customHeight="true" outlineLevel="0" collapsed="false">
      <c r="B17" s="1" t="s">
        <v>157</v>
      </c>
      <c r="D17" s="12" t="n">
        <f aca="false">D15-D16</f>
        <v>240610.759688084</v>
      </c>
      <c r="E17" s="12" t="n">
        <f aca="false">E15-E16</f>
        <v>240610.759688084</v>
      </c>
      <c r="F17" s="12" t="n">
        <f aca="false">F15-F16</f>
        <v>240610.759688084</v>
      </c>
      <c r="G17" s="12" t="n">
        <f aca="false">G15-G16</f>
        <v>240610.759688084</v>
      </c>
      <c r="H17" s="12" t="n">
        <f aca="false">H15-H16</f>
        <v>0</v>
      </c>
      <c r="I17" s="12" t="n">
        <f aca="false">I15-I16</f>
        <v>0</v>
      </c>
      <c r="J17" s="12" t="n">
        <f aca="false">J15-J16</f>
        <v>0</v>
      </c>
      <c r="K17" s="12" t="n">
        <f aca="false">K15-K16</f>
        <v>0</v>
      </c>
      <c r="L17" s="12" t="n">
        <f aca="false">L15-L16</f>
        <v>0</v>
      </c>
      <c r="M17" s="12" t="n">
        <f aca="false">M15-M16</f>
        <v>0</v>
      </c>
      <c r="N17" s="12" t="n">
        <f aca="false">N15-N16</f>
        <v>0</v>
      </c>
    </row>
    <row r="18" customFormat="false" ht="15" hidden="false" customHeight="true" outlineLevel="0" collapsed="false">
      <c r="B18" s="1" t="s">
        <v>158</v>
      </c>
      <c r="D18" s="12" t="n">
        <f aca="false">IF(D$5=1,$C$3,C20)</f>
        <v>26734.5288542316</v>
      </c>
      <c r="E18" s="12" t="n">
        <f aca="false">IF(E$5=1,$C$3,D20)</f>
        <v>26734.5288542316</v>
      </c>
      <c r="F18" s="12" t="n">
        <f aca="false">IF(F$5=1,$C$3,E20)</f>
        <v>26734.5288542316</v>
      </c>
      <c r="G18" s="12" t="n">
        <f aca="false">IF(G$5=1,$C$3,F20)</f>
        <v>26734.5288542316</v>
      </c>
      <c r="H18" s="12" t="n">
        <f aca="false">IF(H$5=1,$C$3,G20)</f>
        <v>26734.5288542316</v>
      </c>
      <c r="I18" s="12" t="n">
        <f aca="false">IF(I$5=1,$C$3,H20)</f>
        <v>5420.81456330212</v>
      </c>
      <c r="J18" s="12" t="n">
        <f aca="false">IF(J$5=1,$C$3,I20)</f>
        <v>5420.81456330212</v>
      </c>
      <c r="K18" s="12" t="n">
        <f aca="false">IF(K$5=1,$C$3,J20)</f>
        <v>5420.81456330212</v>
      </c>
      <c r="L18" s="12" t="n">
        <f aca="false">IF(L$5=1,$C$3,K20)</f>
        <v>5420.81456330212</v>
      </c>
      <c r="M18" s="12" t="n">
        <f aca="false">IF(M$5=1,$C$3,L20)</f>
        <v>5420.81456330212</v>
      </c>
      <c r="N18" s="12" t="n">
        <f aca="false">IF(N$5=1,$C$3,M20)</f>
        <v>5420.81456330212</v>
      </c>
    </row>
    <row r="19" customFormat="false" ht="15" hidden="false" customHeight="true" outlineLevel="0" collapsed="false">
      <c r="B19" s="1" t="s">
        <v>159</v>
      </c>
      <c r="D19" s="12" t="n">
        <f aca="false">MIN(MAX(D6-D11-D16,0),D18)</f>
        <v>0</v>
      </c>
      <c r="E19" s="12" t="n">
        <f aca="false">MIN(MAX(E6-E11-E16,0),E18)</f>
        <v>0</v>
      </c>
      <c r="F19" s="12" t="n">
        <f aca="false">MIN(MAX(F6-F11-F16,0),F18)</f>
        <v>0</v>
      </c>
      <c r="G19" s="12" t="n">
        <f aca="false">MIN(MAX(G6-G11-G16,0),G18)</f>
        <v>0</v>
      </c>
      <c r="H19" s="12" t="n">
        <f aca="false">MIN(MAX(H6-H11-H16,0),H18)</f>
        <v>21313.7142909295</v>
      </c>
      <c r="I19" s="12" t="n">
        <f aca="false">MIN(MAX(I6-I11-I16,0),I18)</f>
        <v>0</v>
      </c>
      <c r="J19" s="12" t="n">
        <f aca="false">MIN(MAX(J6-J11-J16,0),J18)</f>
        <v>0</v>
      </c>
      <c r="K19" s="12" t="n">
        <f aca="false">MIN(MAX(K6-K11-K16,0),K18)</f>
        <v>0</v>
      </c>
      <c r="L19" s="12" t="n">
        <f aca="false">MIN(MAX(L6-L11-L16,0),L18)</f>
        <v>0</v>
      </c>
      <c r="M19" s="12" t="n">
        <f aca="false">MIN(MAX(M6-M11-M16,0),M18)</f>
        <v>0</v>
      </c>
      <c r="N19" s="12" t="n">
        <f aca="false">MIN(MAX(N6-N11-N16,0),N18)</f>
        <v>0</v>
      </c>
    </row>
    <row r="20" customFormat="false" ht="15" hidden="false" customHeight="true" outlineLevel="0" collapsed="false">
      <c r="B20" s="1" t="s">
        <v>160</v>
      </c>
      <c r="D20" s="12" t="n">
        <f aca="false">D18-D19</f>
        <v>26734.5288542316</v>
      </c>
      <c r="E20" s="12" t="n">
        <f aca="false">E18-E19</f>
        <v>26734.5288542316</v>
      </c>
      <c r="F20" s="12" t="n">
        <f aca="false">F18-F19</f>
        <v>26734.5288542316</v>
      </c>
      <c r="G20" s="12" t="n">
        <f aca="false">G18-G19</f>
        <v>26734.5288542316</v>
      </c>
      <c r="H20" s="12" t="n">
        <f aca="false">H18-H19</f>
        <v>5420.81456330212</v>
      </c>
      <c r="I20" s="12" t="n">
        <f aca="false">I18-I19</f>
        <v>5420.81456330212</v>
      </c>
      <c r="J20" s="12" t="n">
        <f aca="false">J18-J19</f>
        <v>5420.81456330212</v>
      </c>
      <c r="K20" s="12" t="n">
        <f aca="false">K18-K19</f>
        <v>5420.81456330212</v>
      </c>
      <c r="L20" s="12" t="n">
        <f aca="false">L18-L19</f>
        <v>5420.81456330212</v>
      </c>
      <c r="M20" s="12" t="n">
        <f aca="false">M18-M19</f>
        <v>5420.81456330212</v>
      </c>
      <c r="N20" s="12" t="n">
        <f aca="false">N18-N19</f>
        <v>5420.81456330212</v>
      </c>
    </row>
    <row r="22" customFormat="false" ht="15" hidden="false" customHeight="true" outlineLevel="0" collapsed="false">
      <c r="B22" s="4" t="s">
        <v>161</v>
      </c>
    </row>
    <row r="23" customFormat="false" ht="15" hidden="false" customHeight="true" outlineLevel="0" collapsed="false">
      <c r="B23" s="1" t="s">
        <v>162</v>
      </c>
      <c r="D23" s="12" t="n">
        <f aca="false">MAX(D6-D11-D16-D19,0)</f>
        <v>0</v>
      </c>
      <c r="E23" s="12" t="n">
        <f aca="false">MAX(E6-E11-E16-E19,0)</f>
        <v>0</v>
      </c>
      <c r="F23" s="12" t="n">
        <f aca="false">MAX(F6-F11-F16-F19,0)</f>
        <v>0</v>
      </c>
      <c r="G23" s="12" t="n">
        <f aca="false">MAX(G6-G11-G16-G19,0)</f>
        <v>0</v>
      </c>
      <c r="H23" s="12" t="n">
        <f aca="false">MAX(H6-H11-H16-H19,0)</f>
        <v>0</v>
      </c>
      <c r="I23" s="12" t="n">
        <f aca="false">MAX(I6-I11-I16-I19,0)</f>
        <v>0</v>
      </c>
      <c r="J23" s="12" t="n">
        <f aca="false">MAX(J6-J11-J16-J19,0)</f>
        <v>0</v>
      </c>
      <c r="K23" s="12" t="n">
        <f aca="false">MAX(K6-K11-K16-K19,0)</f>
        <v>0</v>
      </c>
      <c r="L23" s="12" t="n">
        <f aca="false">MAX(L6-L11-L16-L19,0)</f>
        <v>0</v>
      </c>
      <c r="M23" s="12" t="n">
        <f aca="false">MAX(M6-M11-M16-M19,0)</f>
        <v>0</v>
      </c>
      <c r="N23" s="12" t="n">
        <f aca="false">MAX(N6-N11-N16-N19,0)</f>
        <v>0</v>
      </c>
    </row>
    <row r="24" customFormat="false" ht="15" hidden="false" customHeight="true" outlineLevel="0" collapsed="false">
      <c r="B24" s="1" t="s">
        <v>163</v>
      </c>
      <c r="D24" s="12" t="n">
        <f aca="false">D23*Inputs!$B$48</f>
        <v>0</v>
      </c>
      <c r="E24" s="12" t="n">
        <f aca="false">E23*Inputs!$B$48</f>
        <v>0</v>
      </c>
      <c r="F24" s="12" t="n">
        <f aca="false">F23*Inputs!$B$48</f>
        <v>0</v>
      </c>
      <c r="G24" s="12" t="n">
        <f aca="false">G23*Inputs!$B$48</f>
        <v>0</v>
      </c>
      <c r="H24" s="12" t="n">
        <f aca="false">H23*Inputs!$B$48</f>
        <v>0</v>
      </c>
      <c r="I24" s="12" t="n">
        <f aca="false">I23*Inputs!$B$48</f>
        <v>0</v>
      </c>
      <c r="J24" s="12" t="n">
        <f aca="false">J23*Inputs!$B$48</f>
        <v>0</v>
      </c>
      <c r="K24" s="12" t="n">
        <f aca="false">K23*Inputs!$B$48</f>
        <v>0</v>
      </c>
      <c r="L24" s="12" t="n">
        <f aca="false">L23*Inputs!$B$48</f>
        <v>0</v>
      </c>
      <c r="M24" s="12" t="n">
        <f aca="false">M23*Inputs!$B$48</f>
        <v>0</v>
      </c>
      <c r="N24" s="12" t="n">
        <f aca="false">N23*Inputs!$B$48</f>
        <v>0</v>
      </c>
    </row>
    <row r="25" customFormat="false" ht="15" hidden="false" customHeight="true" outlineLevel="0" collapsed="false">
      <c r="B25" s="1" t="s">
        <v>164</v>
      </c>
      <c r="D25" s="12" t="n">
        <f aca="false">D23*Inputs!$B$49</f>
        <v>0</v>
      </c>
      <c r="E25" s="12" t="n">
        <f aca="false">E23*Inputs!$B$49</f>
        <v>0</v>
      </c>
      <c r="F25" s="12" t="n">
        <f aca="false">F23*Inputs!$B$49</f>
        <v>0</v>
      </c>
      <c r="G25" s="12" t="n">
        <f aca="false">G23*Inputs!$B$49</f>
        <v>0</v>
      </c>
      <c r="H25" s="12" t="n">
        <f aca="false">H23*Inputs!$B$49</f>
        <v>0</v>
      </c>
      <c r="I25" s="12" t="n">
        <f aca="false">I23*Inputs!$B$49</f>
        <v>0</v>
      </c>
      <c r="J25" s="12" t="n">
        <f aca="false">J23*Inputs!$B$49</f>
        <v>0</v>
      </c>
      <c r="K25" s="12" t="n">
        <f aca="false">K23*Inputs!$B$49</f>
        <v>0</v>
      </c>
      <c r="L25" s="12" t="n">
        <f aca="false">L23*Inputs!$B$49</f>
        <v>0</v>
      </c>
      <c r="M25" s="12" t="n">
        <f aca="false">M23*Inputs!$B$49</f>
        <v>0</v>
      </c>
      <c r="N25" s="12" t="n">
        <f aca="false">N23*Inputs!$B$49</f>
        <v>0</v>
      </c>
    </row>
    <row r="27" customFormat="false" ht="15" hidden="false" customHeight="true" outlineLevel="0" collapsed="false">
      <c r="B27" s="4" t="s">
        <v>165</v>
      </c>
      <c r="C27" s="12" t="n">
        <f aca="false">-$C$2</f>
        <v>-240610.759688084</v>
      </c>
      <c r="D27" s="12" t="n">
        <f aca="false">D11+D16+D24</f>
        <v>12240.1316923077</v>
      </c>
      <c r="E27" s="12" t="n">
        <f aca="false">E11+E16+E24</f>
        <v>13211.1797723077</v>
      </c>
      <c r="F27" s="12" t="n">
        <f aca="false">F11+F16+F24</f>
        <v>14194.7380639077</v>
      </c>
      <c r="G27" s="12" t="n">
        <f aca="false">G11+G16+G24</f>
        <v>15190.8840025898</v>
      </c>
      <c r="H27" s="12" t="n">
        <f aca="false">H11+H16+H24</f>
        <v>282018.130032205</v>
      </c>
      <c r="I27" s="12" t="n">
        <f aca="false">I11+I16+I24</f>
        <v>0</v>
      </c>
      <c r="J27" s="12" t="n">
        <f aca="false">J11+J16+J24</f>
        <v>0</v>
      </c>
      <c r="K27" s="12" t="n">
        <f aca="false">K11+K16+K24</f>
        <v>0</v>
      </c>
      <c r="L27" s="12" t="n">
        <f aca="false">L11+L16+L24</f>
        <v>0</v>
      </c>
      <c r="M27" s="12" t="n">
        <f aca="false">M11+M16+M24</f>
        <v>0</v>
      </c>
      <c r="N27" s="12" t="n">
        <f aca="false">N11+N16+N24</f>
        <v>0</v>
      </c>
    </row>
    <row r="28" customFormat="false" ht="15" hidden="false" customHeight="true" outlineLevel="0" collapsed="false">
      <c r="B28" s="4" t="s">
        <v>166</v>
      </c>
      <c r="C28" s="12" t="n">
        <f aca="false">-$C$3</f>
        <v>-26734.5288542316</v>
      </c>
      <c r="D28" s="12" t="n">
        <f aca="false">D19+D25</f>
        <v>0</v>
      </c>
      <c r="E28" s="12" t="n">
        <f aca="false">E19+E25</f>
        <v>0</v>
      </c>
      <c r="F28" s="12" t="n">
        <f aca="false">F19+F25</f>
        <v>0</v>
      </c>
      <c r="G28" s="12" t="n">
        <f aca="false">G19+G25</f>
        <v>0</v>
      </c>
      <c r="H28" s="12" t="n">
        <f aca="false">H19+H25</f>
        <v>21313.7142909295</v>
      </c>
      <c r="I28" s="12" t="n">
        <f aca="false">I19+I25</f>
        <v>0</v>
      </c>
      <c r="J28" s="12" t="n">
        <f aca="false">J19+J25</f>
        <v>0</v>
      </c>
      <c r="K28" s="12" t="n">
        <f aca="false">K19+K25</f>
        <v>0</v>
      </c>
      <c r="L28" s="12" t="n">
        <f aca="false">L19+L25</f>
        <v>0</v>
      </c>
      <c r="M28" s="12" t="n">
        <f aca="false">M19+M25</f>
        <v>0</v>
      </c>
      <c r="N28" s="12" t="n">
        <f aca="false">N19+N25</f>
        <v>0</v>
      </c>
    </row>
    <row r="30" customFormat="false" ht="15" hidden="false" customHeight="true" outlineLevel="0" collapsed="false">
      <c r="B30" s="1" t="s">
        <v>167</v>
      </c>
      <c r="C30" s="26" t="n">
        <f aca="false">IFERROR(IRR(C27:N27,0.1),"")</f>
        <v>0.0764281524785894</v>
      </c>
    </row>
    <row r="31" customFormat="false" ht="15" hidden="false" customHeight="true" outlineLevel="0" collapsed="false">
      <c r="B31" s="1" t="s">
        <v>168</v>
      </c>
      <c r="C31" s="27" t="n">
        <f aca="false">IFERROR(1+SUM(C27:N27)/$C$2,"")</f>
        <v>1.4</v>
      </c>
    </row>
    <row r="32" customFormat="false" ht="15" hidden="false" customHeight="true" outlineLevel="0" collapsed="false">
      <c r="B32" s="1" t="s">
        <v>169</v>
      </c>
      <c r="C32" s="12" t="n">
        <f aca="false">SUM(C27:N27)</f>
        <v>96244.3038752337</v>
      </c>
    </row>
    <row r="33" customFormat="false" ht="15" hidden="false" customHeight="true" outlineLevel="0" collapsed="false">
      <c r="B33" s="1" t="s">
        <v>170</v>
      </c>
      <c r="C33" s="21" t="n">
        <f aca="false">IFERROR(IRR(C28:N28,0.1),"")</f>
        <v>-0.044309385489742</v>
      </c>
    </row>
    <row r="34" customFormat="false" ht="15" hidden="false" customHeight="true" outlineLevel="0" collapsed="false">
      <c r="B34" s="1" t="s">
        <v>171</v>
      </c>
      <c r="C34" s="27" t="n">
        <f aca="false">IFERROR(1+SUM(C28:N28)/$C$3,"")</f>
        <v>0.797235455584096</v>
      </c>
    </row>
    <row r="35" customFormat="false" ht="15" hidden="false" customHeight="true" outlineLevel="0" collapsed="false">
      <c r="B35" s="1" t="s">
        <v>172</v>
      </c>
      <c r="C35" s="12" t="n">
        <f aca="false">SUM(C28:N28)</f>
        <v>-5420.81456330212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" hidden="false" customHeight="true" outlineLevel="0" collapsed="false">
      <c r="A1" s="4" t="s">
        <v>173</v>
      </c>
    </row>
    <row r="3" customFormat="false" ht="15" hidden="false" customHeight="true" outlineLevel="0" collapsed="false">
      <c r="A3" s="1" t="s">
        <v>174</v>
      </c>
      <c r="B3" s="12" t="n">
        <f aca="false">INDEX('Annual CF'!C25:N25,MATCH(Inputs!$B$40+1,'Annual CF'!C2:N2,0))</f>
        <v>70522.9498509776</v>
      </c>
    </row>
    <row r="4" customFormat="false" ht="15" hidden="false" customHeight="true" outlineLevel="0" collapsed="false">
      <c r="A4" s="1" t="s">
        <v>175</v>
      </c>
      <c r="B4" s="12" t="n">
        <f aca="false">INDEX('Annual CF'!C35:N35,MATCH(Inputs!$B$40,'Annual CF'!C2:N2,0))</f>
        <v>549449.251323224</v>
      </c>
    </row>
    <row r="5" customFormat="false" ht="15" hidden="false" customHeight="true" outlineLevel="0" collapsed="false">
      <c r="A5" s="1" t="s">
        <v>176</v>
      </c>
      <c r="B5" s="12" t="n">
        <f aca="false">SUMIFS('Annual CF'!D37:N37,'Annual CF'!D2:N2,"&lt;="&amp;Inputs!$B$40)</f>
        <v>71036.6257844395</v>
      </c>
    </row>
    <row r="6" customFormat="false" ht="15" hidden="false" customHeight="true" outlineLevel="0" collapsed="false">
      <c r="A6" s="1" t="s">
        <v>177</v>
      </c>
      <c r="B6" s="12" t="n">
        <f aca="false">Inputs!$B$54</f>
        <v>267345.288542316</v>
      </c>
    </row>
    <row r="8" customFormat="false" ht="15" hidden="false" customHeight="true" outlineLevel="0" collapsed="false">
      <c r="A8" s="6" t="s">
        <v>178</v>
      </c>
      <c r="B8" s="6" t="s">
        <v>179</v>
      </c>
      <c r="C8" s="6" t="s">
        <v>180</v>
      </c>
      <c r="D8" s="6" t="s">
        <v>140</v>
      </c>
      <c r="E8" s="6" t="s">
        <v>139</v>
      </c>
    </row>
    <row r="9" customFormat="false" ht="15" hidden="false" customHeight="true" outlineLevel="0" collapsed="false">
      <c r="A9" s="16" t="n">
        <v>0.05</v>
      </c>
      <c r="B9" s="12" t="n">
        <f aca="false">IFERROR($B$3/A9,0)</f>
        <v>1410458.99701955</v>
      </c>
      <c r="C9" s="12" t="n">
        <f aca="false">B9*(1-Inputs!$B$42)-$B$4</f>
        <v>818695.97578574</v>
      </c>
      <c r="D9" s="12" t="n">
        <f aca="false">C9+$B$5-$B$6</f>
        <v>622387.313027864</v>
      </c>
      <c r="E9" s="27" t="n">
        <f aca="false">IFERROR((C9+$B$5)/$B$6,0)</f>
        <v>3.32802798366634</v>
      </c>
    </row>
    <row r="10" customFormat="false" ht="15" hidden="false" customHeight="true" outlineLevel="0" collapsed="false">
      <c r="A10" s="16" t="n">
        <v>0.0525</v>
      </c>
      <c r="B10" s="12" t="n">
        <f aca="false">IFERROR($B$3/A10,0)</f>
        <v>1343294.28287576</v>
      </c>
      <c r="C10" s="12" t="n">
        <f aca="false">B10*(1-Inputs!$B$42)-$B$4</f>
        <v>753546.203066266</v>
      </c>
      <c r="D10" s="12" t="n">
        <f aca="false">C10+$B$5-$B$6</f>
        <v>557237.54030839</v>
      </c>
      <c r="E10" s="27" t="n">
        <f aca="false">IFERROR((C10+$B$5)/$B$6,0)</f>
        <v>3.08433648988802</v>
      </c>
    </row>
    <row r="11" customFormat="false" ht="15" hidden="false" customHeight="true" outlineLevel="0" collapsed="false">
      <c r="A11" s="16" t="n">
        <v>0.055</v>
      </c>
      <c r="B11" s="12" t="n">
        <f aca="false">IFERROR($B$3/A11,0)</f>
        <v>1282235.45183596</v>
      </c>
      <c r="C11" s="12" t="n">
        <f aca="false">B11*(1-Inputs!$B$42)-$B$4</f>
        <v>694319.136957652</v>
      </c>
      <c r="D11" s="12" t="n">
        <f aca="false">C11+$B$5-$B$6</f>
        <v>498010.474199776</v>
      </c>
      <c r="E11" s="27" t="n">
        <f aca="false">IFERROR((C11+$B$5)/$B$6,0)</f>
        <v>2.86279876827136</v>
      </c>
    </row>
    <row r="12" customFormat="false" ht="15" hidden="false" customHeight="true" outlineLevel="0" collapsed="false">
      <c r="A12" s="16" t="n">
        <v>0.0575</v>
      </c>
      <c r="B12" s="12" t="n">
        <f aca="false">IFERROR($B$3/A12,0)</f>
        <v>1226486.08436483</v>
      </c>
      <c r="C12" s="12" t="n">
        <f aca="false">B12*(1-Inputs!$B$42)-$B$4</f>
        <v>640242.250510658</v>
      </c>
      <c r="D12" s="12" t="n">
        <f aca="false">C12+$B$5-$B$6</f>
        <v>443933.587752782</v>
      </c>
      <c r="E12" s="27" t="n">
        <f aca="false">IFERROR((C12+$B$5)/$B$6,0)</f>
        <v>2.66052519636049</v>
      </c>
    </row>
    <row r="13" customFormat="false" ht="15" hidden="false" customHeight="true" outlineLevel="0" collapsed="false">
      <c r="A13" s="16" t="n">
        <v>0.06</v>
      </c>
      <c r="B13" s="12" t="n">
        <f aca="false">IFERROR($B$3/A13,0)</f>
        <v>1175382.49751629</v>
      </c>
      <c r="C13" s="12" t="n">
        <f aca="false">B13*(1-Inputs!$B$42)-$B$4</f>
        <v>590671.77126758</v>
      </c>
      <c r="D13" s="12" t="n">
        <f aca="false">C13+$B$5-$B$6</f>
        <v>394363.108509703</v>
      </c>
      <c r="E13" s="27" t="n">
        <f aca="false">IFERROR((C13+$B$5)/$B$6,0)</f>
        <v>2.4751077554422</v>
      </c>
    </row>
    <row r="14" customFormat="false" ht="15" hidden="false" customHeight="true" outlineLevel="0" collapsed="false">
      <c r="A14" s="16" t="n">
        <v>0.0625</v>
      </c>
      <c r="B14" s="12" t="n">
        <f aca="false">IFERROR($B$3/A14,0)</f>
        <v>1128367.19761564</v>
      </c>
      <c r="C14" s="12" t="n">
        <f aca="false">B14*(1-Inputs!$B$42)-$B$4</f>
        <v>545066.930363947</v>
      </c>
      <c r="D14" s="12" t="n">
        <f aca="false">C14+$B$5-$B$6</f>
        <v>348758.267606071</v>
      </c>
      <c r="E14" s="27" t="n">
        <f aca="false">IFERROR((C14+$B$5)/$B$6,0)</f>
        <v>2.30452370979737</v>
      </c>
    </row>
    <row r="15" customFormat="false" ht="15" hidden="false" customHeight="true" outlineLevel="0" collapsed="false">
      <c r="A15" s="16" t="n">
        <v>0.065</v>
      </c>
      <c r="B15" s="12" t="n">
        <f aca="false">IFERROR($B$3/A15,0)</f>
        <v>1084968.45924581</v>
      </c>
      <c r="C15" s="12" t="n">
        <f aca="false">B15*(1-Inputs!$B$42)-$B$4</f>
        <v>502970.15414521</v>
      </c>
      <c r="D15" s="12" t="n">
        <f aca="false">C15+$B$5-$B$6</f>
        <v>306661.491387334</v>
      </c>
      <c r="E15" s="27" t="n">
        <f aca="false">IFERROR((C15+$B$5)/$B$6,0)</f>
        <v>2.14706151381753</v>
      </c>
    </row>
    <row r="16" customFormat="false" ht="15" hidden="false" customHeight="true" outlineLevel="0" collapsed="false">
      <c r="A16" s="16" t="n">
        <v>0.0675</v>
      </c>
      <c r="B16" s="12" t="n">
        <f aca="false">IFERROR($B$3/A16,0)</f>
        <v>1044784.4422367</v>
      </c>
      <c r="C16" s="12" t="n">
        <f aca="false">B16*(1-Inputs!$B$42)-$B$4</f>
        <v>463991.657646379</v>
      </c>
      <c r="D16" s="12" t="n">
        <f aca="false">C16+$B$5-$B$6</f>
        <v>267682.994888503</v>
      </c>
      <c r="E16" s="27" t="n">
        <f aca="false">IFERROR((C16+$B$5)/$B$6,0)</f>
        <v>2.00126318420657</v>
      </c>
    </row>
    <row r="17" customFormat="false" ht="15" hidden="false" customHeight="true" outlineLevel="0" collapsed="false">
      <c r="A17" s="16" t="n">
        <v>0.07</v>
      </c>
      <c r="B17" s="12" t="n">
        <f aca="false">IFERROR($B$3/A17,0)</f>
        <v>1007470.71215682</v>
      </c>
      <c r="C17" s="12" t="n">
        <f aca="false">B17*(1-Inputs!$B$42)-$B$4</f>
        <v>427797.339468893</v>
      </c>
      <c r="D17" s="12" t="n">
        <f aca="false">C17+$B$5-$B$6</f>
        <v>231488.676711017</v>
      </c>
      <c r="E17" s="27" t="n">
        <f aca="false">IFERROR((C17+$B$5)/$B$6,0)</f>
        <v>1.86587902099639</v>
      </c>
    </row>
    <row r="18" customFormat="false" ht="15" hidden="false" customHeight="true" outlineLevel="0" collapsed="false">
      <c r="A18" s="16" t="n">
        <v>0.0725</v>
      </c>
      <c r="B18" s="12" t="n">
        <f aca="false">IFERROR($B$3/A18,0)</f>
        <v>972730.342772104</v>
      </c>
      <c r="C18" s="12" t="n">
        <f aca="false">B18*(1-Inputs!$B$42)-$B$4</f>
        <v>394099.181165717</v>
      </c>
      <c r="D18" s="12" t="n">
        <f aca="false">C18+$B$5-$B$6</f>
        <v>197790.518407841</v>
      </c>
      <c r="E18" s="27" t="n">
        <f aca="false">IFERROR((C18+$B$5)/$B$6,0)</f>
        <v>1.73983169662829</v>
      </c>
    </row>
    <row r="19" customFormat="false" ht="15" hidden="false" customHeight="true" outlineLevel="0" collapsed="false">
      <c r="A19" s="16" t="n">
        <v>0.075</v>
      </c>
      <c r="B19" s="12" t="n">
        <f aca="false">IFERROR($B$3/A19,0)</f>
        <v>940305.998013034</v>
      </c>
      <c r="C19" s="12" t="n">
        <f aca="false">B19*(1-Inputs!$B$42)-$B$4</f>
        <v>362647.566749419</v>
      </c>
      <c r="D19" s="12" t="n">
        <f aca="false">C19+$B$5-$B$6</f>
        <v>166338.903991542</v>
      </c>
      <c r="E19" s="27" t="n">
        <f aca="false">IFERROR((C19+$B$5)/$B$6,0)</f>
        <v>1.62218752721806</v>
      </c>
    </row>
    <row r="20" customFormat="false" ht="15" hidden="false" customHeight="true" outlineLevel="0" collapsed="false">
      <c r="A20" s="16" t="n">
        <v>0.0775</v>
      </c>
      <c r="B20" s="12" t="n">
        <f aca="false">IFERROR($B$3/A20,0)</f>
        <v>909973.546464227</v>
      </c>
      <c r="C20" s="12" t="n">
        <f aca="false">B20*(1-Inputs!$B$42)-$B$4</f>
        <v>333225.088747075</v>
      </c>
      <c r="D20" s="12" t="n">
        <f aca="false">C20+$B$5-$B$6</f>
        <v>136916.425989199</v>
      </c>
      <c r="E20" s="27" t="n">
        <f aca="false">IFERROR((C20+$B$5)/$B$6,0)</f>
        <v>1.5121333042214</v>
      </c>
    </row>
    <row r="21" customFormat="false" ht="15" hidden="false" customHeight="true" outlineLevel="0" collapsed="false">
      <c r="A21" s="16" t="n">
        <v>0.08</v>
      </c>
      <c r="B21" s="12" t="n">
        <f aca="false">IFERROR($B$3/A21,0)</f>
        <v>881536.87313722</v>
      </c>
      <c r="C21" s="12" t="n">
        <f aca="false">B21*(1-Inputs!$B$42)-$B$4</f>
        <v>305641.515619879</v>
      </c>
      <c r="D21" s="12" t="n">
        <f aca="false">C21+$B$5-$B$6</f>
        <v>109332.852862002</v>
      </c>
      <c r="E21" s="27" t="n">
        <f aca="false">IFERROR((C21+$B$5)/$B$6,0)</f>
        <v>1.40895747016203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45"/>
  </cols>
  <sheetData>
    <row r="1" customFormat="false" ht="15" hidden="false" customHeight="true" outlineLevel="0" collapsed="false">
      <c r="A1" s="4" t="s">
        <v>181</v>
      </c>
    </row>
    <row r="3" customFormat="false" ht="15" hidden="false" customHeight="true" outlineLevel="0" collapsed="false">
      <c r="A3" s="1" t="s">
        <v>182</v>
      </c>
    </row>
    <row r="4" customFormat="false" ht="15" hidden="false" customHeight="true" outlineLevel="0" collapsed="false">
      <c r="A4" s="1" t="s">
        <v>183</v>
      </c>
      <c r="B4" s="1" t="s">
        <v>184</v>
      </c>
      <c r="C4" s="1" t="s">
        <v>185</v>
      </c>
      <c r="D4" s="1" t="s">
        <v>186</v>
      </c>
    </row>
    <row r="5" customFormat="false" ht="15" hidden="false" customHeight="true" outlineLevel="0" collapsed="false">
      <c r="A5" s="1" t="s">
        <v>107</v>
      </c>
      <c r="B5" s="12" t="n">
        <v>-1661.03</v>
      </c>
      <c r="C5" s="12" t="n">
        <v>-1476.9</v>
      </c>
      <c r="D5" s="12" t="n">
        <v>-1568.96</v>
      </c>
    </row>
    <row r="6" customFormat="false" ht="15" hidden="false" customHeight="true" outlineLevel="0" collapsed="false">
      <c r="A6" s="1" t="s">
        <v>42</v>
      </c>
      <c r="B6" s="12" t="n">
        <v>-476.09</v>
      </c>
      <c r="C6" s="12" t="n">
        <v>-400.82</v>
      </c>
      <c r="D6" s="12" t="n">
        <v>-438.45</v>
      </c>
    </row>
    <row r="7" customFormat="false" ht="15" hidden="false" customHeight="true" outlineLevel="0" collapsed="false">
      <c r="A7" s="1" t="s">
        <v>44</v>
      </c>
      <c r="B7" s="12" t="n">
        <v>-362.42</v>
      </c>
      <c r="C7" s="12" t="n">
        <v>-395.13</v>
      </c>
      <c r="D7" s="12" t="n">
        <v>-378.78</v>
      </c>
    </row>
    <row r="8" customFormat="false" ht="15" hidden="false" customHeight="true" outlineLevel="0" collapsed="false">
      <c r="A8" s="1" t="s">
        <v>46</v>
      </c>
      <c r="B8" s="12" t="n">
        <v>-572.19</v>
      </c>
      <c r="C8" s="12" t="n">
        <v>-372.59</v>
      </c>
      <c r="D8" s="12" t="n">
        <v>-472.39</v>
      </c>
    </row>
    <row r="9" customFormat="false" ht="15" hidden="false" customHeight="true" outlineLevel="0" collapsed="false">
      <c r="A9" s="1" t="s">
        <v>49</v>
      </c>
      <c r="B9" s="12" t="n">
        <v>-641.47</v>
      </c>
      <c r="C9" s="12" t="n">
        <v>-742.2</v>
      </c>
      <c r="D9" s="12" t="n">
        <v>-691.84</v>
      </c>
    </row>
    <row r="10" customFormat="false" ht="15" hidden="false" customHeight="true" outlineLevel="0" collapsed="false">
      <c r="A10" s="1" t="s">
        <v>51</v>
      </c>
      <c r="B10" s="12" t="n">
        <v>-105.04</v>
      </c>
      <c r="C10" s="12" t="n">
        <v>-85.33</v>
      </c>
      <c r="D10" s="12" t="n">
        <v>-95.19</v>
      </c>
    </row>
    <row r="11" customFormat="false" ht="15" hidden="false" customHeight="true" outlineLevel="0" collapsed="false">
      <c r="A11" s="1" t="s">
        <v>53</v>
      </c>
      <c r="B11" s="12" t="n">
        <v>-1094.69</v>
      </c>
      <c r="C11" s="12" t="n">
        <v>-1233.33</v>
      </c>
      <c r="D11" s="12" t="n">
        <v>-1164.01</v>
      </c>
    </row>
    <row r="13" customFormat="false" ht="15" hidden="false" customHeight="true" outlineLevel="0" collapsed="false">
      <c r="A13" s="1" t="s">
        <v>187</v>
      </c>
    </row>
    <row r="14" customFormat="false" ht="15" hidden="false" customHeight="true" outlineLevel="0" collapsed="false">
      <c r="A14" s="1" t="s">
        <v>188</v>
      </c>
      <c r="B14" s="1" t="s">
        <v>189</v>
      </c>
      <c r="C14" s="1" t="s">
        <v>190</v>
      </c>
      <c r="D14" s="1" t="s">
        <v>191</v>
      </c>
    </row>
    <row r="15" customFormat="false" ht="15" hidden="false" customHeight="true" outlineLevel="0" collapsed="false">
      <c r="A15" s="1" t="s">
        <v>192</v>
      </c>
      <c r="B15" s="1" t="s">
        <v>193</v>
      </c>
      <c r="C15" s="1" t="s">
        <v>194</v>
      </c>
      <c r="D15" s="1" t="s">
        <v>195</v>
      </c>
    </row>
    <row r="16" customFormat="false" ht="15" hidden="false" customHeight="true" outlineLevel="0" collapsed="false">
      <c r="A16" s="1" t="s">
        <v>196</v>
      </c>
      <c r="B16" s="1" t="s">
        <v>197</v>
      </c>
      <c r="C16" s="1" t="s">
        <v>198</v>
      </c>
      <c r="D16" s="1" t="s">
        <v>199</v>
      </c>
    </row>
    <row r="17" customFormat="false" ht="15" hidden="false" customHeight="true" outlineLevel="0" collapsed="false">
      <c r="A17" s="1" t="s">
        <v>200</v>
      </c>
      <c r="B17" s="1" t="s">
        <v>201</v>
      </c>
      <c r="C17" s="1" t="s">
        <v>202</v>
      </c>
      <c r="D17" s="1" t="s">
        <v>203</v>
      </c>
    </row>
    <row r="18" customFormat="false" ht="15" hidden="false" customHeight="true" outlineLevel="0" collapsed="false">
      <c r="A18" s="1" t="s">
        <v>204</v>
      </c>
      <c r="B18" s="1" t="s">
        <v>205</v>
      </c>
      <c r="C18" s="1" t="s">
        <v>206</v>
      </c>
      <c r="D18" s="1" t="s">
        <v>207</v>
      </c>
    </row>
    <row r="19" customFormat="false" ht="15" hidden="false" customHeight="true" outlineLevel="0" collapsed="false">
      <c r="A19" s="1" t="s">
        <v>208</v>
      </c>
      <c r="B19" s="1" t="s">
        <v>209</v>
      </c>
      <c r="C19" s="1" t="s">
        <v>210</v>
      </c>
      <c r="D19" s="1" t="s">
        <v>211</v>
      </c>
    </row>
    <row r="21" customFormat="false" ht="15" hidden="false" customHeight="true" outlineLevel="0" collapsed="false">
      <c r="A21" s="1" t="s">
        <v>212</v>
      </c>
    </row>
    <row r="22" customFormat="false" ht="15" hidden="false" customHeight="true" outlineLevel="0" collapsed="false">
      <c r="A22" s="1" t="s">
        <v>213</v>
      </c>
      <c r="B22" s="1" t="s">
        <v>214</v>
      </c>
    </row>
    <row r="23" customFormat="false" ht="15" hidden="false" customHeight="true" outlineLevel="0" collapsed="false">
      <c r="A23" s="1" t="s">
        <v>215</v>
      </c>
      <c r="B23" s="1" t="s">
        <v>216</v>
      </c>
    </row>
    <row r="24" customFormat="false" ht="15" hidden="false" customHeight="true" outlineLevel="0" collapsed="false">
      <c r="A24" s="1" t="s">
        <v>217</v>
      </c>
      <c r="B24" s="1" t="s">
        <v>218</v>
      </c>
    </row>
    <row r="25" customFormat="false" ht="15" hidden="false" customHeight="true" outlineLevel="0" collapsed="false">
      <c r="A25" s="1" t="s">
        <v>219</v>
      </c>
      <c r="B25" s="1" t="s">
        <v>220</v>
      </c>
    </row>
    <row r="26" customFormat="false" ht="15" hidden="false" customHeight="true" outlineLevel="0" collapsed="false">
      <c r="A26" s="1" t="s">
        <v>221</v>
      </c>
      <c r="B26" s="1" t="s">
        <v>222</v>
      </c>
      <c r="C26" s="1" t="s">
        <v>223</v>
      </c>
    </row>
    <row r="27" customFormat="false" ht="15" hidden="false" customHeight="true" outlineLevel="0" collapsed="false">
      <c r="A27" s="1" t="s">
        <v>224</v>
      </c>
      <c r="B27" s="1" t="s">
        <v>225</v>
      </c>
    </row>
    <row r="28" customFormat="false" ht="15" hidden="false" customHeight="true" outlineLevel="0" collapsed="false">
      <c r="A28" s="1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227</v>
      </c>
      <c r="B1" s="4" t="s">
        <v>228</v>
      </c>
    </row>
    <row r="2" customFormat="false" ht="15" hidden="false" customHeight="true" outlineLevel="0" collapsed="false">
      <c r="A2" s="1" t="s">
        <v>229</v>
      </c>
      <c r="B2" s="1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true" outlineLevel="0" collapsed="false">
      <c r="A3" s="1" t="s">
        <v>230</v>
      </c>
      <c r="B3" s="1" t="str">
        <f aca="false">IF('Annual CF'!D38&gt;=Inputs!$B$33-0.005,"OK","CHECK")</f>
        <v>OK</v>
      </c>
    </row>
    <row r="4" customFormat="false" ht="15" hidden="false" customHeight="true" outlineLevel="0" collapsed="false">
      <c r="A4" s="1" t="s">
        <v>231</v>
      </c>
      <c r="B4" s="1" t="str">
        <f aca="false">IF(AND(Inputs!$B$40&gt;=1,Inputs!$B$40&lt;=10),"OK","ERROR")</f>
        <v>OK</v>
      </c>
    </row>
    <row r="5" customFormat="false" ht="15" hidden="false" customHeight="true" outlineLevel="0" collapsed="false">
      <c r="A5" s="1" t="s">
        <v>232</v>
      </c>
      <c r="B5" s="1" t="str">
        <f aca="false">IF(ABS(SUM(Waterfall!D27:N27)+SUM(Waterfall!D28:N28)-SUMIFS('Annual CF'!D51:N51,'Annual CF'!D2:N2,"&gt;=1"))&lt;1,"OK","ERROR")</f>
        <v>OK</v>
      </c>
    </row>
    <row r="6" customFormat="false" ht="15" hidden="false" customHeight="true" outlineLevel="0" collapsed="false">
      <c r="A6" s="1" t="s">
        <v>233</v>
      </c>
      <c r="B6" s="1" t="str">
        <f aca="false">IF(INDEX('Annual CF'!C35:N35,MATCH(Inputs!$B$40,'Annual CF'!C2:N2,0))&gt;=0,"OK","ERROR")</f>
        <v>OK</v>
      </c>
    </row>
    <row r="7" customFormat="false" ht="15" hidden="false" customHeight="true" outlineLevel="0" collapsed="false">
      <c r="A7" s="1" t="s">
        <v>234</v>
      </c>
      <c r="B7" s="1" t="str">
        <f aca="false">IF('Annual CF'!D40&gt;=1.15,"OK","CHECK")</f>
        <v>OK</v>
      </c>
    </row>
    <row r="8" customFormat="false" ht="15" hidden="false" customHeight="true" outlineLevel="0" collapsed="false">
      <c r="A8" s="1" t="s">
        <v>235</v>
      </c>
      <c r="B8" s="1" t="str">
        <f aca="false">IF(Inputs!$B$36=0,"OK","CHECK")</f>
        <v>OK</v>
      </c>
    </row>
    <row r="9" customFormat="false" ht="15" hidden="false" customHeight="true" outlineLevel="0" collapsed="false">
      <c r="A9" s="1" t="s">
        <v>236</v>
      </c>
      <c r="B9" s="1" t="str">
        <f aca="false">IF(Inputs!$B$41&gt;=Inputs!$B$57-0.0001,"OK","CHECK")</f>
        <v>OK</v>
      </c>
    </row>
    <row r="10" customFormat="false" ht="15" hidden="false" customHeight="true" outlineLevel="0" collapsed="false">
      <c r="A10" s="1" t="s">
        <v>237</v>
      </c>
      <c r="B10" s="1" t="str">
        <f aca="false">IF(OR(Inputs!$F$14=0,AND(Inputs!$F$14&gt;=1,Inputs!$F$14&lt;Inputs!$B$40)),"OK","CHECK")</f>
        <v>OK</v>
      </c>
    </row>
    <row r="11" customFormat="false" ht="15" hidden="false" customHeight="true" outlineLevel="0" collapsed="false">
      <c r="A11" s="1" t="s">
        <v>238</v>
      </c>
      <c r="B11" s="1" t="str">
        <f aca="false">IF(OR(Inputs!$F$14=0,Inputs!$F$24&lt;=Inputs!$F$23*Inputs!$F$16+1),"OK","CHECK")</f>
        <v>OK</v>
      </c>
    </row>
    <row r="12" customFormat="false" ht="15" hidden="false" customHeight="true" outlineLevel="0" collapsed="false">
      <c r="A12" s="1" t="s">
        <v>239</v>
      </c>
      <c r="B12" s="1" t="str">
        <f aca="false">IF(Inputs!$F$31&lt;=Inputs!$B$5,"OK","ERROR")</f>
        <v>OK</v>
      </c>
    </row>
    <row r="13" customFormat="false" ht="15" hidden="false" customHeight="true" outlineLevel="0" collapsed="false">
      <c r="A13" s="1" t="s">
        <v>240</v>
      </c>
      <c r="B13" s="1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2026-08-09T14:49:54Z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