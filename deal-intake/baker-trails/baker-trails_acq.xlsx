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5.xml" ContentType="application/vnd.openxmlformats-officedocument.spreadsheetml.worksheet+xml"/>
  <Override PartName="/xl/worksheets/sheet3.xml" ContentType="application/vnd.openxmlformats-officedocument.spreadsheetml.worksheet+xml"/>
  <Override PartName="/xl/worksheets/sheet6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Read Me" sheetId="1" state="visible" r:id="rId3"/>
    <sheet name="Inputs" sheetId="2" state="visible" r:id="rId4"/>
    <sheet name="Annual CF" sheetId="3" state="visible" r:id="rId5"/>
    <sheet name="Waterfall" sheetId="4" state="visible" r:id="rId6"/>
    <sheet name="Sensitivity" sheetId="5" state="visible" r:id="rId7"/>
    <sheet name="Stoa Benchmarks" sheetId="6" state="visible" r:id="rId8"/>
    <sheet name="Checks" sheetId="7" state="visible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<sst xmlns="http://schemas.openxmlformats.org/spreadsheetml/2006/main" count="267" uniqueCount="242">
  <si>
    <t xml:space="preserve">MULTIFAMILY ACQUISITION MODEL</t>
  </si>
  <si>
    <t xml:space="preserve">Original model. Mechanics mirror standard institutional development/acquisition underwriting</t>
  </si>
  <si>
    <t xml:space="preserve">(same equation structure as the Stoa-era model you provided), rebuilt from scratch.</t>
  </si>
  <si>
    <t xml:space="preserve">HOW TO USE:</t>
  </si>
  <si>
    <t xml:space="preserve">1. Enter values ONLY in blue-font cells on the Inputs tab. Yellow cells are the key drivers.</t>
  </si>
  <si>
    <t xml:space="preserve">2. All other cells are formulas - do not overwrite.</t>
  </si>
  <si>
    <t xml:space="preserve">3. Check the Checks tab: all cells in column B should read OK.</t>
  </si>
  <si>
    <t xml:space="preserve">4. Forecast runs 11 years so a 10-year hold still has forward NOI for exit pricing.</t>
  </si>
  <si>
    <t xml:space="preserve">5. Sale price convention: forward (next-year) NOI divided by exit cap rate.</t>
  </si>
  <si>
    <t xml:space="preserve">6. Loan is sized to the LESSER of Max LTV and Min DSCR constraint - matches bank sizing.</t>
  </si>
  <si>
    <t xml:space="preserve">7. Waterfall: LP preferred return (cumulative, non-compounding annually) -&gt; LP return of</t>
  </si>
  <si>
    <t xml:space="preserve">   capital -&gt; GP return of capital -&gt; residual split LP/GP. Set LP% = 100% if the investor</t>
  </si>
  <si>
    <t xml:space="preserve">   funds all equity.</t>
  </si>
  <si>
    <t xml:space="preserve">Assumption provenance and every change vs. the Stoa-era model: see Stoa Benchmarks tab.</t>
  </si>
  <si>
    <t xml:space="preserve">ACQUISITION</t>
  </si>
  <si>
    <t xml:space="preserve">RENT ROLL (in-place)</t>
  </si>
  <si>
    <t xml:space="preserve">Purchase Price</t>
  </si>
  <si>
    <t xml:space="preserve"># Units</t>
  </si>
  <si>
    <t xml:space="preserve">Unit Type</t>
  </si>
  <si>
    <t xml:space="preserve">SF</t>
  </si>
  <si>
    <t xml:space="preserve">Rent/Month</t>
  </si>
  <si>
    <t xml:space="preserve">Rent/SF</t>
  </si>
  <si>
    <t xml:space="preserve">Closing Costs (% of Price)</t>
  </si>
  <si>
    <t xml:space="preserve">2 BR/ 1 BA</t>
  </si>
  <si>
    <t xml:space="preserve">Loan Fee (% of Loan)</t>
  </si>
  <si>
    <t xml:space="preserve">3 BR/ 1 BA</t>
  </si>
  <si>
    <t xml:space="preserve">Total Units</t>
  </si>
  <si>
    <t xml:space="preserve">BR/BA</t>
  </si>
  <si>
    <t xml:space="preserve">Price / Unit</t>
  </si>
  <si>
    <t xml:space="preserve">INCOME</t>
  </si>
  <si>
    <t xml:space="preserve">Vacancy %</t>
  </si>
  <si>
    <t xml:space="preserve">Bad Debt %</t>
  </si>
  <si>
    <t xml:space="preserve">Concessions %</t>
  </si>
  <si>
    <t xml:space="preserve">Other Income ($/Unit/Month)</t>
  </si>
  <si>
    <t xml:space="preserve">Rent Growth (Annual)</t>
  </si>
  <si>
    <t xml:space="preserve">REFINANCE  (Refi Year 0 = none)</t>
  </si>
  <si>
    <t xml:space="preserve">Other Income Growth (Annual)</t>
  </si>
  <si>
    <t xml:space="preserve">Refi Year (0 = none)</t>
  </si>
  <si>
    <t xml:space="preserve">Refi Valuation Cap Rate</t>
  </si>
  <si>
    <t xml:space="preserve">OPERATING EXPENSES ($/Unit/Year)</t>
  </si>
  <si>
    <t xml:space="preserve">Refi LTV</t>
  </si>
  <si>
    <t xml:space="preserve">Payroll (0 for small props - see Benchmarks)</t>
  </si>
  <si>
    <t xml:space="preserve">Refi Min DSCR</t>
  </si>
  <si>
    <t xml:space="preserve">General &amp; Administrative</t>
  </si>
  <si>
    <t xml:space="preserve">Refi Interest Rate</t>
  </si>
  <si>
    <t xml:space="preserve">Marketing</t>
  </si>
  <si>
    <t xml:space="preserve">Refi Amortization (Years)</t>
  </si>
  <si>
    <t xml:space="preserve">Repairs &amp; Maintenance</t>
  </si>
  <si>
    <t xml:space="preserve">Refi Cost (% of New Loan)</t>
  </si>
  <si>
    <t xml:space="preserve">Contract Services</t>
  </si>
  <si>
    <t xml:space="preserve">Utilities</t>
  </si>
  <si>
    <t xml:space="preserve">COMPUTED REFI (do not edit)</t>
  </si>
  <si>
    <t xml:space="preserve">Other</t>
  </si>
  <si>
    <t xml:space="preserve">Refi Value (NOI / Val Cap)</t>
  </si>
  <si>
    <t xml:space="preserve">Insurance</t>
  </si>
  <si>
    <t xml:space="preserve">New Loan Amount</t>
  </si>
  <si>
    <t xml:space="preserve">Property Taxes (Annual $, total)</t>
  </si>
  <si>
    <t xml:space="preserve">Old Loan Payoff at Refi</t>
  </si>
  <si>
    <t xml:space="preserve">Property Management Fee (% of EGR)</t>
  </si>
  <si>
    <t xml:space="preserve">Refi Costs</t>
  </si>
  <si>
    <t xml:space="preserve">Asset Management Fee (% of EGR)</t>
  </si>
  <si>
    <t xml:space="preserve">Net Cash-Out at Refi</t>
  </si>
  <si>
    <t xml:space="preserve">Capital Expense Reserve ($/Unit/Year)</t>
  </si>
  <si>
    <t xml:space="preserve">New Monthly Payment</t>
  </si>
  <si>
    <t xml:space="preserve">Expense Growth (Annual)</t>
  </si>
  <si>
    <t xml:space="preserve">VALUE-ADD / RENOVATION  (0 units = none)</t>
  </si>
  <si>
    <t xml:space="preserve">DEBT</t>
  </si>
  <si>
    <t xml:space="preserve">Units to Renovate</t>
  </si>
  <si>
    <t xml:space="preserve">Max Loan-To-Value (LTV)</t>
  </si>
  <si>
    <t xml:space="preserve">Renovation Cost per Unit</t>
  </si>
  <si>
    <t xml:space="preserve">Min DSCR (Lender Constraint)</t>
  </si>
  <si>
    <t xml:space="preserve">Rent Premium per Unit / Month</t>
  </si>
  <si>
    <t xml:space="preserve">Interest Rate (Fixed)</t>
  </si>
  <si>
    <t xml:space="preserve">Units Renovated per Year</t>
  </si>
  <si>
    <t xml:space="preserve">Amortization (Years)</t>
  </si>
  <si>
    <t xml:space="preserve">Downtime Months per Turn</t>
  </si>
  <si>
    <t xml:space="preserve">Interest-Only Period (Years)</t>
  </si>
  <si>
    <t xml:space="preserve">Renovation Start Year</t>
  </si>
  <si>
    <t xml:space="preserve">Total Renovation Budget</t>
  </si>
  <si>
    <t xml:space="preserve">EXIT</t>
  </si>
  <si>
    <t xml:space="preserve">Years to Complete</t>
  </si>
  <si>
    <t xml:space="preserve">Hold Period (Years, 1-10)</t>
  </si>
  <si>
    <t xml:space="preserve">Exit Cap Rate</t>
  </si>
  <si>
    <t xml:space="preserve">Cost of Sale (% of Sale Price)</t>
  </si>
  <si>
    <t xml:space="preserve">EQUITY / INVESTOR STRUCTURE</t>
  </si>
  <si>
    <t xml:space="preserve">LP (Investor) % of Equity</t>
  </si>
  <si>
    <t xml:space="preserve">GP (You) % of Equity</t>
  </si>
  <si>
    <t xml:space="preserve">LP Preferred Return (Annual)</t>
  </si>
  <si>
    <t xml:space="preserve">Residual Split - LP %</t>
  </si>
  <si>
    <t xml:space="preserve">Residual Split - GP %</t>
  </si>
  <si>
    <t xml:space="preserve">COMPUTED (do not edit)</t>
  </si>
  <si>
    <t xml:space="preserve">Loan Amount</t>
  </si>
  <si>
    <t xml:space="preserve">Monthly Debt Service Payment</t>
  </si>
  <si>
    <t xml:space="preserve">Total Equity Required</t>
  </si>
  <si>
    <t xml:space="preserve">LP Capital</t>
  </si>
  <si>
    <t xml:space="preserve">GP Capital</t>
  </si>
  <si>
    <t xml:space="preserve">Going-In Cap Rate (Yr1 NOI / Price)</t>
  </si>
  <si>
    <t xml:space="preserve">ANNUAL CASH FLOW</t>
  </si>
  <si>
    <t xml:space="preserve">Year</t>
  </si>
  <si>
    <t xml:space="preserve">Revenue</t>
  </si>
  <si>
    <t xml:space="preserve">Gross Potential Rent</t>
  </si>
  <si>
    <t xml:space="preserve">Physical Vacancy + Reno Downtime</t>
  </si>
  <si>
    <t xml:space="preserve">Bad Debt</t>
  </si>
  <si>
    <t xml:space="preserve">Concessions</t>
  </si>
  <si>
    <t xml:space="preserve">Net Rental Income</t>
  </si>
  <si>
    <t xml:space="preserve">Other Income</t>
  </si>
  <si>
    <t xml:space="preserve">Effective Gross Revenue</t>
  </si>
  <si>
    <t xml:space="preserve">Expenses</t>
  </si>
  <si>
    <t xml:space="preserve">Payroll</t>
  </si>
  <si>
    <t xml:space="preserve">Property Taxes</t>
  </si>
  <si>
    <t xml:space="preserve">Property Management Fee</t>
  </si>
  <si>
    <t xml:space="preserve">Total Operating Expenses</t>
  </si>
  <si>
    <t xml:space="preserve">Net Operating Income</t>
  </si>
  <si>
    <t xml:space="preserve">Capital Expense Reserve</t>
  </si>
  <si>
    <t xml:space="preserve">Asset Management Fee</t>
  </si>
  <si>
    <t xml:space="preserve">Cash Flow Before Debt Service</t>
  </si>
  <si>
    <t xml:space="preserve">Debt Service</t>
  </si>
  <si>
    <t xml:space="preserve">Beginning Loan Balance</t>
  </si>
  <si>
    <t xml:space="preserve">Interest Payment</t>
  </si>
  <si>
    <t xml:space="preserve">Principal Payment</t>
  </si>
  <si>
    <t xml:space="preserve">Total Debt Service</t>
  </si>
  <si>
    <t xml:space="preserve">Ending Loan Balance</t>
  </si>
  <si>
    <t xml:space="preserve">Cash Flow After Debt Service</t>
  </si>
  <si>
    <t xml:space="preserve">DSCR</t>
  </si>
  <si>
    <t xml:space="preserve">Cash-on-Cash Return</t>
  </si>
  <si>
    <t xml:space="preserve">DSCR (after capex reserve)</t>
  </si>
  <si>
    <t xml:space="preserve">Acquisition &amp; Sale</t>
  </si>
  <si>
    <t xml:space="preserve">Closing Costs</t>
  </si>
  <si>
    <t xml:space="preserve">Loan Fees</t>
  </si>
  <si>
    <t xml:space="preserve">Loan Proceeds</t>
  </si>
  <si>
    <t xml:space="preserve">Sale Price (Fwd NOI / Exit Cap)</t>
  </si>
  <si>
    <t xml:space="preserve">Cost of Sale</t>
  </si>
  <si>
    <t xml:space="preserve">Loan Payoff</t>
  </si>
  <si>
    <t xml:space="preserve">Refi Proceeds (net of costs)</t>
  </si>
  <si>
    <t xml:space="preserve">Unlevered Net Cash Flow</t>
  </si>
  <si>
    <t xml:space="preserve">Levered Net Cash Flow</t>
  </si>
  <si>
    <t xml:space="preserve">Renovation Budget (funded at close)</t>
  </si>
  <si>
    <t xml:space="preserve">RETURNS (Project Level)</t>
  </si>
  <si>
    <t xml:space="preserve">Unlevered IRR</t>
  </si>
  <si>
    <t xml:space="preserve">Levered IRR</t>
  </si>
  <si>
    <t xml:space="preserve">Equity Multiple</t>
  </si>
  <si>
    <t xml:space="preserve">Total Profit</t>
  </si>
  <si>
    <t xml:space="preserve">Avg Cash-on-Cash (Hold Yrs)</t>
  </si>
  <si>
    <t xml:space="preserve">Avg DSCR (Hold Yrs)</t>
  </si>
  <si>
    <t xml:space="preserve">RENOVATION DETAIL</t>
  </si>
  <si>
    <t xml:space="preserve">Units Renovated (cumulative)</t>
  </si>
  <si>
    <t xml:space="preserve">Rent Premium Captured</t>
  </si>
  <si>
    <t xml:space="preserve">Downtime Loss</t>
  </si>
  <si>
    <t xml:space="preserve">LP / GP DISTRIBUTION WATERFALL (Annual)</t>
  </si>
  <si>
    <t xml:space="preserve">Distributable Cash Flow</t>
  </si>
  <si>
    <t xml:space="preserve">TIER 1: LP Preferred Return</t>
  </si>
  <si>
    <t xml:space="preserve">Pref Owed - Beginning</t>
  </si>
  <si>
    <t xml:space="preserve">Pref Accrual</t>
  </si>
  <si>
    <t xml:space="preserve">Pref Paid to LP</t>
  </si>
  <si>
    <t xml:space="preserve">Pref Owed - Ending</t>
  </si>
  <si>
    <t xml:space="preserve">TIER 2: Return of Capital</t>
  </si>
  <si>
    <t xml:space="preserve">LP Unreturned Capital - Beg</t>
  </si>
  <si>
    <t xml:space="preserve">LP Return of Capital</t>
  </si>
  <si>
    <t xml:space="preserve">LP Unreturned Capital - End</t>
  </si>
  <si>
    <t xml:space="preserve">GP Unreturned Capital - Beg</t>
  </si>
  <si>
    <t xml:space="preserve">GP Return of Capital</t>
  </si>
  <si>
    <t xml:space="preserve">GP Unreturned Capital - End</t>
  </si>
  <si>
    <t xml:space="preserve">TIER 3: Residual Split</t>
  </si>
  <si>
    <t xml:space="preserve">Residual Cash Flow</t>
  </si>
  <si>
    <t xml:space="preserve">LP Residual Share</t>
  </si>
  <si>
    <t xml:space="preserve">GP Residual Share</t>
  </si>
  <si>
    <t xml:space="preserve">LP Net Cash Flow</t>
  </si>
  <si>
    <t xml:space="preserve">GP Net Cash Flow</t>
  </si>
  <si>
    <t xml:space="preserve">LP IRR</t>
  </si>
  <si>
    <t xml:space="preserve">LP Equity Multiple</t>
  </si>
  <si>
    <t xml:space="preserve">LP Total Profit</t>
  </si>
  <si>
    <t xml:space="preserve">GP IRR</t>
  </si>
  <si>
    <t xml:space="preserve">GP Equity Multiple</t>
  </si>
  <si>
    <t xml:space="preserve">GP Total Profit</t>
  </si>
  <si>
    <t xml:space="preserve">EXIT CAP RATE SENSITIVITY (at chosen Hold Period)</t>
  </si>
  <si>
    <t xml:space="preserve">Forward NOI at Exit</t>
  </si>
  <si>
    <t xml:space="preserve">Loan Payoff at Exit</t>
  </si>
  <si>
    <t xml:space="preserve">Cum. CF After Debt Svc (Hold Yrs)</t>
  </si>
  <si>
    <t xml:space="preserve">Total Equity</t>
  </si>
  <si>
    <t xml:space="preserve">Exit Cap</t>
  </si>
  <si>
    <t xml:space="preserve">Sale Price</t>
  </si>
  <si>
    <t xml:space="preserve">Net Sale Proceeds</t>
  </si>
  <si>
    <t xml:space="preserve">STOA-ERA MODEL ASSUMPTIONS (exact) AND WHAT THIS MODEL CHANGED</t>
  </si>
  <si>
    <t xml:space="preserve">OPERATING EXPENSES ($/Unit/Yr) - from Waters at Hammond &amp; Manhattan budgets</t>
  </si>
  <si>
    <t xml:space="preserve">Line Item</t>
  </si>
  <si>
    <t xml:space="preserve">Hammond</t>
  </si>
  <si>
    <t xml:space="preserve">Manhattan</t>
  </si>
  <si>
    <t xml:space="preserve">Average (their formula: =AVERAGE)</t>
  </si>
  <si>
    <t xml:space="preserve">THEIR MODEL SETTINGS (exact)</t>
  </si>
  <si>
    <t xml:space="preserve">Vacancy 7% | at Refi 7%</t>
  </si>
  <si>
    <t xml:space="preserve">Rent Growth 2%/yr</t>
  </si>
  <si>
    <t xml:space="preserve">Expense Growth 1%/yr</t>
  </si>
  <si>
    <t xml:space="preserve">Capex Reserve $250/unit/yr</t>
  </si>
  <si>
    <t xml:space="preserve">Mgmt Fee 3% of EGR (self-managed at scale)</t>
  </si>
  <si>
    <t xml:space="preserve">Asset Mgmt Fee 1% of NRI</t>
  </si>
  <si>
    <t xml:space="preserve">Bad Debt/Concessions inside vacancy</t>
  </si>
  <si>
    <t xml:space="preserve">Other income itemized (valet trash, late fees, pet rent/fees, admin, carport, termination)</t>
  </si>
  <si>
    <t xml:space="preserve">Construction: LTC 75%, WSJ Prime + 0.50%</t>
  </si>
  <si>
    <t xml:space="preserve">Loan fee $95,000 flat</t>
  </si>
  <si>
    <t xml:space="preserve">Hard cost = $122.23/SF x NRSF + $1,000,000</t>
  </si>
  <si>
    <t xml:space="preserve">Contingency: 10% hard / 2% soft; GC Overhead 5%</t>
  </si>
  <si>
    <t xml:space="preserve">GC Profit 4% | Developer Fee 3.5% + 0.5% (taken as in-kind equity)</t>
  </si>
  <si>
    <t xml:space="preserve">Impact fees $4,127/unit</t>
  </si>
  <si>
    <t xml:space="preserve">Draw curve: normal distribution, SD 6 (hard) / 10 (soft)</t>
  </si>
  <si>
    <t xml:space="preserve">Lease-up 14 months; ~20.6 units/month (288 units)</t>
  </si>
  <si>
    <t xml:space="preserve">Perm: FHA 223(f) refi at month 33</t>
  </si>
  <si>
    <t xml:space="preserve">Valuation cap 5.5%; LTV 75%; DSCR ~1.185 going-in</t>
  </si>
  <si>
    <t xml:space="preserve">420-month amortization; MIP 0.25%</t>
  </si>
  <si>
    <t xml:space="preserve">Perm fee ~2.14% of proceeds</t>
  </si>
  <si>
    <t xml:space="preserve">Exit: sell at 6.5% cap on forward NOI</t>
  </si>
  <si>
    <t xml:space="preserve">Cost of sale 0.75%</t>
  </si>
  <si>
    <t xml:space="preserve">Sell-or-Hold toggle</t>
  </si>
  <si>
    <t xml:space="preserve">Waterfall: 8% pref; hurdles 10%/12%; promote 10/20/30; GP/LP splits</t>
  </si>
  <si>
    <t xml:space="preserve">CHANGES MADE IN THIS MODEL AND WHY</t>
  </si>
  <si>
    <t xml:space="preserve">Insurance: $1,164 -&gt; $2,000/unit default</t>
  </si>
  <si>
    <t xml:space="preserve">Louisiana insurance costs escalated sharply post-2022; LA is the 3rd most expensive insurance state. Update per actual quote every deal.</t>
  </si>
  <si>
    <t xml:space="preserve">Expense growth: 1% -&gt; 2.5%</t>
  </si>
  <si>
    <t xml:space="preserve">1% was aggressive; recent expense inflation (insurance, labor) runs above rents. Conservative default.</t>
  </si>
  <si>
    <t xml:space="preserve">Mgmt fee: 3% -&gt; 8%</t>
  </si>
  <si>
    <t xml:space="preserve">Stoa self-managed 300+ unit assets. Third-party management on &lt;50 units typically runs 7-10% of collections.</t>
  </si>
  <si>
    <t xml:space="preserve">Cost of sale: 0.75% -&gt; 3%</t>
  </si>
  <si>
    <t xml:space="preserve">Stoa sold $30M+ assets off-market. Small multifamily sells with brokerage: 2-5% typical.</t>
  </si>
  <si>
    <t xml:space="preserve">Expense levels escalated ~3%/yr from their ~2023 budgets</t>
  </si>
  <si>
    <t xml:space="preserve">Payroll 1569-&gt;1715, G&amp;A 438-&gt;480, Mktg 379-&gt;415, R&amp;M 472-&gt;515, Util 692-&gt;755, Other 95-&gt;105.</t>
  </si>
  <si>
    <t xml:space="preserve">Note: on very small properties (&lt;10 units) payroll is usually $0 (no on-site staff; covered by mgmt fee). Zero it out when appropriate.</t>
  </si>
  <si>
    <t xml:space="preserve">Rate defaults: WSJ Prime = 6.75% (as of Dec 11, 2025)</t>
  </si>
  <si>
    <t xml:space="preserve">Bank acquisition debt default 6.75% fixed. Replace with your actual quote.</t>
  </si>
  <si>
    <t xml:space="preserve">All other equation structures preserved: forward-NOI exit pricing, DSCR/LTV loan sizing, pref-then-ROC-then-split waterfall, fixed/variable expense logic (Development model), bell-curve draws (Development model).</t>
  </si>
  <si>
    <t xml:space="preserve">Check</t>
  </si>
  <si>
    <t xml:space="preserve">Status</t>
  </si>
  <si>
    <t xml:space="preserve">Sources = Uses (Loan + Equity = Price + Closing + Fees + Renovation)</t>
  </si>
  <si>
    <t xml:space="preserve">Year 1 DSCR meets lender minimum</t>
  </si>
  <si>
    <t xml:space="preserve">Hold period within 1-10 years</t>
  </si>
  <si>
    <t xml:space="preserve">Waterfall distributions = project levered CF (yrs 1+)</t>
  </si>
  <si>
    <t xml:space="preserve">Loan balance non-negative at exit</t>
  </si>
  <si>
    <t xml:space="preserve">Post-reserve DSCR &gt;= 1.15 (lender view, net of replacement reserves)</t>
  </si>
  <si>
    <t xml:space="preserve">No balloon at maturity (an interest-only period leaves one)</t>
  </si>
  <si>
    <t xml:space="preserve">Exit cap not below going-in cap (compression is an unearned assumption)</t>
  </si>
  <si>
    <t xml:space="preserve">Refi year (if any) falls inside the hold period</t>
  </si>
  <si>
    <t xml:space="preserve">Refi loan does not exceed the refi valuation</t>
  </si>
  <si>
    <t xml:space="preserve">Renovation unit count does not exceed the property</t>
  </si>
  <si>
    <t xml:space="preserve">Renovation finishes inside the hold period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</si>
</sst>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\$#,##0;&quot;($&quot;#,##0\);\-"/>
    <numFmt numFmtId="166" formatCode="0.0%"/>
    <numFmt numFmtId="167" formatCode="0.00"/>
    <numFmt numFmtId="168" formatCode="#,##0"/>
    <numFmt numFmtId="169" formatCode="0.00%"/>
    <numFmt numFmtId="170" formatCode="0.00\x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sz val="11"/>
      <color rgb="FF000000"/>
      <name val="Arial"/>
      <family val="0"/>
      <charset val="1"/>
    </font>
    <font>
      <b val="true"/>
      <sz val="11"/>
      <name val="Arial"/>
      <family val="0"/>
      <charset val="1"/>
    </font>
    <font>
      <sz val="11"/>
      <color rgb="FF0000FF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1"/>
      <color rgb="FF008000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404040"/>
        <bgColor rgb="FF33330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7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7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9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9" fontId="7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9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0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0" fillId="2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70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70" fontId="0" fillId="2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40404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1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100"/>
  </cols>
  <sheetData>
    <row r="1" customFormat="false" ht="17.25" hidden="false" customHeight="true" outlineLevel="0" collapsed="false">
      <c r="A1" s="2" t="s">
        <v>0</v>
      </c>
    </row>
    <row r="3" customFormat="false" ht="15" hidden="false" customHeight="true" outlineLevel="0" collapsed="false">
      <c r="A3" s="3" t="s">
        <v>1</v>
      </c>
    </row>
    <row r="4" customFormat="false" ht="15" hidden="false" customHeight="true" outlineLevel="0" collapsed="false">
      <c r="A4" s="3" t="s">
        <v>2</v>
      </c>
    </row>
    <row r="5" customFormat="false" ht="15" hidden="false" customHeight="true" outlineLevel="0" collapsed="false">
      <c r="A5" s="3"/>
    </row>
    <row r="6" customFormat="false" ht="15" hidden="false" customHeight="true" outlineLevel="0" collapsed="false">
      <c r="A6" s="3" t="s">
        <v>3</v>
      </c>
    </row>
    <row r="7" customFormat="false" ht="15" hidden="false" customHeight="true" outlineLevel="0" collapsed="false">
      <c r="A7" s="3" t="s">
        <v>4</v>
      </c>
    </row>
    <row r="8" customFormat="false" ht="15" hidden="false" customHeight="true" outlineLevel="0" collapsed="false">
      <c r="A8" s="3" t="s">
        <v>5</v>
      </c>
    </row>
    <row r="9" customFormat="false" ht="15" hidden="false" customHeight="true" outlineLevel="0" collapsed="false">
      <c r="A9" s="3" t="s">
        <v>6</v>
      </c>
    </row>
    <row r="10" customFormat="false" ht="15" hidden="false" customHeight="true" outlineLevel="0" collapsed="false">
      <c r="A10" s="3" t="s">
        <v>7</v>
      </c>
    </row>
    <row r="11" customFormat="false" ht="15" hidden="false" customHeight="true" outlineLevel="0" collapsed="false">
      <c r="A11" s="3" t="s">
        <v>8</v>
      </c>
    </row>
    <row r="12" customFormat="false" ht="15" hidden="false" customHeight="true" outlineLevel="0" collapsed="false">
      <c r="A12" s="3" t="s">
        <v>9</v>
      </c>
    </row>
    <row r="13" customFormat="false" ht="15" hidden="false" customHeight="true" outlineLevel="0" collapsed="false">
      <c r="A13" s="3" t="s">
        <v>10</v>
      </c>
    </row>
    <row r="14" customFormat="false" ht="15" hidden="false" customHeight="true" outlineLevel="0" collapsed="false">
      <c r="A14" s="3" t="s">
        <v>11</v>
      </c>
    </row>
    <row r="15" customFormat="false" ht="15" hidden="false" customHeight="true" outlineLevel="0" collapsed="false">
      <c r="A15" s="3" t="s">
        <v>12</v>
      </c>
    </row>
    <row r="16" customFormat="false" ht="15" hidden="false" customHeight="true" outlineLevel="0" collapsed="false">
      <c r="A16" s="3"/>
    </row>
    <row r="17" customFormat="false" ht="15" hidden="false" customHeight="true" outlineLevel="0" collapsed="false">
      <c r="A17" s="3" t="s">
        <v>13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5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36"/>
    <col collapsed="false" customWidth="true" hidden="false" outlineLevel="0" max="2" min="2" style="1" width="14"/>
    <col collapsed="false" customWidth="true" hidden="false" outlineLevel="0" max="9" min="5" style="1" width="12"/>
  </cols>
  <sheetData>
    <row r="1" customFormat="false" ht="15" hidden="false" customHeight="true" outlineLevel="0" collapsed="false">
      <c r="A1" s="4" t="s">
        <v>14</v>
      </c>
      <c r="E1" s="4" t="s">
        <v>15</v>
      </c>
    </row>
    <row r="2" customFormat="false" ht="15" hidden="false" customHeight="true" outlineLevel="0" collapsed="false">
      <c r="A2" s="1" t="s">
        <v>16</v>
      </c>
      <c r="B2" s="5" t="n">
        <v>750000</v>
      </c>
      <c r="E2" s="6" t="s">
        <v>17</v>
      </c>
      <c r="F2" s="6" t="s">
        <v>18</v>
      </c>
      <c r="G2" s="6" t="s">
        <v>19</v>
      </c>
      <c r="H2" s="6" t="s">
        <v>20</v>
      </c>
      <c r="I2" s="6" t="s">
        <v>21</v>
      </c>
    </row>
    <row r="3" customFormat="false" ht="15" hidden="false" customHeight="true" outlineLevel="0" collapsed="false">
      <c r="A3" s="1" t="s">
        <v>22</v>
      </c>
      <c r="B3" s="7" t="n">
        <v>0.02</v>
      </c>
      <c r="E3" s="8" t="n">
        <v>9</v>
      </c>
      <c r="F3" s="8" t="s">
        <v>23</v>
      </c>
      <c r="G3" s="8" t="n">
        <v>700</v>
      </c>
      <c r="H3" s="9" t="n">
        <v>800</v>
      </c>
      <c r="I3" s="10" t="n">
        <f aca="false">IFERROR(H3/G3,0)</f>
        <v>1.14285714285714</v>
      </c>
    </row>
    <row r="4" customFormat="false" ht="15" hidden="false" customHeight="true" outlineLevel="0" collapsed="false">
      <c r="A4" s="1" t="s">
        <v>24</v>
      </c>
      <c r="B4" s="7" t="n">
        <v>0.01</v>
      </c>
      <c r="E4" s="8" t="n">
        <v>3</v>
      </c>
      <c r="F4" s="8" t="s">
        <v>25</v>
      </c>
      <c r="G4" s="8" t="n">
        <v>850</v>
      </c>
      <c r="H4" s="9" t="n">
        <v>900</v>
      </c>
      <c r="I4" s="10" t="n">
        <f aca="false">IFERROR(H4/G4,0)</f>
        <v>1.05882352941176</v>
      </c>
    </row>
    <row r="5" customFormat="false" ht="15" hidden="false" customHeight="true" outlineLevel="0" collapsed="false">
      <c r="A5" s="1" t="s">
        <v>26</v>
      </c>
      <c r="B5" s="11" t="n">
        <f aca="false">E11</f>
        <v>12</v>
      </c>
      <c r="E5" s="8" t="n">
        <v>0</v>
      </c>
      <c r="F5" s="8" t="s">
        <v>27</v>
      </c>
      <c r="G5" s="8" t="n">
        <v>0</v>
      </c>
      <c r="H5" s="9" t="n">
        <v>0</v>
      </c>
      <c r="I5" s="10" t="n">
        <f aca="false">IFERROR(H5/G5,0)</f>
        <v>0</v>
      </c>
    </row>
    <row r="6" customFormat="false" ht="15" hidden="false" customHeight="true" outlineLevel="0" collapsed="false">
      <c r="A6" s="1" t="s">
        <v>28</v>
      </c>
      <c r="B6" s="12" t="n">
        <f aca="false">IFERROR(B2/B5,0)</f>
        <v>62500</v>
      </c>
      <c r="E6" s="8" t="n">
        <v>0</v>
      </c>
      <c r="F6" s="8" t="s">
        <v>27</v>
      </c>
      <c r="G6" s="8" t="n">
        <v>0</v>
      </c>
      <c r="H6" s="9" t="n">
        <v>0</v>
      </c>
      <c r="I6" s="10" t="n">
        <f aca="false">IFERROR(H6/G6,0)</f>
        <v>0</v>
      </c>
    </row>
    <row r="7" customFormat="false" ht="15" hidden="false" customHeight="true" outlineLevel="0" collapsed="false">
      <c r="E7" s="8" t="n">
        <v>0</v>
      </c>
      <c r="F7" s="8" t="s">
        <v>27</v>
      </c>
      <c r="G7" s="8" t="n">
        <v>0</v>
      </c>
      <c r="H7" s="9" t="n">
        <v>0</v>
      </c>
      <c r="I7" s="10" t="n">
        <f aca="false">IFERROR(H7/G7,0)</f>
        <v>0</v>
      </c>
    </row>
    <row r="8" customFormat="false" ht="15" hidden="false" customHeight="true" outlineLevel="0" collapsed="false">
      <c r="A8" s="4" t="s">
        <v>29</v>
      </c>
      <c r="E8" s="8" t="n">
        <v>0</v>
      </c>
      <c r="F8" s="8" t="s">
        <v>27</v>
      </c>
      <c r="G8" s="8" t="n">
        <v>0</v>
      </c>
      <c r="H8" s="9" t="n">
        <v>0</v>
      </c>
      <c r="I8" s="10" t="n">
        <f aca="false">IFERROR(H8/G8,0)</f>
        <v>0</v>
      </c>
    </row>
    <row r="9" customFormat="false" ht="15" hidden="false" customHeight="true" outlineLevel="0" collapsed="false">
      <c r="A9" s="1" t="s">
        <v>30</v>
      </c>
      <c r="B9" s="7" t="n">
        <v>0.07</v>
      </c>
      <c r="E9" s="8" t="n">
        <v>0</v>
      </c>
      <c r="F9" s="8" t="s">
        <v>27</v>
      </c>
      <c r="G9" s="8" t="n">
        <v>0</v>
      </c>
      <c r="H9" s="9" t="n">
        <v>0</v>
      </c>
      <c r="I9" s="10" t="n">
        <f aca="false">IFERROR(H9/G9,0)</f>
        <v>0</v>
      </c>
    </row>
    <row r="10" customFormat="false" ht="15" hidden="false" customHeight="true" outlineLevel="0" collapsed="false">
      <c r="A10" s="1" t="s">
        <v>31</v>
      </c>
      <c r="B10" s="7" t="n">
        <v>0.005</v>
      </c>
      <c r="E10" s="8" t="n">
        <v>0</v>
      </c>
      <c r="F10" s="8" t="s">
        <v>27</v>
      </c>
      <c r="G10" s="8" t="n">
        <v>0</v>
      </c>
      <c r="H10" s="9" t="n">
        <v>0</v>
      </c>
      <c r="I10" s="10" t="n">
        <f aca="false">IFERROR(H10/G10,0)</f>
        <v>0</v>
      </c>
    </row>
    <row r="11" customFormat="false" ht="15" hidden="false" customHeight="true" outlineLevel="0" collapsed="false">
      <c r="A11" s="1" t="s">
        <v>32</v>
      </c>
      <c r="B11" s="7" t="n">
        <v>0.02</v>
      </c>
      <c r="E11" s="13" t="n">
        <f aca="false">SUM(E3:E10)</f>
        <v>12</v>
      </c>
      <c r="G11" s="14" t="n">
        <f aca="false">IFERROR(SUMPRODUCT(G3:G10,E3:E10)/E11,0)</f>
        <v>737.5</v>
      </c>
      <c r="H11" s="12" t="n">
        <f aca="false">IFERROR(SUMPRODUCT(H3:H10,E3:E10)/E11,0)</f>
        <v>825</v>
      </c>
      <c r="I11" s="10" t="n">
        <f aca="false">IFERROR(H11/G11,0)</f>
        <v>1.11864406779661</v>
      </c>
    </row>
    <row r="12" customFormat="false" ht="15" hidden="false" customHeight="true" outlineLevel="0" collapsed="false">
      <c r="A12" s="1" t="s">
        <v>33</v>
      </c>
      <c r="B12" s="9" t="n">
        <v>75</v>
      </c>
    </row>
    <row r="13" customFormat="false" ht="15" hidden="false" customHeight="true" outlineLevel="0" collapsed="false">
      <c r="A13" s="1" t="s">
        <v>34</v>
      </c>
      <c r="B13" s="7" t="n">
        <v>0.02</v>
      </c>
      <c r="E13" s="4" t="s">
        <v>35</v>
      </c>
    </row>
    <row r="14" customFormat="false" ht="15" hidden="false" customHeight="true" outlineLevel="0" collapsed="false">
      <c r="A14" s="1" t="s">
        <v>36</v>
      </c>
      <c r="B14" s="7" t="n">
        <v>0.02</v>
      </c>
      <c r="E14" s="1" t="s">
        <v>37</v>
      </c>
      <c r="F14" s="15" t="n">
        <v>0</v>
      </c>
    </row>
    <row r="15" customFormat="false" ht="15" hidden="false" customHeight="true" outlineLevel="0" collapsed="false">
      <c r="E15" s="1" t="s">
        <v>38</v>
      </c>
      <c r="F15" s="16" t="n">
        <v>0.07</v>
      </c>
    </row>
    <row r="16" customFormat="false" ht="15" hidden="false" customHeight="true" outlineLevel="0" collapsed="false">
      <c r="A16" s="4" t="s">
        <v>39</v>
      </c>
      <c r="E16" s="1" t="s">
        <v>40</v>
      </c>
      <c r="F16" s="7" t="n">
        <v>0.75</v>
      </c>
    </row>
    <row r="17" customFormat="false" ht="15" hidden="false" customHeight="true" outlineLevel="0" collapsed="false">
      <c r="A17" s="1" t="s">
        <v>41</v>
      </c>
      <c r="B17" s="9" t="n">
        <v>0</v>
      </c>
      <c r="E17" s="1" t="s">
        <v>42</v>
      </c>
      <c r="F17" s="17" t="n">
        <v>1.3</v>
      </c>
    </row>
    <row r="18" customFormat="false" ht="15" hidden="false" customHeight="true" outlineLevel="0" collapsed="false">
      <c r="A18" s="1" t="s">
        <v>43</v>
      </c>
      <c r="B18" s="9" t="n">
        <v>480</v>
      </c>
      <c r="E18" s="1" t="s">
        <v>44</v>
      </c>
      <c r="F18" s="16" t="n">
        <v>0.0675</v>
      </c>
    </row>
    <row r="19" customFormat="false" ht="15" hidden="false" customHeight="true" outlineLevel="0" collapsed="false">
      <c r="A19" s="1" t="s">
        <v>45</v>
      </c>
      <c r="B19" s="9" t="n">
        <v>415</v>
      </c>
      <c r="E19" s="1" t="s">
        <v>46</v>
      </c>
      <c r="F19" s="18" t="n">
        <v>25</v>
      </c>
    </row>
    <row r="20" customFormat="false" ht="15" hidden="false" customHeight="true" outlineLevel="0" collapsed="false">
      <c r="A20" s="1" t="s">
        <v>47</v>
      </c>
      <c r="B20" s="9" t="n">
        <v>515</v>
      </c>
      <c r="E20" s="1" t="s">
        <v>48</v>
      </c>
      <c r="F20" s="7" t="n">
        <v>0.02</v>
      </c>
    </row>
    <row r="21" customFormat="false" ht="15" hidden="false" customHeight="true" outlineLevel="0" collapsed="false">
      <c r="A21" s="1" t="s">
        <v>49</v>
      </c>
      <c r="B21" s="9" t="n">
        <v>0</v>
      </c>
    </row>
    <row r="22" customFormat="false" ht="15" hidden="false" customHeight="true" outlineLevel="0" collapsed="false">
      <c r="A22" s="1" t="s">
        <v>50</v>
      </c>
      <c r="B22" s="9" t="n">
        <v>755</v>
      </c>
      <c r="E22" s="4" t="s">
        <v>51</v>
      </c>
    </row>
    <row r="23" customFormat="false" ht="15" hidden="false" customHeight="true" outlineLevel="0" collapsed="false">
      <c r="A23" s="1" t="s">
        <v>52</v>
      </c>
      <c r="B23" s="9" t="n">
        <v>105</v>
      </c>
      <c r="E23" s="1" t="s">
        <v>53</v>
      </c>
      <c r="F23" s="12" t="n">
        <f aca="false">IFERROR(IF($F$14=0,0,INDEX('Annual CF'!C25:N25,MATCH($F$14,'Annual CF'!C2:N2,0))/$F$15),0)</f>
        <v>0</v>
      </c>
    </row>
    <row r="24" customFormat="false" ht="15" hidden="false" customHeight="true" outlineLevel="0" collapsed="false">
      <c r="A24" s="1" t="s">
        <v>54</v>
      </c>
      <c r="B24" s="9" t="n">
        <v>2000</v>
      </c>
      <c r="E24" s="1" t="s">
        <v>55</v>
      </c>
      <c r="F24" s="12" t="n">
        <f aca="false">IFERROR(IF($F$14=0,0,MIN($F$16*$F$23,PV($F$18/12,$F$19*12,-(INDEX('Annual CF'!C25:N25,MATCH($F$14,'Annual CF'!C2:N2,0))/$F$17)/12))),0)</f>
        <v>0</v>
      </c>
    </row>
    <row r="25" customFormat="false" ht="15" hidden="false" customHeight="true" outlineLevel="0" collapsed="false">
      <c r="A25" s="1" t="s">
        <v>56</v>
      </c>
      <c r="B25" s="5" t="n">
        <v>8160</v>
      </c>
      <c r="E25" s="1" t="s">
        <v>57</v>
      </c>
      <c r="F25" s="12" t="n">
        <f aca="false">IFERROR(IF($F$14=0,0,INDEX('Annual CF'!C35:N35,MATCH($F$14,'Annual CF'!C2:N2,0))),0)</f>
        <v>0</v>
      </c>
    </row>
    <row r="26" customFormat="false" ht="15" hidden="false" customHeight="true" outlineLevel="0" collapsed="false">
      <c r="A26" s="1" t="s">
        <v>58</v>
      </c>
      <c r="B26" s="7" t="n">
        <v>0.08</v>
      </c>
      <c r="E26" s="1" t="s">
        <v>59</v>
      </c>
      <c r="F26" s="12" t="n">
        <f aca="false">$F$24*$F$20</f>
        <v>0</v>
      </c>
    </row>
    <row r="27" customFormat="false" ht="15" hidden="false" customHeight="true" outlineLevel="0" collapsed="false">
      <c r="A27" s="1" t="s">
        <v>60</v>
      </c>
      <c r="B27" s="7" t="n">
        <v>0</v>
      </c>
      <c r="E27" s="1" t="s">
        <v>61</v>
      </c>
      <c r="F27" s="19" t="n">
        <f aca="false">$F$24-$F$25-$F$26</f>
        <v>0</v>
      </c>
    </row>
    <row r="28" customFormat="false" ht="15" hidden="false" customHeight="true" outlineLevel="0" collapsed="false">
      <c r="A28" s="1" t="s">
        <v>62</v>
      </c>
      <c r="B28" s="9" t="n">
        <v>250</v>
      </c>
      <c r="E28" s="1" t="s">
        <v>63</v>
      </c>
      <c r="F28" s="12" t="n">
        <f aca="false">IFERROR(IF($F$14=0,0,PMT($F$18/12,$F$19*12,-$F$24)),0)</f>
        <v>0</v>
      </c>
    </row>
    <row r="29" customFormat="false" ht="15" hidden="false" customHeight="true" outlineLevel="0" collapsed="false">
      <c r="A29" s="1" t="s">
        <v>64</v>
      </c>
      <c r="B29" s="7" t="n">
        <v>0.025</v>
      </c>
    </row>
    <row r="30" customFormat="false" ht="15" hidden="false" customHeight="true" outlineLevel="0" collapsed="false">
      <c r="E30" s="4" t="s">
        <v>65</v>
      </c>
    </row>
    <row r="31" customFormat="false" ht="15" hidden="false" customHeight="true" outlineLevel="0" collapsed="false">
      <c r="A31" s="4" t="s">
        <v>66</v>
      </c>
      <c r="E31" s="1" t="s">
        <v>67</v>
      </c>
      <c r="F31" s="15" t="n">
        <v>0</v>
      </c>
    </row>
    <row r="32" customFormat="false" ht="15" hidden="false" customHeight="true" outlineLevel="0" collapsed="false">
      <c r="A32" s="1" t="s">
        <v>68</v>
      </c>
      <c r="B32" s="7" t="n">
        <v>0.75</v>
      </c>
      <c r="E32" s="1" t="s">
        <v>69</v>
      </c>
      <c r="F32" s="9" t="n">
        <v>0</v>
      </c>
    </row>
    <row r="33" customFormat="false" ht="15" hidden="false" customHeight="true" outlineLevel="0" collapsed="false">
      <c r="A33" s="1" t="s">
        <v>70</v>
      </c>
      <c r="B33" s="17" t="n">
        <v>1.3</v>
      </c>
      <c r="E33" s="1" t="s">
        <v>71</v>
      </c>
      <c r="F33" s="5" t="n">
        <v>0</v>
      </c>
    </row>
    <row r="34" customFormat="false" ht="15" hidden="false" customHeight="true" outlineLevel="0" collapsed="false">
      <c r="A34" s="1" t="s">
        <v>72</v>
      </c>
      <c r="B34" s="20" t="n">
        <v>0.0675</v>
      </c>
      <c r="E34" s="1" t="s">
        <v>73</v>
      </c>
      <c r="F34" s="18" t="n">
        <v>0</v>
      </c>
    </row>
    <row r="35" customFormat="false" ht="15" hidden="false" customHeight="true" outlineLevel="0" collapsed="false">
      <c r="A35" s="1" t="s">
        <v>74</v>
      </c>
      <c r="B35" s="18" t="n">
        <v>25</v>
      </c>
      <c r="E35" s="1" t="s">
        <v>75</v>
      </c>
      <c r="F35" s="18" t="n">
        <v>1</v>
      </c>
    </row>
    <row r="36" customFormat="false" ht="15" hidden="false" customHeight="true" outlineLevel="0" collapsed="false">
      <c r="A36" s="1" t="s">
        <v>76</v>
      </c>
      <c r="B36" s="18" t="n">
        <v>0</v>
      </c>
      <c r="E36" s="1" t="s">
        <v>77</v>
      </c>
      <c r="F36" s="18" t="n">
        <v>1</v>
      </c>
    </row>
    <row r="38" customFormat="false" ht="15" hidden="false" customHeight="true" outlineLevel="0" collapsed="false">
      <c r="E38" s="1" t="s">
        <v>78</v>
      </c>
      <c r="F38" s="19" t="n">
        <f aca="false">$F$31*$F$32</f>
        <v>0</v>
      </c>
    </row>
    <row r="39" customFormat="false" ht="15" hidden="false" customHeight="true" outlineLevel="0" collapsed="false">
      <c r="A39" s="4" t="s">
        <v>79</v>
      </c>
      <c r="E39" s="1" t="s">
        <v>80</v>
      </c>
      <c r="F39" s="14" t="n">
        <f aca="false">IFERROR(ROUNDUP($F$31/$F$34,0),0)</f>
        <v>0</v>
      </c>
    </row>
    <row r="40" customFormat="false" ht="15" hidden="false" customHeight="true" outlineLevel="0" collapsed="false">
      <c r="A40" s="1" t="s">
        <v>81</v>
      </c>
      <c r="B40" s="15" t="n">
        <v>5</v>
      </c>
    </row>
    <row r="41" customFormat="false" ht="15" hidden="false" customHeight="true" outlineLevel="0" collapsed="false">
      <c r="A41" s="1" t="s">
        <v>82</v>
      </c>
      <c r="B41" s="20" t="n">
        <v>0.07</v>
      </c>
    </row>
    <row r="42" customFormat="false" ht="15" hidden="false" customHeight="true" outlineLevel="0" collapsed="false">
      <c r="A42" s="1" t="s">
        <v>83</v>
      </c>
      <c r="B42" s="7" t="n">
        <v>0.03</v>
      </c>
    </row>
    <row r="44" customFormat="false" ht="15" hidden="false" customHeight="true" outlineLevel="0" collapsed="false">
      <c r="A44" s="4" t="s">
        <v>84</v>
      </c>
    </row>
    <row r="45" customFormat="false" ht="15" hidden="false" customHeight="true" outlineLevel="0" collapsed="false">
      <c r="A45" s="1" t="s">
        <v>85</v>
      </c>
      <c r="B45" s="7" t="n">
        <v>0.9</v>
      </c>
    </row>
    <row r="46" customFormat="false" ht="15" hidden="false" customHeight="true" outlineLevel="0" collapsed="false">
      <c r="A46" s="1" t="s">
        <v>86</v>
      </c>
      <c r="B46" s="21" t="n">
        <f aca="false">1-B45</f>
        <v>0.1</v>
      </c>
    </row>
    <row r="47" customFormat="false" ht="15" hidden="false" customHeight="true" outlineLevel="0" collapsed="false">
      <c r="A47" s="1" t="s">
        <v>87</v>
      </c>
      <c r="B47" s="7" t="n">
        <v>0.08</v>
      </c>
    </row>
    <row r="48" customFormat="false" ht="15" hidden="false" customHeight="true" outlineLevel="0" collapsed="false">
      <c r="A48" s="1" t="s">
        <v>88</v>
      </c>
      <c r="B48" s="7" t="n">
        <v>0.7</v>
      </c>
    </row>
    <row r="49" customFormat="false" ht="15" hidden="false" customHeight="true" outlineLevel="0" collapsed="false">
      <c r="A49" s="1" t="s">
        <v>89</v>
      </c>
      <c r="B49" s="21" t="n">
        <f aca="false">1-B48</f>
        <v>0.3</v>
      </c>
    </row>
    <row r="51" customFormat="false" ht="15" hidden="false" customHeight="true" outlineLevel="0" collapsed="false">
      <c r="A51" s="4" t="s">
        <v>90</v>
      </c>
    </row>
    <row r="52" customFormat="false" ht="15" hidden="false" customHeight="true" outlineLevel="0" collapsed="false">
      <c r="A52" s="1" t="s">
        <v>91</v>
      </c>
      <c r="B52" s="12" t="n">
        <f aca="false">MIN(B32*B2, PV(B34/12, B35*12, -('Annual CF'!D25/B33)/12))</f>
        <v>452332.211950512</v>
      </c>
    </row>
    <row r="53" customFormat="false" ht="15" hidden="false" customHeight="true" outlineLevel="0" collapsed="false">
      <c r="A53" s="1" t="s">
        <v>92</v>
      </c>
      <c r="B53" s="12" t="n">
        <f aca="false">PMT(B34/12,B35*12,-B52)</f>
        <v>3125.21538461538</v>
      </c>
    </row>
    <row r="54" customFormat="false" ht="15" hidden="false" customHeight="true" outlineLevel="0" collapsed="false">
      <c r="A54" s="1" t="s">
        <v>93</v>
      </c>
      <c r="B54" s="19" t="n">
        <f aca="false">B2+B2*B3+B52*B4-B52+$F$38</f>
        <v>317191.110168993</v>
      </c>
    </row>
    <row r="55" customFormat="false" ht="15" hidden="false" customHeight="true" outlineLevel="0" collapsed="false">
      <c r="A55" s="1" t="s">
        <v>94</v>
      </c>
      <c r="B55" s="12" t="n">
        <f aca="false">B54*B45</f>
        <v>285471.999152094</v>
      </c>
    </row>
    <row r="56" customFormat="false" ht="15" hidden="false" customHeight="true" outlineLevel="0" collapsed="false">
      <c r="A56" s="1" t="s">
        <v>95</v>
      </c>
      <c r="B56" s="12" t="n">
        <f aca="false">B54-B55</f>
        <v>31719.1110168993</v>
      </c>
    </row>
    <row r="57" customFormat="false" ht="15" hidden="false" customHeight="true" outlineLevel="0" collapsed="false">
      <c r="A57" s="1" t="s">
        <v>96</v>
      </c>
      <c r="B57" s="22" t="n">
        <f aca="false">IFERROR('Annual CF'!D25/B2,0)</f>
        <v>0.06500448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6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2" min="2" style="1" width="32"/>
    <col collapsed="false" customWidth="true" hidden="false" outlineLevel="0" max="14" min="3" style="1" width="12"/>
  </cols>
  <sheetData>
    <row r="1" customFormat="false" ht="15" hidden="false" customHeight="true" outlineLevel="0" collapsed="false">
      <c r="A1" s="4" t="s">
        <v>97</v>
      </c>
    </row>
    <row r="2" customFormat="false" ht="15" hidden="false" customHeight="true" outlineLevel="0" collapsed="false">
      <c r="B2" s="4" t="s">
        <v>98</v>
      </c>
      <c r="C2" s="4" t="n">
        <v>0</v>
      </c>
      <c r="D2" s="4" t="n">
        <v>1</v>
      </c>
      <c r="E2" s="4" t="n">
        <v>2</v>
      </c>
      <c r="F2" s="4" t="n">
        <v>3</v>
      </c>
      <c r="G2" s="4" t="n">
        <v>4</v>
      </c>
      <c r="H2" s="4" t="n">
        <v>5</v>
      </c>
      <c r="I2" s="4" t="n">
        <v>6</v>
      </c>
      <c r="J2" s="4" t="n">
        <v>7</v>
      </c>
      <c r="K2" s="4" t="n">
        <v>8</v>
      </c>
      <c r="L2" s="4" t="n">
        <v>9</v>
      </c>
      <c r="M2" s="4" t="n">
        <v>10</v>
      </c>
      <c r="N2" s="4" t="n">
        <v>11</v>
      </c>
    </row>
    <row r="4" customFormat="false" ht="15" hidden="false" customHeight="true" outlineLevel="0" collapsed="false">
      <c r="B4" s="4" t="s">
        <v>99</v>
      </c>
    </row>
    <row r="5" customFormat="false" ht="15" hidden="false" customHeight="true" outlineLevel="0" collapsed="false">
      <c r="B5" s="3" t="s">
        <v>100</v>
      </c>
      <c r="D5" s="23" t="n">
        <f aca="false">(SUMPRODUCT(Inputs!$E$3:$E$10,Inputs!$H$3:$H$10)+MIN(Inputs!$F$31,MAX(0,(D$2-Inputs!$F$36+1)*Inputs!$F$34))*Inputs!$F$33)*12*(1+Inputs!$B$13)^(D$2-1)</f>
        <v>118800</v>
      </c>
      <c r="E5" s="23" t="n">
        <f aca="false">(SUMPRODUCT(Inputs!$E$3:$E$10,Inputs!$H$3:$H$10)+MIN(Inputs!$F$31,MAX(0,(E$2-Inputs!$F$36+1)*Inputs!$F$34))*Inputs!$F$33)*12*(1+Inputs!$B$13)^(E$2-1)</f>
        <v>121176</v>
      </c>
      <c r="F5" s="23" t="n">
        <f aca="false">(SUMPRODUCT(Inputs!$E$3:$E$10,Inputs!$H$3:$H$10)+MIN(Inputs!$F$31,MAX(0,(F$2-Inputs!$F$36+1)*Inputs!$F$34))*Inputs!$F$33)*12*(1+Inputs!$B$13)^(F$2-1)</f>
        <v>123599.52</v>
      </c>
      <c r="G5" s="23" t="n">
        <f aca="false">(SUMPRODUCT(Inputs!$E$3:$E$10,Inputs!$H$3:$H$10)+MIN(Inputs!$F$31,MAX(0,(G$2-Inputs!$F$36+1)*Inputs!$F$34))*Inputs!$F$33)*12*(1+Inputs!$B$13)^(G$2-1)</f>
        <v>126071.5104</v>
      </c>
      <c r="H5" s="23" t="n">
        <f aca="false">(SUMPRODUCT(Inputs!$E$3:$E$10,Inputs!$H$3:$H$10)+MIN(Inputs!$F$31,MAX(0,(H$2-Inputs!$F$36+1)*Inputs!$F$34))*Inputs!$F$33)*12*(1+Inputs!$B$13)^(H$2-1)</f>
        <v>128592.940608</v>
      </c>
      <c r="I5" s="23" t="n">
        <f aca="false">(SUMPRODUCT(Inputs!$E$3:$E$10,Inputs!$H$3:$H$10)+MIN(Inputs!$F$31,MAX(0,(I$2-Inputs!$F$36+1)*Inputs!$F$34))*Inputs!$F$33)*12*(1+Inputs!$B$13)^(I$2-1)</f>
        <v>131164.79942016</v>
      </c>
      <c r="J5" s="23" t="n">
        <f aca="false">(SUMPRODUCT(Inputs!$E$3:$E$10,Inputs!$H$3:$H$10)+MIN(Inputs!$F$31,MAX(0,(J$2-Inputs!$F$36+1)*Inputs!$F$34))*Inputs!$F$33)*12*(1+Inputs!$B$13)^(J$2-1)</f>
        <v>133788.095408563</v>
      </c>
      <c r="K5" s="23" t="n">
        <f aca="false">(SUMPRODUCT(Inputs!$E$3:$E$10,Inputs!$H$3:$H$10)+MIN(Inputs!$F$31,MAX(0,(K$2-Inputs!$F$36+1)*Inputs!$F$34))*Inputs!$F$33)*12*(1+Inputs!$B$13)^(K$2-1)</f>
        <v>136463.857316734</v>
      </c>
      <c r="L5" s="23" t="n">
        <f aca="false">(SUMPRODUCT(Inputs!$E$3:$E$10,Inputs!$H$3:$H$10)+MIN(Inputs!$F$31,MAX(0,(L$2-Inputs!$F$36+1)*Inputs!$F$34))*Inputs!$F$33)*12*(1+Inputs!$B$13)^(L$2-1)</f>
        <v>139193.134463069</v>
      </c>
      <c r="M5" s="23" t="n">
        <f aca="false">(SUMPRODUCT(Inputs!$E$3:$E$10,Inputs!$H$3:$H$10)+MIN(Inputs!$F$31,MAX(0,(M$2-Inputs!$F$36+1)*Inputs!$F$34))*Inputs!$F$33)*12*(1+Inputs!$B$13)^(M$2-1)</f>
        <v>141976.997152331</v>
      </c>
      <c r="N5" s="23" t="n">
        <f aca="false">(SUMPRODUCT(Inputs!$E$3:$E$10,Inputs!$H$3:$H$10)+MIN(Inputs!$F$31,MAX(0,(N$2-Inputs!$F$36+1)*Inputs!$F$34))*Inputs!$F$33)*12*(1+Inputs!$B$13)^(N$2-1)</f>
        <v>144816.537095377</v>
      </c>
    </row>
    <row r="6" customFormat="false" ht="15" hidden="false" customHeight="true" outlineLevel="0" collapsed="false">
      <c r="B6" s="3" t="s">
        <v>101</v>
      </c>
      <c r="D6" s="23" t="n">
        <f aca="false">-(D5*Inputs!$B$9+(MIN(Inputs!$F$31,MAX(0,(D$2-Inputs!$F$36+1)*Inputs!$F$34))-MIN(Inputs!$F$31,MAX(0,(D$2-Inputs!$F$36)*Inputs!$F$34)))*Inputs!$F$35*Inputs!$H$11*(1+Inputs!$B$13)^(D$2-1))</f>
        <v>-8316</v>
      </c>
      <c r="E6" s="23" t="n">
        <f aca="false">-(E5*Inputs!$B$9+(MIN(Inputs!$F$31,MAX(0,(E$2-Inputs!$F$36+1)*Inputs!$F$34))-MIN(Inputs!$F$31,MAX(0,(E$2-Inputs!$F$36)*Inputs!$F$34)))*Inputs!$F$35*Inputs!$H$11*(1+Inputs!$B$13)^(E$2-1))</f>
        <v>-8482.32</v>
      </c>
      <c r="F6" s="23" t="n">
        <f aca="false">-(F5*Inputs!$B$9+(MIN(Inputs!$F$31,MAX(0,(F$2-Inputs!$F$36+1)*Inputs!$F$34))-MIN(Inputs!$F$31,MAX(0,(F$2-Inputs!$F$36)*Inputs!$F$34)))*Inputs!$F$35*Inputs!$H$11*(1+Inputs!$B$13)^(F$2-1))</f>
        <v>-8651.9664</v>
      </c>
      <c r="G6" s="23" t="n">
        <f aca="false">-(G5*Inputs!$B$9+(MIN(Inputs!$F$31,MAX(0,(G$2-Inputs!$F$36+1)*Inputs!$F$34))-MIN(Inputs!$F$31,MAX(0,(G$2-Inputs!$F$36)*Inputs!$F$34)))*Inputs!$F$35*Inputs!$H$11*(1+Inputs!$B$13)^(G$2-1))</f>
        <v>-8825.005728</v>
      </c>
      <c r="H6" s="23" t="n">
        <f aca="false">-(H5*Inputs!$B$9+(MIN(Inputs!$F$31,MAX(0,(H$2-Inputs!$F$36+1)*Inputs!$F$34))-MIN(Inputs!$F$31,MAX(0,(H$2-Inputs!$F$36)*Inputs!$F$34)))*Inputs!$F$35*Inputs!$H$11*(1+Inputs!$B$13)^(H$2-1))</f>
        <v>-9001.50584256</v>
      </c>
      <c r="I6" s="23" t="n">
        <f aca="false">-(I5*Inputs!$B$9+(MIN(Inputs!$F$31,MAX(0,(I$2-Inputs!$F$36+1)*Inputs!$F$34))-MIN(Inputs!$F$31,MAX(0,(I$2-Inputs!$F$36)*Inputs!$F$34)))*Inputs!$F$35*Inputs!$H$11*(1+Inputs!$B$13)^(I$2-1))</f>
        <v>-9181.5359594112</v>
      </c>
      <c r="J6" s="23" t="n">
        <f aca="false">-(J5*Inputs!$B$9+(MIN(Inputs!$F$31,MAX(0,(J$2-Inputs!$F$36+1)*Inputs!$F$34))-MIN(Inputs!$F$31,MAX(0,(J$2-Inputs!$F$36)*Inputs!$F$34)))*Inputs!$F$35*Inputs!$H$11*(1+Inputs!$B$13)^(J$2-1))</f>
        <v>-9365.16667859943</v>
      </c>
      <c r="K6" s="23" t="n">
        <f aca="false">-(K5*Inputs!$B$9+(MIN(Inputs!$F$31,MAX(0,(K$2-Inputs!$F$36+1)*Inputs!$F$34))-MIN(Inputs!$F$31,MAX(0,(K$2-Inputs!$F$36)*Inputs!$F$34)))*Inputs!$F$35*Inputs!$H$11*(1+Inputs!$B$13)^(K$2-1))</f>
        <v>-9552.47001217141</v>
      </c>
      <c r="L6" s="23" t="n">
        <f aca="false">-(L5*Inputs!$B$9+(MIN(Inputs!$F$31,MAX(0,(L$2-Inputs!$F$36+1)*Inputs!$F$34))-MIN(Inputs!$F$31,MAX(0,(L$2-Inputs!$F$36)*Inputs!$F$34)))*Inputs!$F$35*Inputs!$H$11*(1+Inputs!$B$13)^(L$2-1))</f>
        <v>-9743.51941241484</v>
      </c>
      <c r="M6" s="23" t="n">
        <f aca="false">-(M5*Inputs!$B$9+(MIN(Inputs!$F$31,MAX(0,(M$2-Inputs!$F$36+1)*Inputs!$F$34))-MIN(Inputs!$F$31,MAX(0,(M$2-Inputs!$F$36)*Inputs!$F$34)))*Inputs!$F$35*Inputs!$H$11*(1+Inputs!$B$13)^(M$2-1))</f>
        <v>-9938.38980066314</v>
      </c>
      <c r="N6" s="23" t="n">
        <f aca="false">-(N5*Inputs!$B$9+(MIN(Inputs!$F$31,MAX(0,(N$2-Inputs!$F$36+1)*Inputs!$F$34))-MIN(Inputs!$F$31,MAX(0,(N$2-Inputs!$F$36)*Inputs!$F$34)))*Inputs!$F$35*Inputs!$H$11*(1+Inputs!$B$13)^(N$2-1))</f>
        <v>-10137.1575966764</v>
      </c>
    </row>
    <row r="7" customFormat="false" ht="15" hidden="false" customHeight="true" outlineLevel="0" collapsed="false">
      <c r="B7" s="3" t="s">
        <v>102</v>
      </c>
      <c r="D7" s="23" t="n">
        <f aca="false">-D5*Inputs!$B$10</f>
        <v>-594</v>
      </c>
      <c r="E7" s="23" t="n">
        <f aca="false">-E5*Inputs!$B$10</f>
        <v>-605.88</v>
      </c>
      <c r="F7" s="23" t="n">
        <f aca="false">-F5*Inputs!$B$10</f>
        <v>-617.9976</v>
      </c>
      <c r="G7" s="23" t="n">
        <f aca="false">-G5*Inputs!$B$10</f>
        <v>-630.357552</v>
      </c>
      <c r="H7" s="23" t="n">
        <f aca="false">-H5*Inputs!$B$10</f>
        <v>-642.96470304</v>
      </c>
      <c r="I7" s="23" t="n">
        <f aca="false">-I5*Inputs!$B$10</f>
        <v>-655.8239971008</v>
      </c>
      <c r="J7" s="23" t="n">
        <f aca="false">-J5*Inputs!$B$10</f>
        <v>-668.940477042816</v>
      </c>
      <c r="K7" s="23" t="n">
        <f aca="false">-K5*Inputs!$B$10</f>
        <v>-682.319286583672</v>
      </c>
      <c r="L7" s="23" t="n">
        <f aca="false">-L5*Inputs!$B$10</f>
        <v>-695.965672315346</v>
      </c>
      <c r="M7" s="23" t="n">
        <f aca="false">-M5*Inputs!$B$10</f>
        <v>-709.884985761653</v>
      </c>
      <c r="N7" s="23" t="n">
        <f aca="false">-N5*Inputs!$B$10</f>
        <v>-724.082685476886</v>
      </c>
    </row>
    <row r="8" customFormat="false" ht="15" hidden="false" customHeight="true" outlineLevel="0" collapsed="false">
      <c r="B8" s="3" t="s">
        <v>103</v>
      </c>
      <c r="D8" s="23" t="n">
        <f aca="false">-D5*Inputs!$B$11</f>
        <v>-2376</v>
      </c>
      <c r="E8" s="23" t="n">
        <f aca="false">-E5*Inputs!$B$11</f>
        <v>-2423.52</v>
      </c>
      <c r="F8" s="23" t="n">
        <f aca="false">-F5*Inputs!$B$11</f>
        <v>-2471.9904</v>
      </c>
      <c r="G8" s="23" t="n">
        <f aca="false">-G5*Inputs!$B$11</f>
        <v>-2521.430208</v>
      </c>
      <c r="H8" s="23" t="n">
        <f aca="false">-H5*Inputs!$B$11</f>
        <v>-2571.85881216</v>
      </c>
      <c r="I8" s="23" t="n">
        <f aca="false">-I5*Inputs!$B$11</f>
        <v>-2623.2959884032</v>
      </c>
      <c r="J8" s="23" t="n">
        <f aca="false">-J5*Inputs!$B$11</f>
        <v>-2675.76190817126</v>
      </c>
      <c r="K8" s="23" t="n">
        <f aca="false">-K5*Inputs!$B$11</f>
        <v>-2729.27714633469</v>
      </c>
      <c r="L8" s="23" t="n">
        <f aca="false">-L5*Inputs!$B$11</f>
        <v>-2783.86268926138</v>
      </c>
      <c r="M8" s="23" t="n">
        <f aca="false">-M5*Inputs!$B$11</f>
        <v>-2839.53994304661</v>
      </c>
      <c r="N8" s="23" t="n">
        <f aca="false">-N5*Inputs!$B$11</f>
        <v>-2896.33074190754</v>
      </c>
    </row>
    <row r="9" customFormat="false" ht="15" hidden="false" customHeight="true" outlineLevel="0" collapsed="false">
      <c r="B9" s="4" t="s">
        <v>104</v>
      </c>
      <c r="D9" s="19" t="n">
        <f aca="false">SUM(D5:D8)</f>
        <v>107514</v>
      </c>
      <c r="E9" s="19" t="n">
        <f aca="false">SUM(E5:E8)</f>
        <v>109664.28</v>
      </c>
      <c r="F9" s="19" t="n">
        <f aca="false">SUM(F5:F8)</f>
        <v>111857.5656</v>
      </c>
      <c r="G9" s="19" t="n">
        <f aca="false">SUM(G5:G8)</f>
        <v>114094.716912</v>
      </c>
      <c r="H9" s="19" t="n">
        <f aca="false">SUM(H5:H8)</f>
        <v>116376.61125024</v>
      </c>
      <c r="I9" s="19" t="n">
        <f aca="false">SUM(I5:I8)</f>
        <v>118704.143475245</v>
      </c>
      <c r="J9" s="19" t="n">
        <f aca="false">SUM(J5:J8)</f>
        <v>121078.22634475</v>
      </c>
      <c r="K9" s="19" t="n">
        <f aca="false">SUM(K5:K8)</f>
        <v>123499.790871645</v>
      </c>
      <c r="L9" s="19" t="n">
        <f aca="false">SUM(L5:L8)</f>
        <v>125969.786689078</v>
      </c>
      <c r="M9" s="19" t="n">
        <f aca="false">SUM(M5:M8)</f>
        <v>128489.182422859</v>
      </c>
      <c r="N9" s="19" t="n">
        <f aca="false">SUM(N5:N8)</f>
        <v>131058.966071316</v>
      </c>
    </row>
    <row r="10" customFormat="false" ht="15" hidden="false" customHeight="true" outlineLevel="0" collapsed="false">
      <c r="B10" s="3" t="s">
        <v>105</v>
      </c>
      <c r="D10" s="23" t="n">
        <f aca="false">Inputs!$B$5*Inputs!$B$12*12*(1-Inputs!$B$9)*(1+Inputs!$B$14)^(D$2-1)</f>
        <v>10044</v>
      </c>
      <c r="E10" s="23" t="n">
        <f aca="false">Inputs!$B$5*Inputs!$B$12*12*(1-Inputs!$B$9)*(1+Inputs!$B$14)^(E$2-1)</f>
        <v>10244.88</v>
      </c>
      <c r="F10" s="23" t="n">
        <f aca="false">Inputs!$B$5*Inputs!$B$12*12*(1-Inputs!$B$9)*(1+Inputs!$B$14)^(F$2-1)</f>
        <v>10449.7776</v>
      </c>
      <c r="G10" s="23" t="n">
        <f aca="false">Inputs!$B$5*Inputs!$B$12*12*(1-Inputs!$B$9)*(1+Inputs!$B$14)^(G$2-1)</f>
        <v>10658.773152</v>
      </c>
      <c r="H10" s="23" t="n">
        <f aca="false">Inputs!$B$5*Inputs!$B$12*12*(1-Inputs!$B$9)*(1+Inputs!$B$14)^(H$2-1)</f>
        <v>10871.94861504</v>
      </c>
      <c r="I10" s="23" t="n">
        <f aca="false">Inputs!$B$5*Inputs!$B$12*12*(1-Inputs!$B$9)*(1+Inputs!$B$14)^(I$2-1)</f>
        <v>11089.3875873408</v>
      </c>
      <c r="J10" s="23" t="n">
        <f aca="false">Inputs!$B$5*Inputs!$B$12*12*(1-Inputs!$B$9)*(1+Inputs!$B$14)^(J$2-1)</f>
        <v>11311.1753390876</v>
      </c>
      <c r="K10" s="23" t="n">
        <f aca="false">Inputs!$B$5*Inputs!$B$12*12*(1-Inputs!$B$9)*(1+Inputs!$B$14)^(K$2-1)</f>
        <v>11537.3988458694</v>
      </c>
      <c r="L10" s="23" t="n">
        <f aca="false">Inputs!$B$5*Inputs!$B$12*12*(1-Inputs!$B$9)*(1+Inputs!$B$14)^(L$2-1)</f>
        <v>11768.1468227868</v>
      </c>
      <c r="M10" s="23" t="n">
        <f aca="false">Inputs!$B$5*Inputs!$B$12*12*(1-Inputs!$B$9)*(1+Inputs!$B$14)^(M$2-1)</f>
        <v>12003.5097592425</v>
      </c>
      <c r="N10" s="23" t="n">
        <f aca="false">Inputs!$B$5*Inputs!$B$12*12*(1-Inputs!$B$9)*(1+Inputs!$B$14)^(N$2-1)</f>
        <v>12243.5799544273</v>
      </c>
    </row>
    <row r="11" customFormat="false" ht="15" hidden="false" customHeight="true" outlineLevel="0" collapsed="false">
      <c r="B11" s="4" t="s">
        <v>106</v>
      </c>
      <c r="D11" s="19" t="n">
        <f aca="false">D9+D10</f>
        <v>117558</v>
      </c>
      <c r="E11" s="19" t="n">
        <f aca="false">E9+E10</f>
        <v>119909.16</v>
      </c>
      <c r="F11" s="19" t="n">
        <f aca="false">F9+F10</f>
        <v>122307.3432</v>
      </c>
      <c r="G11" s="19" t="n">
        <f aca="false">G9+G10</f>
        <v>124753.490064</v>
      </c>
      <c r="H11" s="19" t="n">
        <f aca="false">H9+H10</f>
        <v>127248.55986528</v>
      </c>
      <c r="I11" s="19" t="n">
        <f aca="false">I9+I10</f>
        <v>129793.531062586</v>
      </c>
      <c r="J11" s="19" t="n">
        <f aca="false">J9+J10</f>
        <v>132389.401683837</v>
      </c>
      <c r="K11" s="19" t="n">
        <f aca="false">K9+K10</f>
        <v>135037.189717514</v>
      </c>
      <c r="L11" s="19" t="n">
        <f aca="false">L9+L10</f>
        <v>137737.933511864</v>
      </c>
      <c r="M11" s="19" t="n">
        <f aca="false">M9+M10</f>
        <v>140492.692182102</v>
      </c>
      <c r="N11" s="19" t="n">
        <f aca="false">N9+N10</f>
        <v>143302.546025744</v>
      </c>
    </row>
    <row r="13" customFormat="false" ht="15" hidden="false" customHeight="true" outlineLevel="0" collapsed="false">
      <c r="B13" s="4" t="s">
        <v>107</v>
      </c>
    </row>
    <row r="14" customFormat="false" ht="15" hidden="false" customHeight="true" outlineLevel="0" collapsed="false">
      <c r="B14" s="3" t="s">
        <v>108</v>
      </c>
      <c r="D14" s="23" t="n">
        <f aca="false">-Inputs!$B$17*Inputs!$B$5*(1+Inputs!$B$29)^(D$2-1)</f>
        <v>-0</v>
      </c>
      <c r="E14" s="23" t="n">
        <f aca="false">-Inputs!$B$17*Inputs!$B$5*(1+Inputs!$B$29)^(E$2-1)</f>
        <v>-0</v>
      </c>
      <c r="F14" s="23" t="n">
        <f aca="false">-Inputs!$B$17*Inputs!$B$5*(1+Inputs!$B$29)^(F$2-1)</f>
        <v>-0</v>
      </c>
      <c r="G14" s="23" t="n">
        <f aca="false">-Inputs!$B$17*Inputs!$B$5*(1+Inputs!$B$29)^(G$2-1)</f>
        <v>-0</v>
      </c>
      <c r="H14" s="23" t="n">
        <f aca="false">-Inputs!$B$17*Inputs!$B$5*(1+Inputs!$B$29)^(H$2-1)</f>
        <v>-0</v>
      </c>
      <c r="I14" s="23" t="n">
        <f aca="false">-Inputs!$B$17*Inputs!$B$5*(1+Inputs!$B$29)^(I$2-1)</f>
        <v>-0</v>
      </c>
      <c r="J14" s="23" t="n">
        <f aca="false">-Inputs!$B$17*Inputs!$B$5*(1+Inputs!$B$29)^(J$2-1)</f>
        <v>-0</v>
      </c>
      <c r="K14" s="23" t="n">
        <f aca="false">-Inputs!$B$17*Inputs!$B$5*(1+Inputs!$B$29)^(K$2-1)</f>
        <v>-0</v>
      </c>
      <c r="L14" s="23" t="n">
        <f aca="false">-Inputs!$B$17*Inputs!$B$5*(1+Inputs!$B$29)^(L$2-1)</f>
        <v>-0</v>
      </c>
      <c r="M14" s="23" t="n">
        <f aca="false">-Inputs!$B$17*Inputs!$B$5*(1+Inputs!$B$29)^(M$2-1)</f>
        <v>-0</v>
      </c>
      <c r="N14" s="23" t="n">
        <f aca="false">-Inputs!$B$17*Inputs!$B$5*(1+Inputs!$B$29)^(N$2-1)</f>
        <v>-0</v>
      </c>
    </row>
    <row r="15" customFormat="false" ht="15" hidden="false" customHeight="true" outlineLevel="0" collapsed="false">
      <c r="B15" s="3" t="s">
        <v>43</v>
      </c>
      <c r="D15" s="23" t="n">
        <f aca="false">-Inputs!$B$18*Inputs!$B$5*(1+Inputs!$B$29)^(D$2-1)</f>
        <v>-5760</v>
      </c>
      <c r="E15" s="23" t="n">
        <f aca="false">-Inputs!$B$18*Inputs!$B$5*(1+Inputs!$B$29)^(E$2-1)</f>
        <v>-5904</v>
      </c>
      <c r="F15" s="23" t="n">
        <f aca="false">-Inputs!$B$18*Inputs!$B$5*(1+Inputs!$B$29)^(F$2-1)</f>
        <v>-6051.6</v>
      </c>
      <c r="G15" s="23" t="n">
        <f aca="false">-Inputs!$B$18*Inputs!$B$5*(1+Inputs!$B$29)^(G$2-1)</f>
        <v>-6202.89</v>
      </c>
      <c r="H15" s="23" t="n">
        <f aca="false">-Inputs!$B$18*Inputs!$B$5*(1+Inputs!$B$29)^(H$2-1)</f>
        <v>-6357.96225</v>
      </c>
      <c r="I15" s="23" t="n">
        <f aca="false">-Inputs!$B$18*Inputs!$B$5*(1+Inputs!$B$29)^(I$2-1)</f>
        <v>-6516.91130625</v>
      </c>
      <c r="J15" s="23" t="n">
        <f aca="false">-Inputs!$B$18*Inputs!$B$5*(1+Inputs!$B$29)^(J$2-1)</f>
        <v>-6679.83408890625</v>
      </c>
      <c r="K15" s="23" t="n">
        <f aca="false">-Inputs!$B$18*Inputs!$B$5*(1+Inputs!$B$29)^(K$2-1)</f>
        <v>-6846.8299411289</v>
      </c>
      <c r="L15" s="23" t="n">
        <f aca="false">-Inputs!$B$18*Inputs!$B$5*(1+Inputs!$B$29)^(L$2-1)</f>
        <v>-7018.00068965712</v>
      </c>
      <c r="M15" s="23" t="n">
        <f aca="false">-Inputs!$B$18*Inputs!$B$5*(1+Inputs!$B$29)^(M$2-1)</f>
        <v>-7193.45070689855</v>
      </c>
      <c r="N15" s="23" t="n">
        <f aca="false">-Inputs!$B$18*Inputs!$B$5*(1+Inputs!$B$29)^(N$2-1)</f>
        <v>-7373.28697457101</v>
      </c>
    </row>
    <row r="16" customFormat="false" ht="15" hidden="false" customHeight="true" outlineLevel="0" collapsed="false">
      <c r="B16" s="3" t="s">
        <v>45</v>
      </c>
      <c r="D16" s="23" t="n">
        <f aca="false">-Inputs!$B$19*Inputs!$B$5*(1+Inputs!$B$29)^(D$2-1)</f>
        <v>-4980</v>
      </c>
      <c r="E16" s="23" t="n">
        <f aca="false">-Inputs!$B$19*Inputs!$B$5*(1+Inputs!$B$29)^(E$2-1)</f>
        <v>-5104.5</v>
      </c>
      <c r="F16" s="23" t="n">
        <f aca="false">-Inputs!$B$19*Inputs!$B$5*(1+Inputs!$B$29)^(F$2-1)</f>
        <v>-5232.1125</v>
      </c>
      <c r="G16" s="23" t="n">
        <f aca="false">-Inputs!$B$19*Inputs!$B$5*(1+Inputs!$B$29)^(G$2-1)</f>
        <v>-5362.9153125</v>
      </c>
      <c r="H16" s="23" t="n">
        <f aca="false">-Inputs!$B$19*Inputs!$B$5*(1+Inputs!$B$29)^(H$2-1)</f>
        <v>-5496.9881953125</v>
      </c>
      <c r="I16" s="23" t="n">
        <f aca="false">-Inputs!$B$19*Inputs!$B$5*(1+Inputs!$B$29)^(I$2-1)</f>
        <v>-5634.41290019531</v>
      </c>
      <c r="J16" s="23" t="n">
        <f aca="false">-Inputs!$B$19*Inputs!$B$5*(1+Inputs!$B$29)^(J$2-1)</f>
        <v>-5775.27322270019</v>
      </c>
      <c r="K16" s="23" t="n">
        <f aca="false">-Inputs!$B$19*Inputs!$B$5*(1+Inputs!$B$29)^(K$2-1)</f>
        <v>-5919.6550532677</v>
      </c>
      <c r="L16" s="23" t="n">
        <f aca="false">-Inputs!$B$19*Inputs!$B$5*(1+Inputs!$B$29)^(L$2-1)</f>
        <v>-6067.64642959939</v>
      </c>
      <c r="M16" s="23" t="n">
        <f aca="false">-Inputs!$B$19*Inputs!$B$5*(1+Inputs!$B$29)^(M$2-1)</f>
        <v>-6219.33759033937</v>
      </c>
      <c r="N16" s="23" t="n">
        <f aca="false">-Inputs!$B$19*Inputs!$B$5*(1+Inputs!$B$29)^(N$2-1)</f>
        <v>-6374.82103009786</v>
      </c>
    </row>
    <row r="17" customFormat="false" ht="15" hidden="false" customHeight="true" outlineLevel="0" collapsed="false">
      <c r="B17" s="3" t="s">
        <v>47</v>
      </c>
      <c r="D17" s="23" t="n">
        <f aca="false">-Inputs!$B$20*Inputs!$B$5*(1+Inputs!$B$29)^(D$2-1)</f>
        <v>-6180</v>
      </c>
      <c r="E17" s="23" t="n">
        <f aca="false">-Inputs!$B$20*Inputs!$B$5*(1+Inputs!$B$29)^(E$2-1)</f>
        <v>-6334.5</v>
      </c>
      <c r="F17" s="23" t="n">
        <f aca="false">-Inputs!$B$20*Inputs!$B$5*(1+Inputs!$B$29)^(F$2-1)</f>
        <v>-6492.8625</v>
      </c>
      <c r="G17" s="23" t="n">
        <f aca="false">-Inputs!$B$20*Inputs!$B$5*(1+Inputs!$B$29)^(G$2-1)</f>
        <v>-6655.1840625</v>
      </c>
      <c r="H17" s="23" t="n">
        <f aca="false">-Inputs!$B$20*Inputs!$B$5*(1+Inputs!$B$29)^(H$2-1)</f>
        <v>-6821.5636640625</v>
      </c>
      <c r="I17" s="23" t="n">
        <f aca="false">-Inputs!$B$20*Inputs!$B$5*(1+Inputs!$B$29)^(I$2-1)</f>
        <v>-6992.10275566406</v>
      </c>
      <c r="J17" s="23" t="n">
        <f aca="false">-Inputs!$B$20*Inputs!$B$5*(1+Inputs!$B$29)^(J$2-1)</f>
        <v>-7166.90532455566</v>
      </c>
      <c r="K17" s="23" t="n">
        <f aca="false">-Inputs!$B$20*Inputs!$B$5*(1+Inputs!$B$29)^(K$2-1)</f>
        <v>-7346.07795766955</v>
      </c>
      <c r="L17" s="23" t="n">
        <f aca="false">-Inputs!$B$20*Inputs!$B$5*(1+Inputs!$B$29)^(L$2-1)</f>
        <v>-7529.72990661129</v>
      </c>
      <c r="M17" s="23" t="n">
        <f aca="false">-Inputs!$B$20*Inputs!$B$5*(1+Inputs!$B$29)^(M$2-1)</f>
        <v>-7717.97315427657</v>
      </c>
      <c r="N17" s="23" t="n">
        <f aca="false">-Inputs!$B$20*Inputs!$B$5*(1+Inputs!$B$29)^(N$2-1)</f>
        <v>-7910.92248313348</v>
      </c>
    </row>
    <row r="18" customFormat="false" ht="15" hidden="false" customHeight="true" outlineLevel="0" collapsed="false">
      <c r="B18" s="3" t="s">
        <v>49</v>
      </c>
      <c r="D18" s="23" t="n">
        <f aca="false">-Inputs!$B$21*Inputs!$B$5*(1+Inputs!$B$29)^(D$2-1)</f>
        <v>-0</v>
      </c>
      <c r="E18" s="23" t="n">
        <f aca="false">-Inputs!$B$21*Inputs!$B$5*(1+Inputs!$B$29)^(E$2-1)</f>
        <v>-0</v>
      </c>
      <c r="F18" s="23" t="n">
        <f aca="false">-Inputs!$B$21*Inputs!$B$5*(1+Inputs!$B$29)^(F$2-1)</f>
        <v>-0</v>
      </c>
      <c r="G18" s="23" t="n">
        <f aca="false">-Inputs!$B$21*Inputs!$B$5*(1+Inputs!$B$29)^(G$2-1)</f>
        <v>-0</v>
      </c>
      <c r="H18" s="23" t="n">
        <f aca="false">-Inputs!$B$21*Inputs!$B$5*(1+Inputs!$B$29)^(H$2-1)</f>
        <v>-0</v>
      </c>
      <c r="I18" s="23" t="n">
        <f aca="false">-Inputs!$B$21*Inputs!$B$5*(1+Inputs!$B$29)^(I$2-1)</f>
        <v>-0</v>
      </c>
      <c r="J18" s="23" t="n">
        <f aca="false">-Inputs!$B$21*Inputs!$B$5*(1+Inputs!$B$29)^(J$2-1)</f>
        <v>-0</v>
      </c>
      <c r="K18" s="23" t="n">
        <f aca="false">-Inputs!$B$21*Inputs!$B$5*(1+Inputs!$B$29)^(K$2-1)</f>
        <v>-0</v>
      </c>
      <c r="L18" s="23" t="n">
        <f aca="false">-Inputs!$B$21*Inputs!$B$5*(1+Inputs!$B$29)^(L$2-1)</f>
        <v>-0</v>
      </c>
      <c r="M18" s="23" t="n">
        <f aca="false">-Inputs!$B$21*Inputs!$B$5*(1+Inputs!$B$29)^(M$2-1)</f>
        <v>-0</v>
      </c>
      <c r="N18" s="23" t="n">
        <f aca="false">-Inputs!$B$21*Inputs!$B$5*(1+Inputs!$B$29)^(N$2-1)</f>
        <v>-0</v>
      </c>
    </row>
    <row r="19" customFormat="false" ht="15" hidden="false" customHeight="true" outlineLevel="0" collapsed="false">
      <c r="B19" s="3" t="s">
        <v>50</v>
      </c>
      <c r="D19" s="23" t="n">
        <f aca="false">-Inputs!$B$22*Inputs!$B$5*(1+Inputs!$B$29)^(D$2-1)</f>
        <v>-9060</v>
      </c>
      <c r="E19" s="23" t="n">
        <f aca="false">-Inputs!$B$22*Inputs!$B$5*(1+Inputs!$B$29)^(E$2-1)</f>
        <v>-9286.5</v>
      </c>
      <c r="F19" s="23" t="n">
        <f aca="false">-Inputs!$B$22*Inputs!$B$5*(1+Inputs!$B$29)^(F$2-1)</f>
        <v>-9518.6625</v>
      </c>
      <c r="G19" s="23" t="n">
        <f aca="false">-Inputs!$B$22*Inputs!$B$5*(1+Inputs!$B$29)^(G$2-1)</f>
        <v>-9756.6290625</v>
      </c>
      <c r="H19" s="23" t="n">
        <f aca="false">-Inputs!$B$22*Inputs!$B$5*(1+Inputs!$B$29)^(H$2-1)</f>
        <v>-10000.5447890625</v>
      </c>
      <c r="I19" s="23" t="n">
        <f aca="false">-Inputs!$B$22*Inputs!$B$5*(1+Inputs!$B$29)^(I$2-1)</f>
        <v>-10250.5584087891</v>
      </c>
      <c r="J19" s="23" t="n">
        <f aca="false">-Inputs!$B$22*Inputs!$B$5*(1+Inputs!$B$29)^(J$2-1)</f>
        <v>-10506.8223690088</v>
      </c>
      <c r="K19" s="23" t="n">
        <f aca="false">-Inputs!$B$22*Inputs!$B$5*(1+Inputs!$B$29)^(K$2-1)</f>
        <v>-10769.492928234</v>
      </c>
      <c r="L19" s="23" t="n">
        <f aca="false">-Inputs!$B$22*Inputs!$B$5*(1+Inputs!$B$29)^(L$2-1)</f>
        <v>-11038.7302514399</v>
      </c>
      <c r="M19" s="23" t="n">
        <f aca="false">-Inputs!$B$22*Inputs!$B$5*(1+Inputs!$B$29)^(M$2-1)</f>
        <v>-11314.6985077258</v>
      </c>
      <c r="N19" s="23" t="n">
        <f aca="false">-Inputs!$B$22*Inputs!$B$5*(1+Inputs!$B$29)^(N$2-1)</f>
        <v>-11597.565970419</v>
      </c>
    </row>
    <row r="20" customFormat="false" ht="15" hidden="false" customHeight="true" outlineLevel="0" collapsed="false">
      <c r="B20" s="3" t="s">
        <v>52</v>
      </c>
      <c r="D20" s="23" t="n">
        <f aca="false">-Inputs!$B$23*Inputs!$B$5*(1+Inputs!$B$29)^(D$2-1)</f>
        <v>-1260</v>
      </c>
      <c r="E20" s="23" t="n">
        <f aca="false">-Inputs!$B$23*Inputs!$B$5*(1+Inputs!$B$29)^(E$2-1)</f>
        <v>-1291.5</v>
      </c>
      <c r="F20" s="23" t="n">
        <f aca="false">-Inputs!$B$23*Inputs!$B$5*(1+Inputs!$B$29)^(F$2-1)</f>
        <v>-1323.7875</v>
      </c>
      <c r="G20" s="23" t="n">
        <f aca="false">-Inputs!$B$23*Inputs!$B$5*(1+Inputs!$B$29)^(G$2-1)</f>
        <v>-1356.8821875</v>
      </c>
      <c r="H20" s="23" t="n">
        <f aca="false">-Inputs!$B$23*Inputs!$B$5*(1+Inputs!$B$29)^(H$2-1)</f>
        <v>-1390.8042421875</v>
      </c>
      <c r="I20" s="23" t="n">
        <f aca="false">-Inputs!$B$23*Inputs!$B$5*(1+Inputs!$B$29)^(I$2-1)</f>
        <v>-1425.57434824219</v>
      </c>
      <c r="J20" s="23" t="n">
        <f aca="false">-Inputs!$B$23*Inputs!$B$5*(1+Inputs!$B$29)^(J$2-1)</f>
        <v>-1461.21370694824</v>
      </c>
      <c r="K20" s="23" t="n">
        <f aca="false">-Inputs!$B$23*Inputs!$B$5*(1+Inputs!$B$29)^(K$2-1)</f>
        <v>-1497.74404962195</v>
      </c>
      <c r="L20" s="23" t="n">
        <f aca="false">-Inputs!$B$23*Inputs!$B$5*(1+Inputs!$B$29)^(L$2-1)</f>
        <v>-1535.1876508625</v>
      </c>
      <c r="M20" s="23" t="n">
        <f aca="false">-Inputs!$B$23*Inputs!$B$5*(1+Inputs!$B$29)^(M$2-1)</f>
        <v>-1573.56734213406</v>
      </c>
      <c r="N20" s="23" t="n">
        <f aca="false">-Inputs!$B$23*Inputs!$B$5*(1+Inputs!$B$29)^(N$2-1)</f>
        <v>-1612.90652568741</v>
      </c>
    </row>
    <row r="21" customFormat="false" ht="15" hidden="false" customHeight="true" outlineLevel="0" collapsed="false">
      <c r="B21" s="3" t="s">
        <v>54</v>
      </c>
      <c r="D21" s="23" t="n">
        <f aca="false">-Inputs!$B$24*Inputs!$B$5*(1+Inputs!$B$29)^(D$2-1)</f>
        <v>-24000</v>
      </c>
      <c r="E21" s="23" t="n">
        <f aca="false">-Inputs!$B$24*Inputs!$B$5*(1+Inputs!$B$29)^(E$2-1)</f>
        <v>-24600</v>
      </c>
      <c r="F21" s="23" t="n">
        <f aca="false">-Inputs!$B$24*Inputs!$B$5*(1+Inputs!$B$29)^(F$2-1)</f>
        <v>-25215</v>
      </c>
      <c r="G21" s="23" t="n">
        <f aca="false">-Inputs!$B$24*Inputs!$B$5*(1+Inputs!$B$29)^(G$2-1)</f>
        <v>-25845.375</v>
      </c>
      <c r="H21" s="23" t="n">
        <f aca="false">-Inputs!$B$24*Inputs!$B$5*(1+Inputs!$B$29)^(H$2-1)</f>
        <v>-26491.509375</v>
      </c>
      <c r="I21" s="23" t="n">
        <f aca="false">-Inputs!$B$24*Inputs!$B$5*(1+Inputs!$B$29)^(I$2-1)</f>
        <v>-27153.797109375</v>
      </c>
      <c r="J21" s="23" t="n">
        <f aca="false">-Inputs!$B$24*Inputs!$B$5*(1+Inputs!$B$29)^(J$2-1)</f>
        <v>-27832.6420371094</v>
      </c>
      <c r="K21" s="23" t="n">
        <f aca="false">-Inputs!$B$24*Inputs!$B$5*(1+Inputs!$B$29)^(K$2-1)</f>
        <v>-28528.4580880371</v>
      </c>
      <c r="L21" s="23" t="n">
        <f aca="false">-Inputs!$B$24*Inputs!$B$5*(1+Inputs!$B$29)^(L$2-1)</f>
        <v>-29241.669540238</v>
      </c>
      <c r="M21" s="23" t="n">
        <f aca="false">-Inputs!$B$24*Inputs!$B$5*(1+Inputs!$B$29)^(M$2-1)</f>
        <v>-29972.711278744</v>
      </c>
      <c r="N21" s="23" t="n">
        <f aca="false">-Inputs!$B$24*Inputs!$B$5*(1+Inputs!$B$29)^(N$2-1)</f>
        <v>-30722.0290607126</v>
      </c>
    </row>
    <row r="22" customFormat="false" ht="15" hidden="false" customHeight="true" outlineLevel="0" collapsed="false">
      <c r="B22" s="3" t="s">
        <v>109</v>
      </c>
      <c r="D22" s="23" t="n">
        <f aca="false">-Inputs!$B$25*(1+Inputs!$B$29)^(D$2-1)</f>
        <v>-8160</v>
      </c>
      <c r="E22" s="23" t="n">
        <f aca="false">-Inputs!$B$25*(1+Inputs!$B$29)^(E$2-1)</f>
        <v>-8364</v>
      </c>
      <c r="F22" s="23" t="n">
        <f aca="false">-Inputs!$B$25*(1+Inputs!$B$29)^(F$2-1)</f>
        <v>-8573.1</v>
      </c>
      <c r="G22" s="23" t="n">
        <f aca="false">-Inputs!$B$25*(1+Inputs!$B$29)^(G$2-1)</f>
        <v>-8787.4275</v>
      </c>
      <c r="H22" s="23" t="n">
        <f aca="false">-Inputs!$B$25*(1+Inputs!$B$29)^(H$2-1)</f>
        <v>-9007.1131875</v>
      </c>
      <c r="I22" s="23" t="n">
        <f aca="false">-Inputs!$B$25*(1+Inputs!$B$29)^(I$2-1)</f>
        <v>-9232.2910171875</v>
      </c>
      <c r="J22" s="23" t="n">
        <f aca="false">-Inputs!$B$25*(1+Inputs!$B$29)^(J$2-1)</f>
        <v>-9463.09829261718</v>
      </c>
      <c r="K22" s="23" t="n">
        <f aca="false">-Inputs!$B$25*(1+Inputs!$B$29)^(K$2-1)</f>
        <v>-9699.67574993261</v>
      </c>
      <c r="L22" s="23" t="n">
        <f aca="false">-Inputs!$B$25*(1+Inputs!$B$29)^(L$2-1)</f>
        <v>-9942.16764368093</v>
      </c>
      <c r="M22" s="23" t="n">
        <f aca="false">-Inputs!$B$25*(1+Inputs!$B$29)^(M$2-1)</f>
        <v>-10190.7218347729</v>
      </c>
      <c r="N22" s="23" t="n">
        <f aca="false">-Inputs!$B$25*(1+Inputs!$B$29)^(N$2-1)</f>
        <v>-10445.4898806423</v>
      </c>
    </row>
    <row r="23" customFormat="false" ht="15" hidden="false" customHeight="true" outlineLevel="0" collapsed="false">
      <c r="B23" s="3" t="s">
        <v>110</v>
      </c>
      <c r="D23" s="23" t="n">
        <f aca="false">-D11*Inputs!$B$26</f>
        <v>-9404.64</v>
      </c>
      <c r="E23" s="23" t="n">
        <f aca="false">-E11*Inputs!$B$26</f>
        <v>-9592.7328</v>
      </c>
      <c r="F23" s="23" t="n">
        <f aca="false">-F11*Inputs!$B$26</f>
        <v>-9784.587456</v>
      </c>
      <c r="G23" s="23" t="n">
        <f aca="false">-G11*Inputs!$B$26</f>
        <v>-9980.27920512</v>
      </c>
      <c r="H23" s="23" t="n">
        <f aca="false">-H11*Inputs!$B$26</f>
        <v>-10179.8847892224</v>
      </c>
      <c r="I23" s="23" t="n">
        <f aca="false">-I11*Inputs!$B$26</f>
        <v>-10383.4824850068</v>
      </c>
      <c r="J23" s="23" t="n">
        <f aca="false">-J11*Inputs!$B$26</f>
        <v>-10591.152134707</v>
      </c>
      <c r="K23" s="23" t="n">
        <f aca="false">-K11*Inputs!$B$26</f>
        <v>-10802.9751774011</v>
      </c>
      <c r="L23" s="23" t="n">
        <f aca="false">-L11*Inputs!$B$26</f>
        <v>-11019.0346809492</v>
      </c>
      <c r="M23" s="23" t="n">
        <f aca="false">-M11*Inputs!$B$26</f>
        <v>-11239.4153745681</v>
      </c>
      <c r="N23" s="23" t="n">
        <f aca="false">-N11*Inputs!$B$26</f>
        <v>-11464.2036820595</v>
      </c>
    </row>
    <row r="24" customFormat="false" ht="15" hidden="false" customHeight="true" outlineLevel="0" collapsed="false">
      <c r="B24" s="4" t="s">
        <v>111</v>
      </c>
      <c r="D24" s="19" t="n">
        <f aca="false">SUM(D14:D23)</f>
        <v>-68804.64</v>
      </c>
      <c r="E24" s="19" t="n">
        <f aca="false">SUM(E14:E23)</f>
        <v>-70477.7328</v>
      </c>
      <c r="F24" s="19" t="n">
        <f aca="false">SUM(F14:F23)</f>
        <v>-72191.712456</v>
      </c>
      <c r="G24" s="19" t="n">
        <f aca="false">SUM(G14:G23)</f>
        <v>-73947.58233012</v>
      </c>
      <c r="H24" s="19" t="n">
        <f aca="false">SUM(H14:H23)</f>
        <v>-75746.3704923474</v>
      </c>
      <c r="I24" s="19" t="n">
        <f aca="false">SUM(I14:I23)</f>
        <v>-77589.1303307099</v>
      </c>
      <c r="J24" s="19" t="n">
        <f aca="false">SUM(J14:J23)</f>
        <v>-79476.9411765527</v>
      </c>
      <c r="K24" s="19" t="n">
        <f aca="false">SUM(K14:K23)</f>
        <v>-81410.9089452929</v>
      </c>
      <c r="L24" s="19" t="n">
        <f aca="false">SUM(L14:L23)</f>
        <v>-83392.1667930382</v>
      </c>
      <c r="M24" s="19" t="n">
        <f aca="false">SUM(M14:M23)</f>
        <v>-85421.8757894595</v>
      </c>
      <c r="N24" s="19" t="n">
        <f aca="false">SUM(N14:N23)</f>
        <v>-87501.2256073231</v>
      </c>
    </row>
    <row r="25" customFormat="false" ht="15" hidden="false" customHeight="true" outlineLevel="0" collapsed="false">
      <c r="B25" s="4" t="s">
        <v>112</v>
      </c>
      <c r="D25" s="19" t="n">
        <f aca="false">D11+D24</f>
        <v>48753.36</v>
      </c>
      <c r="E25" s="19" t="n">
        <f aca="false">E11+E24</f>
        <v>49431.4272</v>
      </c>
      <c r="F25" s="19" t="n">
        <f aca="false">F11+F24</f>
        <v>50115.630744</v>
      </c>
      <c r="G25" s="19" t="n">
        <f aca="false">G11+G24</f>
        <v>50805.90773388</v>
      </c>
      <c r="H25" s="19" t="n">
        <f aca="false">H11+H24</f>
        <v>51502.1893729326</v>
      </c>
      <c r="I25" s="19" t="n">
        <f aca="false">I11+I24</f>
        <v>52204.4007318757</v>
      </c>
      <c r="J25" s="19" t="n">
        <f aca="false">J11+J24</f>
        <v>52912.4605072847</v>
      </c>
      <c r="K25" s="19" t="n">
        <f aca="false">K11+K24</f>
        <v>53626.2807722211</v>
      </c>
      <c r="L25" s="19" t="n">
        <f aca="false">L11+L24</f>
        <v>54345.7667188261</v>
      </c>
      <c r="M25" s="19" t="n">
        <f aca="false">M11+M24</f>
        <v>55070.8163926422</v>
      </c>
      <c r="N25" s="19" t="n">
        <f aca="false">N11+N24</f>
        <v>55801.3204184206</v>
      </c>
    </row>
    <row r="26" customFormat="false" ht="15" hidden="false" customHeight="true" outlineLevel="0" collapsed="false">
      <c r="B26" s="3" t="s">
        <v>113</v>
      </c>
      <c r="D26" s="23" t="n">
        <f aca="false">-Inputs!$B$5*Inputs!$B$28*(1+Inputs!$B$29)^(D$2-1)</f>
        <v>-3000</v>
      </c>
      <c r="E26" s="23" t="n">
        <f aca="false">-Inputs!$B$5*Inputs!$B$28*(1+Inputs!$B$29)^(E$2-1)</f>
        <v>-3075</v>
      </c>
      <c r="F26" s="23" t="n">
        <f aca="false">-Inputs!$B$5*Inputs!$B$28*(1+Inputs!$B$29)^(F$2-1)</f>
        <v>-3151.875</v>
      </c>
      <c r="G26" s="23" t="n">
        <f aca="false">-Inputs!$B$5*Inputs!$B$28*(1+Inputs!$B$29)^(G$2-1)</f>
        <v>-3230.671875</v>
      </c>
      <c r="H26" s="23" t="n">
        <f aca="false">-Inputs!$B$5*Inputs!$B$28*(1+Inputs!$B$29)^(H$2-1)</f>
        <v>-3311.438671875</v>
      </c>
      <c r="I26" s="23" t="n">
        <f aca="false">-Inputs!$B$5*Inputs!$B$28*(1+Inputs!$B$29)^(I$2-1)</f>
        <v>-3394.22463867187</v>
      </c>
      <c r="J26" s="23" t="n">
        <f aca="false">-Inputs!$B$5*Inputs!$B$28*(1+Inputs!$B$29)^(J$2-1)</f>
        <v>-3479.08025463867</v>
      </c>
      <c r="K26" s="23" t="n">
        <f aca="false">-Inputs!$B$5*Inputs!$B$28*(1+Inputs!$B$29)^(K$2-1)</f>
        <v>-3566.05726100464</v>
      </c>
      <c r="L26" s="23" t="n">
        <f aca="false">-Inputs!$B$5*Inputs!$B$28*(1+Inputs!$B$29)^(L$2-1)</f>
        <v>-3655.20869252975</v>
      </c>
      <c r="M26" s="23" t="n">
        <f aca="false">-Inputs!$B$5*Inputs!$B$28*(1+Inputs!$B$29)^(M$2-1)</f>
        <v>-3746.588909843</v>
      </c>
      <c r="N26" s="23" t="n">
        <f aca="false">-Inputs!$B$5*Inputs!$B$28*(1+Inputs!$B$29)^(N$2-1)</f>
        <v>-3840.25363258907</v>
      </c>
    </row>
    <row r="27" customFormat="false" ht="15" hidden="false" customHeight="true" outlineLevel="0" collapsed="false">
      <c r="B27" s="3" t="s">
        <v>114</v>
      </c>
      <c r="D27" s="23" t="n">
        <f aca="false">-D11*Inputs!$B$27</f>
        <v>-0</v>
      </c>
      <c r="E27" s="23" t="n">
        <f aca="false">-E11*Inputs!$B$27</f>
        <v>-0</v>
      </c>
      <c r="F27" s="23" t="n">
        <f aca="false">-F11*Inputs!$B$27</f>
        <v>-0</v>
      </c>
      <c r="G27" s="23" t="n">
        <f aca="false">-G11*Inputs!$B$27</f>
        <v>-0</v>
      </c>
      <c r="H27" s="23" t="n">
        <f aca="false">-H11*Inputs!$B$27</f>
        <v>-0</v>
      </c>
      <c r="I27" s="23" t="n">
        <f aca="false">-I11*Inputs!$B$27</f>
        <v>-0</v>
      </c>
      <c r="J27" s="23" t="n">
        <f aca="false">-J11*Inputs!$B$27</f>
        <v>-0</v>
      </c>
      <c r="K27" s="23" t="n">
        <f aca="false">-K11*Inputs!$B$27</f>
        <v>-0</v>
      </c>
      <c r="L27" s="23" t="n">
        <f aca="false">-L11*Inputs!$B$27</f>
        <v>-0</v>
      </c>
      <c r="M27" s="23" t="n">
        <f aca="false">-M11*Inputs!$B$27</f>
        <v>-0</v>
      </c>
      <c r="N27" s="23" t="n">
        <f aca="false">-N11*Inputs!$B$27</f>
        <v>-0</v>
      </c>
    </row>
    <row r="28" customFormat="false" ht="15" hidden="false" customHeight="true" outlineLevel="0" collapsed="false">
      <c r="B28" s="4" t="s">
        <v>115</v>
      </c>
      <c r="D28" s="19" t="n">
        <f aca="false">D25+D26+D27</f>
        <v>45753.36</v>
      </c>
      <c r="E28" s="19" t="n">
        <f aca="false">E25+E26+E27</f>
        <v>46356.4272</v>
      </c>
      <c r="F28" s="19" t="n">
        <f aca="false">F25+F26+F27</f>
        <v>46963.755744</v>
      </c>
      <c r="G28" s="19" t="n">
        <f aca="false">G25+G26+G27</f>
        <v>47575.23585888</v>
      </c>
      <c r="H28" s="19" t="n">
        <f aca="false">H25+H26+H27</f>
        <v>48190.7507010576</v>
      </c>
      <c r="I28" s="19" t="n">
        <f aca="false">I25+I26+I27</f>
        <v>48810.1760932038</v>
      </c>
      <c r="J28" s="19" t="n">
        <f aca="false">J25+J26+J27</f>
        <v>49433.380252646</v>
      </c>
      <c r="K28" s="19" t="n">
        <f aca="false">K25+K26+K27</f>
        <v>50060.2235112165</v>
      </c>
      <c r="L28" s="19" t="n">
        <f aca="false">L25+L26+L27</f>
        <v>50690.5580262964</v>
      </c>
      <c r="M28" s="19" t="n">
        <f aca="false">M25+M26+M27</f>
        <v>51324.2274827992</v>
      </c>
      <c r="N28" s="19" t="n">
        <f aca="false">N25+N26+N27</f>
        <v>51961.0667858315</v>
      </c>
    </row>
    <row r="30" customFormat="false" ht="15" hidden="false" customHeight="true" outlineLevel="0" collapsed="false">
      <c r="B30" s="4" t="s">
        <v>116</v>
      </c>
    </row>
    <row r="31" customFormat="false" ht="15" hidden="false" customHeight="true" outlineLevel="0" collapsed="false">
      <c r="B31" s="1" t="s">
        <v>117</v>
      </c>
      <c r="D31" s="12" t="n">
        <f aca="false">IF(D$2=1,Inputs!$B$52,IF(AND(Inputs!$F$14&gt;0,D$2=Inputs!$F$14+1),Inputs!$F$24,C35))</f>
        <v>452332.211950512</v>
      </c>
      <c r="E31" s="12" t="n">
        <f aca="false">IF(E$2=1,Inputs!$B$52,IF(AND(Inputs!$F$14&gt;0,E$2=Inputs!$F$14+1),Inputs!$F$24,D35))</f>
        <v>445142.317433901</v>
      </c>
      <c r="F31" s="12" t="n">
        <f aca="false">IF(F$2=1,Inputs!$B$52,IF(AND(Inputs!$F$14&gt;0,F$2=Inputs!$F$14+1),Inputs!$F$24,E35))</f>
        <v>437451.805397929</v>
      </c>
      <c r="G31" s="12" t="n">
        <f aca="false">IF(G$2=1,Inputs!$B$52,IF(AND(Inputs!$F$14&gt;0,G$2=Inputs!$F$14+1),Inputs!$F$24,F35))</f>
        <v>429225.818877712</v>
      </c>
      <c r="H31" s="12" t="n">
        <f aca="false">IF(H$2=1,Inputs!$B$52,IF(AND(Inputs!$F$14&gt;0,H$2=Inputs!$F$14+1),Inputs!$F$24,G35))</f>
        <v>420427.073889825</v>
      </c>
      <c r="I31" s="12" t="n">
        <f aca="false">IF(I$2=1,Inputs!$B$52,IF(AND(Inputs!$F$14&gt;0,I$2=Inputs!$F$14+1),Inputs!$F$24,H35))</f>
        <v>411015.69044401</v>
      </c>
      <c r="J31" s="12" t="n">
        <f aca="false">IF(J$2=1,Inputs!$B$52,IF(AND(Inputs!$F$14&gt;0,J$2=Inputs!$F$14+1),Inputs!$F$24,I35))</f>
        <v>400949.011788577</v>
      </c>
      <c r="K31" s="12" t="n">
        <f aca="false">IF(K$2=1,Inputs!$B$52,IF(AND(Inputs!$F$14&gt;0,K$2=Inputs!$F$14+1),Inputs!$F$24,J35))</f>
        <v>390181.411070234</v>
      </c>
      <c r="L31" s="12" t="n">
        <f aca="false">IF(L$2=1,Inputs!$B$52,IF(AND(Inputs!$F$14&gt;0,L$2=Inputs!$F$14+1),Inputs!$F$24,K35))</f>
        <v>378664.084532044</v>
      </c>
      <c r="M31" s="12" t="n">
        <f aca="false">IF(M$2=1,Inputs!$B$52,IF(AND(Inputs!$F$14&gt;0,M$2=Inputs!$F$14+1),Inputs!$F$24,L35))</f>
        <v>366344.830312176</v>
      </c>
      <c r="N31" s="12" t="n">
        <f aca="false">IF(N$2=1,Inputs!$B$52,IF(AND(Inputs!$F$14&gt;0,N$2=Inputs!$F$14+1),Inputs!$F$24,M35))</f>
        <v>353167.811840876</v>
      </c>
    </row>
    <row r="32" customFormat="false" ht="15" hidden="false" customHeight="true" outlineLevel="0" collapsed="false">
      <c r="B32" s="3" t="s">
        <v>118</v>
      </c>
      <c r="D32" s="23" t="n">
        <f aca="false">IF(D$2&lt;=Inputs!$B$36,D31*IF(AND(Inputs!$F$14&gt;0,D$2&gt;Inputs!$F$14),Inputs!$F$18,Inputs!$B$34),12*IF(AND(Inputs!$F$14&gt;0,D$2&gt;Inputs!$F$14),Inputs!$F$28,Inputs!$B$53)-(D31-D35))</f>
        <v>30312.6900987736</v>
      </c>
      <c r="E32" s="23" t="n">
        <f aca="false">IF(E$2&lt;=Inputs!$B$36,E31*IF(AND(Inputs!$F$14&gt;0,E$2&gt;Inputs!$F$14),Inputs!$F$18,Inputs!$B$34),12*IF(AND(Inputs!$F$14&gt;0,E$2&gt;Inputs!$F$14),Inputs!$F$28,Inputs!$B$53)-(E31-E35))</f>
        <v>29812.0725794131</v>
      </c>
      <c r="F32" s="23" t="n">
        <f aca="false">IF(F$2&lt;=Inputs!$B$36,F31*IF(AND(Inputs!$F$14&gt;0,F$2&gt;Inputs!$F$14),Inputs!$F$18,Inputs!$B$34),12*IF(AND(Inputs!$F$14&gt;0,F$2&gt;Inputs!$F$14),Inputs!$F$28,Inputs!$B$53)-(F31-F35))</f>
        <v>29276.5980951677</v>
      </c>
      <c r="G32" s="23" t="n">
        <f aca="false">IF(G$2&lt;=Inputs!$B$36,G31*IF(AND(Inputs!$F$14&gt;0,G$2&gt;Inputs!$F$14),Inputs!$F$18,Inputs!$B$34),12*IF(AND(Inputs!$F$14&gt;0,G$2&gt;Inputs!$F$14),Inputs!$F$28,Inputs!$B$53)-(G31-G35))</f>
        <v>28703.8396274975</v>
      </c>
      <c r="H32" s="23" t="n">
        <f aca="false">IF(H$2&lt;=Inputs!$B$36,H31*IF(AND(Inputs!$F$14&gt;0,H$2&gt;Inputs!$F$14),Inputs!$F$18,Inputs!$B$34),12*IF(AND(Inputs!$F$14&gt;0,H$2&gt;Inputs!$F$14),Inputs!$F$28,Inputs!$B$53)-(H31-H35))</f>
        <v>28091.2011695694</v>
      </c>
      <c r="I32" s="23" t="n">
        <f aca="false">IF(I$2&lt;=Inputs!$B$36,I31*IF(AND(Inputs!$F$14&gt;0,I$2&gt;Inputs!$F$14),Inputs!$F$18,Inputs!$B$34),12*IF(AND(Inputs!$F$14&gt;0,I$2&gt;Inputs!$F$14),Inputs!$F$28,Inputs!$B$53)-(I31-I35))</f>
        <v>27435.9059599512</v>
      </c>
      <c r="J32" s="23" t="n">
        <f aca="false">IF(J$2&lt;=Inputs!$B$36,J31*IF(AND(Inputs!$F$14&gt;0,J$2&gt;Inputs!$F$14),Inputs!$F$18,Inputs!$B$34),12*IF(AND(Inputs!$F$14&gt;0,J$2&gt;Inputs!$F$14),Inputs!$F$28,Inputs!$B$53)-(J31-J35))</f>
        <v>26734.983897042</v>
      </c>
      <c r="K32" s="23" t="n">
        <f aca="false">IF(K$2&lt;=Inputs!$B$36,K31*IF(AND(Inputs!$F$14&gt;0,K$2&gt;Inputs!$F$14),Inputs!$F$18,Inputs!$B$34),12*IF(AND(Inputs!$F$14&gt;0,K$2&gt;Inputs!$F$14),Inputs!$F$28,Inputs!$B$53)-(K31-K35))</f>
        <v>25985.2580771946</v>
      </c>
      <c r="L32" s="23" t="n">
        <f aca="false">IF(L$2&lt;=Inputs!$B$36,L31*IF(AND(Inputs!$F$14&gt;0,L$2&gt;Inputs!$F$14),Inputs!$F$18,Inputs!$B$34),12*IF(AND(Inputs!$F$14&gt;0,L$2&gt;Inputs!$F$14),Inputs!$F$28,Inputs!$B$53)-(L31-L35))</f>
        <v>25183.3303955167</v>
      </c>
      <c r="M32" s="23" t="n">
        <f aca="false">IF(M$2&lt;=Inputs!$B$36,M31*IF(AND(Inputs!$F$14&gt;0,M$2&gt;Inputs!$F$14),Inputs!$F$18,Inputs!$B$34),12*IF(AND(Inputs!$F$14&gt;0,M$2&gt;Inputs!$F$14),Inputs!$F$28,Inputs!$B$53)-(M31-M35))</f>
        <v>24325.5661440838</v>
      </c>
      <c r="N32" s="23" t="n">
        <f aca="false">IF(N$2&lt;=Inputs!$B$36,N31*IF(AND(Inputs!$F$14&gt;0,N$2&gt;Inputs!$F$14),Inputs!$F$18,Inputs!$B$34),12*IF(AND(Inputs!$F$14&gt;0,N$2&gt;Inputs!$F$14),Inputs!$F$28,Inputs!$B$53)-(N31-N35))</f>
        <v>23408.0775377585</v>
      </c>
    </row>
    <row r="33" customFormat="false" ht="15" hidden="false" customHeight="true" outlineLevel="0" collapsed="false">
      <c r="B33" s="3" t="s">
        <v>119</v>
      </c>
      <c r="D33" s="23" t="n">
        <f aca="false">D31-D35</f>
        <v>7189.89451661095</v>
      </c>
      <c r="E33" s="23" t="n">
        <f aca="false">E31-E35</f>
        <v>7690.51203597151</v>
      </c>
      <c r="F33" s="23" t="n">
        <f aca="false">F31-F35</f>
        <v>8225.98652021686</v>
      </c>
      <c r="G33" s="23" t="n">
        <f aca="false">G31-G35</f>
        <v>8798.7449878871</v>
      </c>
      <c r="H33" s="23" t="n">
        <f aca="false">H31-H35</f>
        <v>9411.38344581518</v>
      </c>
      <c r="I33" s="23" t="n">
        <f aca="false">I31-I35</f>
        <v>10066.6786554334</v>
      </c>
      <c r="J33" s="23" t="n">
        <f aca="false">J31-J35</f>
        <v>10767.6007183426</v>
      </c>
      <c r="K33" s="23" t="n">
        <f aca="false">K31-K35</f>
        <v>11517.32653819</v>
      </c>
      <c r="L33" s="23" t="n">
        <f aca="false">L31-L35</f>
        <v>12319.2542198679</v>
      </c>
      <c r="M33" s="23" t="n">
        <f aca="false">M31-M35</f>
        <v>13177.0184713008</v>
      </c>
      <c r="N33" s="23" t="n">
        <f aca="false">N31-N35</f>
        <v>14094.5070776261</v>
      </c>
    </row>
    <row r="34" customFormat="false" ht="15" hidden="false" customHeight="true" outlineLevel="0" collapsed="false">
      <c r="B34" s="4" t="s">
        <v>120</v>
      </c>
      <c r="D34" s="19" t="n">
        <f aca="false">D32+D33</f>
        <v>37502.5846153846</v>
      </c>
      <c r="E34" s="19" t="n">
        <f aca="false">E32+E33</f>
        <v>37502.5846153846</v>
      </c>
      <c r="F34" s="19" t="n">
        <f aca="false">F32+F33</f>
        <v>37502.5846153846</v>
      </c>
      <c r="G34" s="19" t="n">
        <f aca="false">G32+G33</f>
        <v>37502.5846153846</v>
      </c>
      <c r="H34" s="19" t="n">
        <f aca="false">H32+H33</f>
        <v>37502.5846153846</v>
      </c>
      <c r="I34" s="19" t="n">
        <f aca="false">I32+I33</f>
        <v>37502.5846153846</v>
      </c>
      <c r="J34" s="19" t="n">
        <f aca="false">J32+J33</f>
        <v>37502.5846153846</v>
      </c>
      <c r="K34" s="19" t="n">
        <f aca="false">K32+K33</f>
        <v>37502.5846153846</v>
      </c>
      <c r="L34" s="19" t="n">
        <f aca="false">L32+L33</f>
        <v>37502.5846153846</v>
      </c>
      <c r="M34" s="19" t="n">
        <f aca="false">M32+M33</f>
        <v>37502.5846153846</v>
      </c>
      <c r="N34" s="19" t="n">
        <f aca="false">N32+N33</f>
        <v>37502.5846153846</v>
      </c>
    </row>
    <row r="35" customFormat="false" ht="15" hidden="false" customHeight="true" outlineLevel="0" collapsed="false">
      <c r="B35" s="3" t="s">
        <v>121</v>
      </c>
      <c r="D35" s="23" t="n">
        <f aca="false">IF(D$2&lt;=Inputs!$B$36,D31,MAX(0,FV(IF(AND(Inputs!$F$14&gt;0,D$2&gt;Inputs!$F$14),Inputs!$F$18,Inputs!$B$34)/12,12,IF(AND(Inputs!$F$14&gt;0,D$2&gt;Inputs!$F$14),Inputs!$F$28,Inputs!$B$53),-D31)))</f>
        <v>445142.317433901</v>
      </c>
      <c r="E35" s="23" t="n">
        <f aca="false">IF(E$2&lt;=Inputs!$B$36,E31,MAX(0,FV(IF(AND(Inputs!$F$14&gt;0,E$2&gt;Inputs!$F$14),Inputs!$F$18,Inputs!$B$34)/12,12,IF(AND(Inputs!$F$14&gt;0,E$2&gt;Inputs!$F$14),Inputs!$F$28,Inputs!$B$53),-E31)))</f>
        <v>437451.805397929</v>
      </c>
      <c r="F35" s="23" t="n">
        <f aca="false">IF(F$2&lt;=Inputs!$B$36,F31,MAX(0,FV(IF(AND(Inputs!$F$14&gt;0,F$2&gt;Inputs!$F$14),Inputs!$F$18,Inputs!$B$34)/12,12,IF(AND(Inputs!$F$14&gt;0,F$2&gt;Inputs!$F$14),Inputs!$F$28,Inputs!$B$53),-F31)))</f>
        <v>429225.818877712</v>
      </c>
      <c r="G35" s="23" t="n">
        <f aca="false">IF(G$2&lt;=Inputs!$B$36,G31,MAX(0,FV(IF(AND(Inputs!$F$14&gt;0,G$2&gt;Inputs!$F$14),Inputs!$F$18,Inputs!$B$34)/12,12,IF(AND(Inputs!$F$14&gt;0,G$2&gt;Inputs!$F$14),Inputs!$F$28,Inputs!$B$53),-G31)))</f>
        <v>420427.073889825</v>
      </c>
      <c r="H35" s="23" t="n">
        <f aca="false">IF(H$2&lt;=Inputs!$B$36,H31,MAX(0,FV(IF(AND(Inputs!$F$14&gt;0,H$2&gt;Inputs!$F$14),Inputs!$F$18,Inputs!$B$34)/12,12,IF(AND(Inputs!$F$14&gt;0,H$2&gt;Inputs!$F$14),Inputs!$F$28,Inputs!$B$53),-H31)))</f>
        <v>411015.69044401</v>
      </c>
      <c r="I35" s="23" t="n">
        <f aca="false">IF(I$2&lt;=Inputs!$B$36,I31,MAX(0,FV(IF(AND(Inputs!$F$14&gt;0,I$2&gt;Inputs!$F$14),Inputs!$F$18,Inputs!$B$34)/12,12,IF(AND(Inputs!$F$14&gt;0,I$2&gt;Inputs!$F$14),Inputs!$F$28,Inputs!$B$53),-I31)))</f>
        <v>400949.011788577</v>
      </c>
      <c r="J35" s="23" t="n">
        <f aca="false">IF(J$2&lt;=Inputs!$B$36,J31,MAX(0,FV(IF(AND(Inputs!$F$14&gt;0,J$2&gt;Inputs!$F$14),Inputs!$F$18,Inputs!$B$34)/12,12,IF(AND(Inputs!$F$14&gt;0,J$2&gt;Inputs!$F$14),Inputs!$F$28,Inputs!$B$53),-J31)))</f>
        <v>390181.411070234</v>
      </c>
      <c r="K35" s="23" t="n">
        <f aca="false">IF(K$2&lt;=Inputs!$B$36,K31,MAX(0,FV(IF(AND(Inputs!$F$14&gt;0,K$2&gt;Inputs!$F$14),Inputs!$F$18,Inputs!$B$34)/12,12,IF(AND(Inputs!$F$14&gt;0,K$2&gt;Inputs!$F$14),Inputs!$F$28,Inputs!$B$53),-K31)))</f>
        <v>378664.084532044</v>
      </c>
      <c r="L35" s="23" t="n">
        <f aca="false">IF(L$2&lt;=Inputs!$B$36,L31,MAX(0,FV(IF(AND(Inputs!$F$14&gt;0,L$2&gt;Inputs!$F$14),Inputs!$F$18,Inputs!$B$34)/12,12,IF(AND(Inputs!$F$14&gt;0,L$2&gt;Inputs!$F$14),Inputs!$F$28,Inputs!$B$53),-L31)))</f>
        <v>366344.830312176</v>
      </c>
      <c r="M35" s="23" t="n">
        <f aca="false">IF(M$2&lt;=Inputs!$B$36,M31,MAX(0,FV(IF(AND(Inputs!$F$14&gt;0,M$2&gt;Inputs!$F$14),Inputs!$F$18,Inputs!$B$34)/12,12,IF(AND(Inputs!$F$14&gt;0,M$2&gt;Inputs!$F$14),Inputs!$F$28,Inputs!$B$53),-M31)))</f>
        <v>353167.811840876</v>
      </c>
      <c r="N35" s="23" t="n">
        <f aca="false">IF(N$2&lt;=Inputs!$B$36,N31,MAX(0,FV(IF(AND(Inputs!$F$14&gt;0,N$2&gt;Inputs!$F$14),Inputs!$F$18,Inputs!$B$34)/12,12,IF(AND(Inputs!$F$14&gt;0,N$2&gt;Inputs!$F$14),Inputs!$F$28,Inputs!$B$53),-N31)))</f>
        <v>339073.304763249</v>
      </c>
    </row>
    <row r="37" customFormat="false" ht="15" hidden="false" customHeight="true" outlineLevel="0" collapsed="false">
      <c r="B37" s="4" t="s">
        <v>122</v>
      </c>
      <c r="D37" s="19" t="n">
        <f aca="false">D28-D34</f>
        <v>8250.77538461541</v>
      </c>
      <c r="E37" s="19" t="n">
        <f aca="false">E28-E34</f>
        <v>8853.84258461541</v>
      </c>
      <c r="F37" s="19" t="n">
        <f aca="false">F28-F34</f>
        <v>9461.17112861542</v>
      </c>
      <c r="G37" s="19" t="n">
        <f aca="false">G28-G34</f>
        <v>10072.6512434954</v>
      </c>
      <c r="H37" s="19" t="n">
        <f aca="false">H28-H34</f>
        <v>10688.1660856731</v>
      </c>
      <c r="I37" s="19" t="n">
        <f aca="false">I28-I34</f>
        <v>11307.5914778192</v>
      </c>
      <c r="J37" s="19" t="n">
        <f aca="false">J28-J34</f>
        <v>11930.7956372614</v>
      </c>
      <c r="K37" s="19" t="n">
        <f aca="false">K28-K34</f>
        <v>12557.6388958319</v>
      </c>
      <c r="L37" s="19" t="n">
        <f aca="false">L28-L34</f>
        <v>13187.9734109118</v>
      </c>
      <c r="M37" s="19" t="n">
        <f aca="false">M28-M34</f>
        <v>13821.6428674146</v>
      </c>
      <c r="N37" s="19" t="n">
        <f aca="false">N28-N34</f>
        <v>14458.4821704469</v>
      </c>
    </row>
    <row r="38" customFormat="false" ht="15" hidden="false" customHeight="true" outlineLevel="0" collapsed="false">
      <c r="B38" s="3" t="s">
        <v>123</v>
      </c>
      <c r="D38" s="24" t="n">
        <f aca="false">IFERROR(D25/D34,"")</f>
        <v>1.3</v>
      </c>
      <c r="E38" s="24" t="n">
        <f aca="false">IFERROR(E25/E34,"")</f>
        <v>1.31808054583315</v>
      </c>
      <c r="F38" s="24" t="n">
        <f aca="false">IFERROR(F25/F34,"")</f>
        <v>1.33632471622879</v>
      </c>
      <c r="G38" s="24" t="n">
        <f aca="false">IFERROR(G25/G34,"")</f>
        <v>1.35473083401932</v>
      </c>
      <c r="H38" s="24" t="n">
        <f aca="false">IFERROR(H25/H34,"")</f>
        <v>1.37329706475231</v>
      </c>
      <c r="I38" s="24" t="n">
        <f aca="false">IFERROR(I25/I34,"")</f>
        <v>1.39202141045127</v>
      </c>
      <c r="J38" s="24" t="n">
        <f aca="false">IFERROR(J25/J34,"")</f>
        <v>1.41090170317431</v>
      </c>
      <c r="K38" s="24" t="n">
        <f aca="false">IFERROR(K25/K34,"")</f>
        <v>1.42993559836466</v>
      </c>
      <c r="L38" s="24" t="n">
        <f aca="false">IFERROR(L25/L34,"")</f>
        <v>1.44912056798699</v>
      </c>
      <c r="M38" s="24" t="n">
        <f aca="false">IFERROR(M25/M34,"")</f>
        <v>1.46845389344314</v>
      </c>
      <c r="N38" s="24" t="n">
        <f aca="false">IFERROR(N25/N34,"")</f>
        <v>1.48793265826082</v>
      </c>
    </row>
    <row r="39" customFormat="false" ht="15" hidden="false" customHeight="true" outlineLevel="0" collapsed="false">
      <c r="B39" s="3" t="s">
        <v>124</v>
      </c>
      <c r="D39" s="25" t="n">
        <f aca="false">IFERROR(D37/Inputs!$B$54,"")</f>
        <v>0.0260120007153402</v>
      </c>
      <c r="E39" s="25" t="n">
        <f aca="false">IFERROR(E37/Inputs!$B$54,"")</f>
        <v>0.0279132746813057</v>
      </c>
      <c r="F39" s="25" t="n">
        <f aca="false">IFERROR(F37/Inputs!$B$54,"")</f>
        <v>0.0298279832734741</v>
      </c>
      <c r="G39" s="25" t="n">
        <f aca="false">IFERROR(G37/Inputs!$B$54,"")</f>
        <v>0.0317557804130416</v>
      </c>
      <c r="H39" s="25" t="n">
        <f aca="false">IFERROR(H37/Inputs!$B$54,"")</f>
        <v>0.033696297730345</v>
      </c>
      <c r="I39" s="25" t="n">
        <f aca="false">IFERROR(I37/Inputs!$B$54,"")</f>
        <v>0.0356491437348125</v>
      </c>
      <c r="J39" s="25" t="n">
        <f aca="false">IFERROR(J37/Inputs!$B$54,"")</f>
        <v>0.0376139029587081</v>
      </c>
      <c r="K39" s="25" t="n">
        <f aca="false">IFERROR(K37/Inputs!$B$54,"")</f>
        <v>0.0395901350739036</v>
      </c>
      <c r="L39" s="25" t="n">
        <f aca="false">IFERROR(L37/Inputs!$B$54,"")</f>
        <v>0.0415773739808959</v>
      </c>
      <c r="M39" s="25" t="n">
        <f aca="false">IFERROR(M37/Inputs!$B$54,"")</f>
        <v>0.0435751268692578</v>
      </c>
      <c r="N39" s="25" t="n">
        <f aca="false">IFERROR(N37/Inputs!$B$54,"")</f>
        <v>0.0455828732486977</v>
      </c>
    </row>
    <row r="40" customFormat="false" ht="15" hidden="false" customHeight="true" outlineLevel="0" collapsed="false">
      <c r="B40" s="3" t="s">
        <v>125</v>
      </c>
      <c r="D40" s="24" t="n">
        <f aca="false">IFERROR((D25+D26)/D34,"")</f>
        <v>1.22000551346615</v>
      </c>
      <c r="E40" s="24" t="n">
        <f aca="false">IFERROR((E25+E26)/E34,"")</f>
        <v>1.23608619713595</v>
      </c>
      <c r="F40" s="24" t="n">
        <f aca="false">IFERROR((F25+F26)/F34,"")</f>
        <v>1.25228050881416</v>
      </c>
      <c r="G40" s="24" t="n">
        <f aca="false">IFERROR((G25+G26)/G34,"")</f>
        <v>1.26858552141933</v>
      </c>
      <c r="H40" s="24" t="n">
        <f aca="false">IFERROR((H25+H26)/H34,"")</f>
        <v>1.28499811933731</v>
      </c>
      <c r="I40" s="24" t="n">
        <f aca="false">IFERROR((I25+I26)/I34,"")</f>
        <v>1.3015149914009</v>
      </c>
      <c r="J40" s="24" t="n">
        <f aca="false">IFERROR((J25+J26)/J34,"")</f>
        <v>1.31813262364768</v>
      </c>
      <c r="K40" s="24" t="n">
        <f aca="false">IFERROR((K25+K26)/K34,"")</f>
        <v>1.33484729184986</v>
      </c>
      <c r="L40" s="24" t="n">
        <f aca="false">IFERROR((L25+L26)/L34,"")</f>
        <v>1.35165505380932</v>
      </c>
      <c r="M40" s="24" t="n">
        <f aca="false">IFERROR((M25+M26)/M34,"")</f>
        <v>1.36855174141103</v>
      </c>
      <c r="N40" s="24" t="n">
        <f aca="false">IFERROR((N25+N26)/N34,"")</f>
        <v>1.38553295242792</v>
      </c>
    </row>
    <row r="41" customFormat="false" ht="15" hidden="false" customHeight="true" outlineLevel="0" collapsed="false">
      <c r="B41" s="4" t="s">
        <v>126</v>
      </c>
    </row>
    <row r="42" customFormat="false" ht="15" hidden="false" customHeight="true" outlineLevel="0" collapsed="false">
      <c r="B42" s="1" t="s">
        <v>16</v>
      </c>
      <c r="C42" s="12" t="n">
        <f aca="false">-Inputs!$B$2</f>
        <v>-750000</v>
      </c>
    </row>
    <row r="43" customFormat="false" ht="15" hidden="false" customHeight="true" outlineLevel="0" collapsed="false">
      <c r="B43" s="1" t="s">
        <v>127</v>
      </c>
      <c r="C43" s="12" t="n">
        <f aca="false">-Inputs!$B$2*Inputs!$B$3</f>
        <v>-15000</v>
      </c>
    </row>
    <row r="44" customFormat="false" ht="15" hidden="false" customHeight="true" outlineLevel="0" collapsed="false">
      <c r="B44" s="1" t="s">
        <v>128</v>
      </c>
      <c r="C44" s="12" t="n">
        <f aca="false">-Inputs!$B$52*Inputs!$B$4</f>
        <v>-4523.32211950512</v>
      </c>
    </row>
    <row r="45" customFormat="false" ht="15" hidden="false" customHeight="true" outlineLevel="0" collapsed="false">
      <c r="B45" s="1" t="s">
        <v>129</v>
      </c>
      <c r="C45" s="12" t="n">
        <f aca="false">Inputs!$B$52</f>
        <v>452332.211950512</v>
      </c>
    </row>
    <row r="46" customFormat="false" ht="15" hidden="false" customHeight="true" outlineLevel="0" collapsed="false">
      <c r="B46" s="1" t="s">
        <v>130</v>
      </c>
      <c r="D46" s="12" t="n">
        <f aca="false">IF(D$2=Inputs!$B$40,E25/Inputs!$B$41,0)</f>
        <v>0</v>
      </c>
      <c r="E46" s="12" t="n">
        <f aca="false">IF(E$2=Inputs!$B$40,F25/Inputs!$B$41,0)</f>
        <v>0</v>
      </c>
      <c r="F46" s="12" t="n">
        <f aca="false">IF(F$2=Inputs!$B$40,G25/Inputs!$B$41,0)</f>
        <v>0</v>
      </c>
      <c r="G46" s="12" t="n">
        <f aca="false">IF(G$2=Inputs!$B$40,H25/Inputs!$B$41,0)</f>
        <v>0</v>
      </c>
      <c r="H46" s="12" t="n">
        <f aca="false">IF(H$2=Inputs!$B$40,I25/Inputs!$B$41,0)</f>
        <v>745777.153312509</v>
      </c>
      <c r="I46" s="12" t="n">
        <f aca="false">IF(I$2=Inputs!$B$40,J25/Inputs!$B$41,0)</f>
        <v>0</v>
      </c>
      <c r="J46" s="12" t="n">
        <f aca="false">IF(J$2=Inputs!$B$40,K25/Inputs!$B$41,0)</f>
        <v>0</v>
      </c>
      <c r="K46" s="12" t="n">
        <f aca="false">IF(K$2=Inputs!$B$40,L25/Inputs!$B$41,0)</f>
        <v>0</v>
      </c>
      <c r="L46" s="12" t="n">
        <f aca="false">IF(L$2=Inputs!$B$40,M25/Inputs!$B$41,0)</f>
        <v>0</v>
      </c>
      <c r="M46" s="12" t="n">
        <f aca="false">IF(M$2=Inputs!$B$40,N25/Inputs!$B$41,0)</f>
        <v>0</v>
      </c>
    </row>
    <row r="47" customFormat="false" ht="15" hidden="false" customHeight="true" outlineLevel="0" collapsed="false">
      <c r="B47" s="1" t="s">
        <v>131</v>
      </c>
      <c r="D47" s="12" t="n">
        <f aca="false">-D46*Inputs!$B$42</f>
        <v>-0</v>
      </c>
      <c r="E47" s="12" t="n">
        <f aca="false">-E46*Inputs!$B$42</f>
        <v>-0</v>
      </c>
      <c r="F47" s="12" t="n">
        <f aca="false">-F46*Inputs!$B$42</f>
        <v>-0</v>
      </c>
      <c r="G47" s="12" t="n">
        <f aca="false">-G46*Inputs!$B$42</f>
        <v>-0</v>
      </c>
      <c r="H47" s="12" t="n">
        <f aca="false">-H46*Inputs!$B$42</f>
        <v>-22373.3145993753</v>
      </c>
      <c r="I47" s="12" t="n">
        <f aca="false">-I46*Inputs!$B$42</f>
        <v>-0</v>
      </c>
      <c r="J47" s="12" t="n">
        <f aca="false">-J46*Inputs!$B$42</f>
        <v>-0</v>
      </c>
      <c r="K47" s="12" t="n">
        <f aca="false">-K46*Inputs!$B$42</f>
        <v>-0</v>
      </c>
      <c r="L47" s="12" t="n">
        <f aca="false">-L46*Inputs!$B$42</f>
        <v>-0</v>
      </c>
      <c r="M47" s="12" t="n">
        <f aca="false">-M46*Inputs!$B$42</f>
        <v>-0</v>
      </c>
    </row>
    <row r="48" customFormat="false" ht="15" hidden="false" customHeight="true" outlineLevel="0" collapsed="false">
      <c r="B48" s="1" t="s">
        <v>132</v>
      </c>
      <c r="D48" s="12" t="n">
        <f aca="false">IF(D$2=Inputs!$B$40,-D35,0)</f>
        <v>0</v>
      </c>
      <c r="E48" s="12" t="n">
        <f aca="false">IF(E$2=Inputs!$B$40,-E35,0)</f>
        <v>0</v>
      </c>
      <c r="F48" s="12" t="n">
        <f aca="false">IF(F$2=Inputs!$B$40,-F35,0)</f>
        <v>0</v>
      </c>
      <c r="G48" s="12" t="n">
        <f aca="false">IF(G$2=Inputs!$B$40,-G35,0)</f>
        <v>0</v>
      </c>
      <c r="H48" s="12" t="n">
        <f aca="false">IF(H$2=Inputs!$B$40,-H35,0)</f>
        <v>-411015.69044401</v>
      </c>
      <c r="I48" s="12" t="n">
        <f aca="false">IF(I$2=Inputs!$B$40,-I35,0)</f>
        <v>0</v>
      </c>
      <c r="J48" s="12" t="n">
        <f aca="false">IF(J$2=Inputs!$B$40,-J35,0)</f>
        <v>0</v>
      </c>
      <c r="K48" s="12" t="n">
        <f aca="false">IF(K$2=Inputs!$B$40,-K35,0)</f>
        <v>0</v>
      </c>
      <c r="L48" s="12" t="n">
        <f aca="false">IF(L$2=Inputs!$B$40,-L35,0)</f>
        <v>0</v>
      </c>
      <c r="M48" s="12" t="n">
        <f aca="false">IF(M$2=Inputs!$B$40,-M35,0)</f>
        <v>0</v>
      </c>
    </row>
    <row r="49" customFormat="false" ht="15" hidden="false" customHeight="true" outlineLevel="0" collapsed="false">
      <c r="B49" s="1" t="s">
        <v>133</v>
      </c>
      <c r="D49" s="12" t="n">
        <f aca="false">IF(AND(Inputs!$F$14&gt;0,D$2=Inputs!$F$14),Inputs!$F$27,0)</f>
        <v>0</v>
      </c>
      <c r="E49" s="12" t="n">
        <f aca="false">IF(AND(Inputs!$F$14&gt;0,E$2=Inputs!$F$14),Inputs!$F$27,0)</f>
        <v>0</v>
      </c>
      <c r="F49" s="12" t="n">
        <f aca="false">IF(AND(Inputs!$F$14&gt;0,F$2=Inputs!$F$14),Inputs!$F$27,0)</f>
        <v>0</v>
      </c>
      <c r="G49" s="12" t="n">
        <f aca="false">IF(AND(Inputs!$F$14&gt;0,G$2=Inputs!$F$14),Inputs!$F$27,0)</f>
        <v>0</v>
      </c>
      <c r="H49" s="12" t="n">
        <f aca="false">IF(AND(Inputs!$F$14&gt;0,H$2=Inputs!$F$14),Inputs!$F$27,0)</f>
        <v>0</v>
      </c>
      <c r="I49" s="12" t="n">
        <f aca="false">IF(AND(Inputs!$F$14&gt;0,I$2=Inputs!$F$14),Inputs!$F$27,0)</f>
        <v>0</v>
      </c>
      <c r="J49" s="12" t="n">
        <f aca="false">IF(AND(Inputs!$F$14&gt;0,J$2=Inputs!$F$14),Inputs!$F$27,0)</f>
        <v>0</v>
      </c>
      <c r="K49" s="12" t="n">
        <f aca="false">IF(AND(Inputs!$F$14&gt;0,K$2=Inputs!$F$14),Inputs!$F$27,0)</f>
        <v>0</v>
      </c>
      <c r="L49" s="12" t="n">
        <f aca="false">IF(AND(Inputs!$F$14&gt;0,L$2=Inputs!$F$14),Inputs!$F$27,0)</f>
        <v>0</v>
      </c>
      <c r="M49" s="12" t="n">
        <f aca="false">IF(AND(Inputs!$F$14&gt;0,M$2=Inputs!$F$14),Inputs!$F$27,0)</f>
        <v>0</v>
      </c>
      <c r="N49" s="12" t="n">
        <f aca="false">IF(AND(Inputs!$F$14&gt;0,N$2=Inputs!$F$14),Inputs!$F$27,0)</f>
        <v>0</v>
      </c>
    </row>
    <row r="50" customFormat="false" ht="15" hidden="false" customHeight="true" outlineLevel="0" collapsed="false">
      <c r="B50" s="4" t="s">
        <v>134</v>
      </c>
      <c r="C50" s="19" t="n">
        <f aca="false">C42+C43+C52</f>
        <v>-765000</v>
      </c>
      <c r="D50" s="19" t="n">
        <f aca="false">IF(D$2&lt;=Inputs!$B$40,D28,0)+D46+D47</f>
        <v>45753.36</v>
      </c>
      <c r="E50" s="19" t="n">
        <f aca="false">IF(E$2&lt;=Inputs!$B$40,E28,0)+E46+E47</f>
        <v>46356.4272</v>
      </c>
      <c r="F50" s="19" t="n">
        <f aca="false">IF(F$2&lt;=Inputs!$B$40,F28,0)+F46+F47</f>
        <v>46963.755744</v>
      </c>
      <c r="G50" s="19" t="n">
        <f aca="false">IF(G$2&lt;=Inputs!$B$40,G28,0)+G46+G47</f>
        <v>47575.23585888</v>
      </c>
      <c r="H50" s="19" t="n">
        <f aca="false">IF(H$2&lt;=Inputs!$B$40,H28,0)+H46+H47</f>
        <v>771594.589414192</v>
      </c>
      <c r="I50" s="19" t="n">
        <f aca="false">IF(I$2&lt;=Inputs!$B$40,I28,0)+I46+I47</f>
        <v>0</v>
      </c>
      <c r="J50" s="19" t="n">
        <f aca="false">IF(J$2&lt;=Inputs!$B$40,J28,0)+J46+J47</f>
        <v>0</v>
      </c>
      <c r="K50" s="19" t="n">
        <f aca="false">IF(K$2&lt;=Inputs!$B$40,K28,0)+K46+K47</f>
        <v>0</v>
      </c>
      <c r="L50" s="19" t="n">
        <f aca="false">IF(L$2&lt;=Inputs!$B$40,L28,0)+L46+L47</f>
        <v>0</v>
      </c>
      <c r="M50" s="19" t="n">
        <f aca="false">IF(M$2&lt;=Inputs!$B$40,M28,0)+M46+M47</f>
        <v>0</v>
      </c>
      <c r="N50" s="19" t="n">
        <f aca="false">IF(N$2&lt;=Inputs!$B$40,N28,0)+0</f>
        <v>0</v>
      </c>
    </row>
    <row r="51" customFormat="false" ht="15" hidden="false" customHeight="true" outlineLevel="0" collapsed="false">
      <c r="B51" s="4" t="s">
        <v>135</v>
      </c>
      <c r="C51" s="19" t="n">
        <f aca="false">C42+C43+C44+C45+C52</f>
        <v>-317191.110168993</v>
      </c>
      <c r="D51" s="19" t="n">
        <f aca="false">IF(D$2&lt;=Inputs!$B$40,D37,0)+D46+D47+D48+D49</f>
        <v>8250.77538461541</v>
      </c>
      <c r="E51" s="19" t="n">
        <f aca="false">IF(E$2&lt;=Inputs!$B$40,E37,0)+E46+E47+E48+E49</f>
        <v>8853.84258461541</v>
      </c>
      <c r="F51" s="19" t="n">
        <f aca="false">IF(F$2&lt;=Inputs!$B$40,F37,0)+F46+F47+F48+F49</f>
        <v>9461.17112861542</v>
      </c>
      <c r="G51" s="19" t="n">
        <f aca="false">IF(G$2&lt;=Inputs!$B$40,G37,0)+G46+G47+G48+G49</f>
        <v>10072.6512434954</v>
      </c>
      <c r="H51" s="19" t="n">
        <f aca="false">IF(H$2&lt;=Inputs!$B$40,H37,0)+H46+H47+H48+H49</f>
        <v>323076.314354797</v>
      </c>
      <c r="I51" s="19" t="n">
        <f aca="false">IF(I$2&lt;=Inputs!$B$40,I37,0)+I46+I47+I48+I49</f>
        <v>0</v>
      </c>
      <c r="J51" s="19" t="n">
        <f aca="false">IF(J$2&lt;=Inputs!$B$40,J37,0)+J46+J47+J48+J49</f>
        <v>0</v>
      </c>
      <c r="K51" s="19" t="n">
        <f aca="false">IF(K$2&lt;=Inputs!$B$40,K37,0)+K46+K47+K48+K49</f>
        <v>0</v>
      </c>
      <c r="L51" s="19" t="n">
        <f aca="false">IF(L$2&lt;=Inputs!$B$40,L37,0)+L46+L47+L48+L49</f>
        <v>0</v>
      </c>
      <c r="M51" s="19" t="n">
        <f aca="false">IF(M$2&lt;=Inputs!$B$40,M37,0)+M46+M47+M48+M49</f>
        <v>0</v>
      </c>
      <c r="N51" s="19" t="n">
        <f aca="false">IF(N$2&lt;=Inputs!$B$40,N37,0)+0+0+N49</f>
        <v>0</v>
      </c>
    </row>
    <row r="52" customFormat="false" ht="15" hidden="false" customHeight="true" outlineLevel="0" collapsed="false">
      <c r="B52" s="1" t="s">
        <v>136</v>
      </c>
      <c r="C52" s="12" t="n">
        <f aca="false">-Inputs!$F$38</f>
        <v>-0</v>
      </c>
    </row>
    <row r="53" customFormat="false" ht="15" hidden="false" customHeight="true" outlineLevel="0" collapsed="false">
      <c r="B53" s="4" t="s">
        <v>137</v>
      </c>
    </row>
    <row r="54" customFormat="false" ht="15" hidden="false" customHeight="true" outlineLevel="0" collapsed="false">
      <c r="B54" s="1" t="s">
        <v>138</v>
      </c>
      <c r="C54" s="21" t="n">
        <f aca="false">IFERROR(IRR(C50:N50,0.1),"")</f>
        <v>0.0515052502217427</v>
      </c>
    </row>
    <row r="55" customFormat="false" ht="15" hidden="false" customHeight="true" outlineLevel="0" collapsed="false">
      <c r="B55" s="1" t="s">
        <v>139</v>
      </c>
      <c r="C55" s="26" t="n">
        <f aca="false">IFERROR(IRR(C51:N51,0.1),"")</f>
        <v>0.0268692254293095</v>
      </c>
    </row>
    <row r="56" customFormat="false" ht="15" hidden="false" customHeight="true" outlineLevel="0" collapsed="false">
      <c r="B56" s="1" t="s">
        <v>140</v>
      </c>
      <c r="C56" s="27" t="n">
        <f aca="false">IFERROR(1+SUM(C51:N51)/(-C51),"")</f>
        <v>1.13406316622332</v>
      </c>
    </row>
    <row r="57" customFormat="false" ht="15" hidden="false" customHeight="true" outlineLevel="0" collapsed="false">
      <c r="B57" s="1" t="s">
        <v>141</v>
      </c>
      <c r="C57" s="12" t="n">
        <f aca="false">SUM(C51:N51)</f>
        <v>42523.6445271453</v>
      </c>
    </row>
    <row r="58" customFormat="false" ht="15" hidden="false" customHeight="true" outlineLevel="0" collapsed="false">
      <c r="B58" s="1" t="s">
        <v>142</v>
      </c>
      <c r="C58" s="21" t="n">
        <f aca="false">IFERROR(AVERAGEIFS(D37:N37,D2:N2,"&lt;="&amp;Inputs!$B$40)/Inputs!$B$54,"")</f>
        <v>0.0298410673627013</v>
      </c>
    </row>
    <row r="59" customFormat="false" ht="15" hidden="false" customHeight="true" outlineLevel="0" collapsed="false">
      <c r="B59" s="1" t="s">
        <v>143</v>
      </c>
      <c r="C59" s="28" t="n">
        <f aca="false">IFERROR(AVERAGEIFS(D25:N25,D2:N2,"&lt;="&amp;Inputs!$B$40)/AVERAGEIFS(D34:N34,D2:N2,"&lt;="&amp;Inputs!$B$40),"")</f>
        <v>1.33648663216671</v>
      </c>
    </row>
    <row r="61" customFormat="false" ht="15" hidden="false" customHeight="true" outlineLevel="0" collapsed="false">
      <c r="B61" s="4" t="s">
        <v>144</v>
      </c>
    </row>
    <row r="62" customFormat="false" ht="15" hidden="false" customHeight="true" outlineLevel="0" collapsed="false">
      <c r="B62" s="3" t="s">
        <v>145</v>
      </c>
      <c r="D62" s="29" t="n">
        <f aca="false">MIN(Inputs!$F$31,MAX(0,(D$2-Inputs!$F$36+1)*Inputs!$F$34))</f>
        <v>0</v>
      </c>
      <c r="E62" s="29" t="n">
        <f aca="false">MIN(Inputs!$F$31,MAX(0,(E$2-Inputs!$F$36+1)*Inputs!$F$34))</f>
        <v>0</v>
      </c>
      <c r="F62" s="29" t="n">
        <f aca="false">MIN(Inputs!$F$31,MAX(0,(F$2-Inputs!$F$36+1)*Inputs!$F$34))</f>
        <v>0</v>
      </c>
      <c r="G62" s="29" t="n">
        <f aca="false">MIN(Inputs!$F$31,MAX(0,(G$2-Inputs!$F$36+1)*Inputs!$F$34))</f>
        <v>0</v>
      </c>
      <c r="H62" s="29" t="n">
        <f aca="false">MIN(Inputs!$F$31,MAX(0,(H$2-Inputs!$F$36+1)*Inputs!$F$34))</f>
        <v>0</v>
      </c>
      <c r="I62" s="29" t="n">
        <f aca="false">MIN(Inputs!$F$31,MAX(0,(I$2-Inputs!$F$36+1)*Inputs!$F$34))</f>
        <v>0</v>
      </c>
      <c r="J62" s="29" t="n">
        <f aca="false">MIN(Inputs!$F$31,MAX(0,(J$2-Inputs!$F$36+1)*Inputs!$F$34))</f>
        <v>0</v>
      </c>
      <c r="K62" s="29" t="n">
        <f aca="false">MIN(Inputs!$F$31,MAX(0,(K$2-Inputs!$F$36+1)*Inputs!$F$34))</f>
        <v>0</v>
      </c>
      <c r="L62" s="29" t="n">
        <f aca="false">MIN(Inputs!$F$31,MAX(0,(L$2-Inputs!$F$36+1)*Inputs!$F$34))</f>
        <v>0</v>
      </c>
      <c r="M62" s="29" t="n">
        <f aca="false">MIN(Inputs!$F$31,MAX(0,(M$2-Inputs!$F$36+1)*Inputs!$F$34))</f>
        <v>0</v>
      </c>
      <c r="N62" s="29" t="n">
        <f aca="false">MIN(Inputs!$F$31,MAX(0,(N$2-Inputs!$F$36+1)*Inputs!$F$34))</f>
        <v>0</v>
      </c>
    </row>
    <row r="63" customFormat="false" ht="15" hidden="false" customHeight="true" outlineLevel="0" collapsed="false">
      <c r="B63" s="3" t="s">
        <v>146</v>
      </c>
      <c r="D63" s="23" t="n">
        <f aca="false">MIN(Inputs!$F$31,MAX(0,(D$2-Inputs!$F$36+1)*Inputs!$F$34))*Inputs!$F$33*12*(1+Inputs!$B$13)^(D$2-1)</f>
        <v>0</v>
      </c>
      <c r="E63" s="23" t="n">
        <f aca="false">MIN(Inputs!$F$31,MAX(0,(E$2-Inputs!$F$36+1)*Inputs!$F$34))*Inputs!$F$33*12*(1+Inputs!$B$13)^(E$2-1)</f>
        <v>0</v>
      </c>
      <c r="F63" s="23" t="n">
        <f aca="false">MIN(Inputs!$F$31,MAX(0,(F$2-Inputs!$F$36+1)*Inputs!$F$34))*Inputs!$F$33*12*(1+Inputs!$B$13)^(F$2-1)</f>
        <v>0</v>
      </c>
      <c r="G63" s="23" t="n">
        <f aca="false">MIN(Inputs!$F$31,MAX(0,(G$2-Inputs!$F$36+1)*Inputs!$F$34))*Inputs!$F$33*12*(1+Inputs!$B$13)^(G$2-1)</f>
        <v>0</v>
      </c>
      <c r="H63" s="23" t="n">
        <f aca="false">MIN(Inputs!$F$31,MAX(0,(H$2-Inputs!$F$36+1)*Inputs!$F$34))*Inputs!$F$33*12*(1+Inputs!$B$13)^(H$2-1)</f>
        <v>0</v>
      </c>
      <c r="I63" s="23" t="n">
        <f aca="false">MIN(Inputs!$F$31,MAX(0,(I$2-Inputs!$F$36+1)*Inputs!$F$34))*Inputs!$F$33*12*(1+Inputs!$B$13)^(I$2-1)</f>
        <v>0</v>
      </c>
      <c r="J63" s="23" t="n">
        <f aca="false">MIN(Inputs!$F$31,MAX(0,(J$2-Inputs!$F$36+1)*Inputs!$F$34))*Inputs!$F$33*12*(1+Inputs!$B$13)^(J$2-1)</f>
        <v>0</v>
      </c>
      <c r="K63" s="23" t="n">
        <f aca="false">MIN(Inputs!$F$31,MAX(0,(K$2-Inputs!$F$36+1)*Inputs!$F$34))*Inputs!$F$33*12*(1+Inputs!$B$13)^(K$2-1)</f>
        <v>0</v>
      </c>
      <c r="L63" s="23" t="n">
        <f aca="false">MIN(Inputs!$F$31,MAX(0,(L$2-Inputs!$F$36+1)*Inputs!$F$34))*Inputs!$F$33*12*(1+Inputs!$B$13)^(L$2-1)</f>
        <v>0</v>
      </c>
      <c r="M63" s="23" t="n">
        <f aca="false">MIN(Inputs!$F$31,MAX(0,(M$2-Inputs!$F$36+1)*Inputs!$F$34))*Inputs!$F$33*12*(1+Inputs!$B$13)^(M$2-1)</f>
        <v>0</v>
      </c>
      <c r="N63" s="23" t="n">
        <f aca="false">MIN(Inputs!$F$31,MAX(0,(N$2-Inputs!$F$36+1)*Inputs!$F$34))*Inputs!$F$33*12*(1+Inputs!$B$13)^(N$2-1)</f>
        <v>0</v>
      </c>
    </row>
    <row r="64" customFormat="false" ht="15" hidden="false" customHeight="true" outlineLevel="0" collapsed="false">
      <c r="B64" s="3" t="s">
        <v>147</v>
      </c>
      <c r="D64" s="23" t="n">
        <f aca="false">-(MIN(Inputs!$F$31,MAX(0,(D$2-Inputs!$F$36+1)*Inputs!$F$34))-MIN(Inputs!$F$31,MAX(0,(D$2-Inputs!$F$36)*Inputs!$F$34)))*Inputs!$F$35*Inputs!$H$11*(1+Inputs!$B$13)^(D$2-1)</f>
        <v>-0</v>
      </c>
      <c r="E64" s="23" t="n">
        <f aca="false">-(MIN(Inputs!$F$31,MAX(0,(E$2-Inputs!$F$36+1)*Inputs!$F$34))-MIN(Inputs!$F$31,MAX(0,(E$2-Inputs!$F$36)*Inputs!$F$34)))*Inputs!$F$35*Inputs!$H$11*(1+Inputs!$B$13)^(E$2-1)</f>
        <v>-0</v>
      </c>
      <c r="F64" s="23" t="n">
        <f aca="false">-(MIN(Inputs!$F$31,MAX(0,(F$2-Inputs!$F$36+1)*Inputs!$F$34))-MIN(Inputs!$F$31,MAX(0,(F$2-Inputs!$F$36)*Inputs!$F$34)))*Inputs!$F$35*Inputs!$H$11*(1+Inputs!$B$13)^(F$2-1)</f>
        <v>-0</v>
      </c>
      <c r="G64" s="23" t="n">
        <f aca="false">-(MIN(Inputs!$F$31,MAX(0,(G$2-Inputs!$F$36+1)*Inputs!$F$34))-MIN(Inputs!$F$31,MAX(0,(G$2-Inputs!$F$36)*Inputs!$F$34)))*Inputs!$F$35*Inputs!$H$11*(1+Inputs!$B$13)^(G$2-1)</f>
        <v>-0</v>
      </c>
      <c r="H64" s="23" t="n">
        <f aca="false">-(MIN(Inputs!$F$31,MAX(0,(H$2-Inputs!$F$36+1)*Inputs!$F$34))-MIN(Inputs!$F$31,MAX(0,(H$2-Inputs!$F$36)*Inputs!$F$34)))*Inputs!$F$35*Inputs!$H$11*(1+Inputs!$B$13)^(H$2-1)</f>
        <v>-0</v>
      </c>
      <c r="I64" s="23" t="n">
        <f aca="false">-(MIN(Inputs!$F$31,MAX(0,(I$2-Inputs!$F$36+1)*Inputs!$F$34))-MIN(Inputs!$F$31,MAX(0,(I$2-Inputs!$F$36)*Inputs!$F$34)))*Inputs!$F$35*Inputs!$H$11*(1+Inputs!$B$13)^(I$2-1)</f>
        <v>-0</v>
      </c>
      <c r="J64" s="23" t="n">
        <f aca="false">-(MIN(Inputs!$F$31,MAX(0,(J$2-Inputs!$F$36+1)*Inputs!$F$34))-MIN(Inputs!$F$31,MAX(0,(J$2-Inputs!$F$36)*Inputs!$F$34)))*Inputs!$F$35*Inputs!$H$11*(1+Inputs!$B$13)^(J$2-1)</f>
        <v>-0</v>
      </c>
      <c r="K64" s="23" t="n">
        <f aca="false">-(MIN(Inputs!$F$31,MAX(0,(K$2-Inputs!$F$36+1)*Inputs!$F$34))-MIN(Inputs!$F$31,MAX(0,(K$2-Inputs!$F$36)*Inputs!$F$34)))*Inputs!$F$35*Inputs!$H$11*(1+Inputs!$B$13)^(K$2-1)</f>
        <v>-0</v>
      </c>
      <c r="L64" s="23" t="n">
        <f aca="false">-(MIN(Inputs!$F$31,MAX(0,(L$2-Inputs!$F$36+1)*Inputs!$F$34))-MIN(Inputs!$F$31,MAX(0,(L$2-Inputs!$F$36)*Inputs!$F$34)))*Inputs!$F$35*Inputs!$H$11*(1+Inputs!$B$13)^(L$2-1)</f>
        <v>-0</v>
      </c>
      <c r="M64" s="23" t="n">
        <f aca="false">-(MIN(Inputs!$F$31,MAX(0,(M$2-Inputs!$F$36+1)*Inputs!$F$34))-MIN(Inputs!$F$31,MAX(0,(M$2-Inputs!$F$36)*Inputs!$F$34)))*Inputs!$F$35*Inputs!$H$11*(1+Inputs!$B$13)^(M$2-1)</f>
        <v>-0</v>
      </c>
      <c r="N64" s="23" t="n">
        <f aca="false">-(MIN(Inputs!$F$31,MAX(0,(N$2-Inputs!$F$36+1)*Inputs!$F$34))-MIN(Inputs!$F$31,MAX(0,(N$2-Inputs!$F$36)*Inputs!$F$34)))*Inputs!$F$35*Inputs!$H$11*(1+Inputs!$B$13)^(N$2-1)</f>
        <v>-0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3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2" min="2" style="1" width="30"/>
    <col collapsed="false" customWidth="true" hidden="false" outlineLevel="0" max="14" min="3" style="1" width="12"/>
  </cols>
  <sheetData>
    <row r="1" customFormat="false" ht="15" hidden="false" customHeight="true" outlineLevel="0" collapsed="false">
      <c r="A1" s="4" t="s">
        <v>148</v>
      </c>
    </row>
    <row r="2" customFormat="false" ht="15" hidden="false" customHeight="true" outlineLevel="0" collapsed="false">
      <c r="B2" s="1" t="s">
        <v>94</v>
      </c>
      <c r="C2" s="30" t="n">
        <f aca="false">Inputs!$B$55</f>
        <v>285471.999152094</v>
      </c>
    </row>
    <row r="3" customFormat="false" ht="15" hidden="false" customHeight="true" outlineLevel="0" collapsed="false">
      <c r="B3" s="1" t="s">
        <v>95</v>
      </c>
      <c r="C3" s="30" t="n">
        <f aca="false">Inputs!$B$56</f>
        <v>31719.1110168993</v>
      </c>
    </row>
    <row r="5" customFormat="false" ht="15" hidden="false" customHeight="true" outlineLevel="0" collapsed="false">
      <c r="B5" s="4" t="s">
        <v>98</v>
      </c>
      <c r="C5" s="4" t="n">
        <f aca="false">'Annual CF'!C2</f>
        <v>0</v>
      </c>
      <c r="D5" s="4" t="n">
        <f aca="false">'Annual CF'!D2</f>
        <v>1</v>
      </c>
      <c r="E5" s="4" t="n">
        <f aca="false">'Annual CF'!E2</f>
        <v>2</v>
      </c>
      <c r="F5" s="4" t="n">
        <f aca="false">'Annual CF'!F2</f>
        <v>3</v>
      </c>
      <c r="G5" s="4" t="n">
        <f aca="false">'Annual CF'!G2</f>
        <v>4</v>
      </c>
      <c r="H5" s="4" t="n">
        <f aca="false">'Annual CF'!H2</f>
        <v>5</v>
      </c>
      <c r="I5" s="4" t="n">
        <f aca="false">'Annual CF'!I2</f>
        <v>6</v>
      </c>
      <c r="J5" s="4" t="n">
        <f aca="false">'Annual CF'!J2</f>
        <v>7</v>
      </c>
      <c r="K5" s="4" t="n">
        <f aca="false">'Annual CF'!K2</f>
        <v>8</v>
      </c>
      <c r="L5" s="4" t="n">
        <f aca="false">'Annual CF'!L2</f>
        <v>9</v>
      </c>
      <c r="M5" s="4" t="n">
        <f aca="false">'Annual CF'!M2</f>
        <v>10</v>
      </c>
      <c r="N5" s="4" t="n">
        <f aca="false">'Annual CF'!N2</f>
        <v>11</v>
      </c>
    </row>
    <row r="6" customFormat="false" ht="15" hidden="false" customHeight="true" outlineLevel="0" collapsed="false">
      <c r="B6" s="4" t="s">
        <v>149</v>
      </c>
      <c r="D6" s="19" t="n">
        <f aca="false">'Annual CF'!D51</f>
        <v>8250.77538461541</v>
      </c>
      <c r="E6" s="19" t="n">
        <f aca="false">'Annual CF'!E51</f>
        <v>8853.84258461541</v>
      </c>
      <c r="F6" s="19" t="n">
        <f aca="false">'Annual CF'!F51</f>
        <v>9461.17112861542</v>
      </c>
      <c r="G6" s="19" t="n">
        <f aca="false">'Annual CF'!G51</f>
        <v>10072.6512434954</v>
      </c>
      <c r="H6" s="19" t="n">
        <f aca="false">'Annual CF'!H51</f>
        <v>323076.314354797</v>
      </c>
      <c r="I6" s="19" t="n">
        <f aca="false">'Annual CF'!I51</f>
        <v>0</v>
      </c>
      <c r="J6" s="19" t="n">
        <f aca="false">'Annual CF'!J51</f>
        <v>0</v>
      </c>
      <c r="K6" s="19" t="n">
        <f aca="false">'Annual CF'!K51</f>
        <v>0</v>
      </c>
      <c r="L6" s="19" t="n">
        <f aca="false">'Annual CF'!L51</f>
        <v>0</v>
      </c>
      <c r="M6" s="19" t="n">
        <f aca="false">'Annual CF'!M51</f>
        <v>0</v>
      </c>
      <c r="N6" s="19" t="n">
        <f aca="false">'Annual CF'!N51</f>
        <v>0</v>
      </c>
    </row>
    <row r="8" customFormat="false" ht="15" hidden="false" customHeight="true" outlineLevel="0" collapsed="false">
      <c r="B8" s="4" t="s">
        <v>150</v>
      </c>
    </row>
    <row r="9" customFormat="false" ht="15" hidden="false" customHeight="true" outlineLevel="0" collapsed="false">
      <c r="B9" s="1" t="s">
        <v>151</v>
      </c>
      <c r="D9" s="12" t="n">
        <f aca="false">IF(D$5=1,0,C12)</f>
        <v>0</v>
      </c>
      <c r="E9" s="12" t="n">
        <f aca="false">IF(E$5=1,0,D12)</f>
        <v>14586.9845475521</v>
      </c>
      <c r="F9" s="12" t="n">
        <f aca="false">IF(F$5=1,0,E12)</f>
        <v>28570.9018951042</v>
      </c>
      <c r="G9" s="12" t="n">
        <f aca="false">IF(G$5=1,0,F12)</f>
        <v>41947.4906986563</v>
      </c>
      <c r="H9" s="12" t="n">
        <f aca="false">IF(H$5=1,0,G12)</f>
        <v>54712.5993873284</v>
      </c>
      <c r="I9" s="12" t="n">
        <f aca="false">IF(I$5=1,0,H12)</f>
        <v>0</v>
      </c>
      <c r="J9" s="12" t="n">
        <f aca="false">IF(J$5=1,0,I12)</f>
        <v>0</v>
      </c>
      <c r="K9" s="12" t="n">
        <f aca="false">IF(K$5=1,0,J12)</f>
        <v>0</v>
      </c>
      <c r="L9" s="12" t="n">
        <f aca="false">IF(L$5=1,0,K12)</f>
        <v>0</v>
      </c>
      <c r="M9" s="12" t="n">
        <f aca="false">IF(M$5=1,0,L12)</f>
        <v>0</v>
      </c>
      <c r="N9" s="12" t="n">
        <f aca="false">IF(N$5=1,0,M12)</f>
        <v>0</v>
      </c>
    </row>
    <row r="10" customFormat="false" ht="15" hidden="false" customHeight="true" outlineLevel="0" collapsed="false">
      <c r="B10" s="1" t="s">
        <v>152</v>
      </c>
      <c r="D10" s="12" t="n">
        <f aca="false">IF(D$5&lt;=Inputs!$B$40,D15*Inputs!$B$47,0)</f>
        <v>22837.7599321675</v>
      </c>
      <c r="E10" s="12" t="n">
        <f aca="false">IF(E$5&lt;=Inputs!$B$40,E15*Inputs!$B$47,0)</f>
        <v>22837.7599321675</v>
      </c>
      <c r="F10" s="12" t="n">
        <f aca="false">IF(F$5&lt;=Inputs!$B$40,F15*Inputs!$B$47,0)</f>
        <v>22837.7599321675</v>
      </c>
      <c r="G10" s="12" t="n">
        <f aca="false">IF(G$5&lt;=Inputs!$B$40,G15*Inputs!$B$47,0)</f>
        <v>22837.7599321675</v>
      </c>
      <c r="H10" s="12" t="n">
        <f aca="false">IF(H$5&lt;=Inputs!$B$40,H15*Inputs!$B$47,0)</f>
        <v>22837.7599321675</v>
      </c>
      <c r="I10" s="12" t="n">
        <f aca="false">IF(I$5&lt;=Inputs!$B$40,I15*Inputs!$B$47,0)</f>
        <v>0</v>
      </c>
      <c r="J10" s="12" t="n">
        <f aca="false">IF(J$5&lt;=Inputs!$B$40,J15*Inputs!$B$47,0)</f>
        <v>0</v>
      </c>
      <c r="K10" s="12" t="n">
        <f aca="false">IF(K$5&lt;=Inputs!$B$40,K15*Inputs!$B$47,0)</f>
        <v>0</v>
      </c>
      <c r="L10" s="12" t="n">
        <f aca="false">IF(L$5&lt;=Inputs!$B$40,L15*Inputs!$B$47,0)</f>
        <v>0</v>
      </c>
      <c r="M10" s="12" t="n">
        <f aca="false">IF(M$5&lt;=Inputs!$B$40,M15*Inputs!$B$47,0)</f>
        <v>0</v>
      </c>
      <c r="N10" s="12" t="n">
        <f aca="false">IF(N$5&lt;=Inputs!$B$40,N15*Inputs!$B$47,0)</f>
        <v>0</v>
      </c>
    </row>
    <row r="11" customFormat="false" ht="15" hidden="false" customHeight="true" outlineLevel="0" collapsed="false">
      <c r="B11" s="1" t="s">
        <v>153</v>
      </c>
      <c r="D11" s="12" t="n">
        <f aca="false">MIN(MAX(D6,0),D9+D10)</f>
        <v>8250.77538461541</v>
      </c>
      <c r="E11" s="12" t="n">
        <f aca="false">MIN(MAX(E6,0),E9+E10)</f>
        <v>8853.84258461541</v>
      </c>
      <c r="F11" s="12" t="n">
        <f aca="false">MIN(MAX(F6,0),F9+F10)</f>
        <v>9461.17112861542</v>
      </c>
      <c r="G11" s="12" t="n">
        <f aca="false">MIN(MAX(G6,0),G9+G10)</f>
        <v>10072.6512434954</v>
      </c>
      <c r="H11" s="12" t="n">
        <f aca="false">MIN(MAX(H6,0),H9+H10)</f>
        <v>77550.359319496</v>
      </c>
      <c r="I11" s="12" t="n">
        <f aca="false">MIN(MAX(I6,0),I9+I10)</f>
        <v>0</v>
      </c>
      <c r="J11" s="12" t="n">
        <f aca="false">MIN(MAX(J6,0),J9+J10)</f>
        <v>0</v>
      </c>
      <c r="K11" s="12" t="n">
        <f aca="false">MIN(MAX(K6,0),K9+K10)</f>
        <v>0</v>
      </c>
      <c r="L11" s="12" t="n">
        <f aca="false">MIN(MAX(L6,0),L9+L10)</f>
        <v>0</v>
      </c>
      <c r="M11" s="12" t="n">
        <f aca="false">MIN(MAX(M6,0),M9+M10)</f>
        <v>0</v>
      </c>
      <c r="N11" s="12" t="n">
        <f aca="false">MIN(MAX(N6,0),N9+N10)</f>
        <v>0</v>
      </c>
    </row>
    <row r="12" customFormat="false" ht="15" hidden="false" customHeight="true" outlineLevel="0" collapsed="false">
      <c r="B12" s="1" t="s">
        <v>154</v>
      </c>
      <c r="D12" s="12" t="n">
        <f aca="false">D9+D10-D11</f>
        <v>14586.9845475521</v>
      </c>
      <c r="E12" s="12" t="n">
        <f aca="false">E9+E10-E11</f>
        <v>28570.9018951042</v>
      </c>
      <c r="F12" s="12" t="n">
        <f aca="false">F9+F10-F11</f>
        <v>41947.4906986563</v>
      </c>
      <c r="G12" s="12" t="n">
        <f aca="false">G9+G10-G11</f>
        <v>54712.5993873284</v>
      </c>
      <c r="H12" s="12" t="n">
        <f aca="false">H9+H10-H11</f>
        <v>0</v>
      </c>
      <c r="I12" s="12" t="n">
        <f aca="false">I9+I10-I11</f>
        <v>0</v>
      </c>
      <c r="J12" s="12" t="n">
        <f aca="false">J9+J10-J11</f>
        <v>0</v>
      </c>
      <c r="K12" s="12" t="n">
        <f aca="false">K9+K10-K11</f>
        <v>0</v>
      </c>
      <c r="L12" s="12" t="n">
        <f aca="false">L9+L10-L11</f>
        <v>0</v>
      </c>
      <c r="M12" s="12" t="n">
        <f aca="false">M9+M10-M11</f>
        <v>0</v>
      </c>
      <c r="N12" s="12" t="n">
        <f aca="false">N9+N10-N11</f>
        <v>0</v>
      </c>
    </row>
    <row r="14" customFormat="false" ht="15" hidden="false" customHeight="true" outlineLevel="0" collapsed="false">
      <c r="B14" s="4" t="s">
        <v>155</v>
      </c>
    </row>
    <row r="15" customFormat="false" ht="15" hidden="false" customHeight="true" outlineLevel="0" collapsed="false">
      <c r="B15" s="1" t="s">
        <v>156</v>
      </c>
      <c r="D15" s="12" t="n">
        <f aca="false">IF(D$5=1,$C$2,C17)</f>
        <v>285471.999152094</v>
      </c>
      <c r="E15" s="12" t="n">
        <f aca="false">IF(E$5=1,$C$2,D17)</f>
        <v>285471.999152094</v>
      </c>
      <c r="F15" s="12" t="n">
        <f aca="false">IF(F$5=1,$C$2,E17)</f>
        <v>285471.999152094</v>
      </c>
      <c r="G15" s="12" t="n">
        <f aca="false">IF(G$5=1,$C$2,F17)</f>
        <v>285471.999152094</v>
      </c>
      <c r="H15" s="12" t="n">
        <f aca="false">IF(H$5=1,$C$2,G17)</f>
        <v>285471.999152094</v>
      </c>
      <c r="I15" s="12" t="n">
        <f aca="false">IF(I$5=1,$C$2,H17)</f>
        <v>39946.044116793</v>
      </c>
      <c r="J15" s="12" t="n">
        <f aca="false">IF(J$5=1,$C$2,I17)</f>
        <v>39946.044116793</v>
      </c>
      <c r="K15" s="12" t="n">
        <f aca="false">IF(K$5=1,$C$2,J17)</f>
        <v>39946.044116793</v>
      </c>
      <c r="L15" s="12" t="n">
        <f aca="false">IF(L$5=1,$C$2,K17)</f>
        <v>39946.044116793</v>
      </c>
      <c r="M15" s="12" t="n">
        <f aca="false">IF(M$5=1,$C$2,L17)</f>
        <v>39946.044116793</v>
      </c>
      <c r="N15" s="12" t="n">
        <f aca="false">IF(N$5=1,$C$2,M17)</f>
        <v>39946.044116793</v>
      </c>
    </row>
    <row r="16" customFormat="false" ht="15" hidden="false" customHeight="true" outlineLevel="0" collapsed="false">
      <c r="B16" s="1" t="s">
        <v>157</v>
      </c>
      <c r="D16" s="12" t="n">
        <f aca="false">MIN(MAX(D6-D11,0),D15)</f>
        <v>0</v>
      </c>
      <c r="E16" s="12" t="n">
        <f aca="false">MIN(MAX(E6-E11,0),E15)</f>
        <v>0</v>
      </c>
      <c r="F16" s="12" t="n">
        <f aca="false">MIN(MAX(F6-F11,0),F15)</f>
        <v>0</v>
      </c>
      <c r="G16" s="12" t="n">
        <f aca="false">MIN(MAX(G6-G11,0),G15)</f>
        <v>0</v>
      </c>
      <c r="H16" s="12" t="n">
        <f aca="false">MIN(MAX(H6-H11,0),H15)</f>
        <v>245525.955035301</v>
      </c>
      <c r="I16" s="12" t="n">
        <f aca="false">MIN(MAX(I6-I11,0),I15)</f>
        <v>0</v>
      </c>
      <c r="J16" s="12" t="n">
        <f aca="false">MIN(MAX(J6-J11,0),J15)</f>
        <v>0</v>
      </c>
      <c r="K16" s="12" t="n">
        <f aca="false">MIN(MAX(K6-K11,0),K15)</f>
        <v>0</v>
      </c>
      <c r="L16" s="12" t="n">
        <f aca="false">MIN(MAX(L6-L11,0),L15)</f>
        <v>0</v>
      </c>
      <c r="M16" s="12" t="n">
        <f aca="false">MIN(MAX(M6-M11,0),M15)</f>
        <v>0</v>
      </c>
      <c r="N16" s="12" t="n">
        <f aca="false">MIN(MAX(N6-N11,0),N15)</f>
        <v>0</v>
      </c>
    </row>
    <row r="17" customFormat="false" ht="15" hidden="false" customHeight="true" outlineLevel="0" collapsed="false">
      <c r="B17" s="1" t="s">
        <v>158</v>
      </c>
      <c r="D17" s="12" t="n">
        <f aca="false">D15-D16</f>
        <v>285471.999152094</v>
      </c>
      <c r="E17" s="12" t="n">
        <f aca="false">E15-E16</f>
        <v>285471.999152094</v>
      </c>
      <c r="F17" s="12" t="n">
        <f aca="false">F15-F16</f>
        <v>285471.999152094</v>
      </c>
      <c r="G17" s="12" t="n">
        <f aca="false">G15-G16</f>
        <v>285471.999152094</v>
      </c>
      <c r="H17" s="12" t="n">
        <f aca="false">H15-H16</f>
        <v>39946.044116793</v>
      </c>
      <c r="I17" s="12" t="n">
        <f aca="false">I15-I16</f>
        <v>39946.044116793</v>
      </c>
      <c r="J17" s="12" t="n">
        <f aca="false">J15-J16</f>
        <v>39946.044116793</v>
      </c>
      <c r="K17" s="12" t="n">
        <f aca="false">K15-K16</f>
        <v>39946.044116793</v>
      </c>
      <c r="L17" s="12" t="n">
        <f aca="false">L15-L16</f>
        <v>39946.044116793</v>
      </c>
      <c r="M17" s="12" t="n">
        <f aca="false">M15-M16</f>
        <v>39946.044116793</v>
      </c>
      <c r="N17" s="12" t="n">
        <f aca="false">N15-N16</f>
        <v>39946.044116793</v>
      </c>
    </row>
    <row r="18" customFormat="false" ht="15" hidden="false" customHeight="true" outlineLevel="0" collapsed="false">
      <c r="B18" s="1" t="s">
        <v>159</v>
      </c>
      <c r="D18" s="12" t="n">
        <f aca="false">IF(D$5=1,$C$3,C20)</f>
        <v>31719.1110168993</v>
      </c>
      <c r="E18" s="12" t="n">
        <f aca="false">IF(E$5=1,$C$3,D20)</f>
        <v>31719.1110168993</v>
      </c>
      <c r="F18" s="12" t="n">
        <f aca="false">IF(F$5=1,$C$3,E20)</f>
        <v>31719.1110168993</v>
      </c>
      <c r="G18" s="12" t="n">
        <f aca="false">IF(G$5=1,$C$3,F20)</f>
        <v>31719.1110168993</v>
      </c>
      <c r="H18" s="12" t="n">
        <f aca="false">IF(H$5=1,$C$3,G20)</f>
        <v>31719.1110168993</v>
      </c>
      <c r="I18" s="12" t="n">
        <f aca="false">IF(I$5=1,$C$3,H20)</f>
        <v>31719.1110168993</v>
      </c>
      <c r="J18" s="12" t="n">
        <f aca="false">IF(J$5=1,$C$3,I20)</f>
        <v>31719.1110168993</v>
      </c>
      <c r="K18" s="12" t="n">
        <f aca="false">IF(K$5=1,$C$3,J20)</f>
        <v>31719.1110168993</v>
      </c>
      <c r="L18" s="12" t="n">
        <f aca="false">IF(L$5=1,$C$3,K20)</f>
        <v>31719.1110168993</v>
      </c>
      <c r="M18" s="12" t="n">
        <f aca="false">IF(M$5=1,$C$3,L20)</f>
        <v>31719.1110168993</v>
      </c>
      <c r="N18" s="12" t="n">
        <f aca="false">IF(N$5=1,$C$3,M20)</f>
        <v>31719.1110168993</v>
      </c>
    </row>
    <row r="19" customFormat="false" ht="15" hidden="false" customHeight="true" outlineLevel="0" collapsed="false">
      <c r="B19" s="1" t="s">
        <v>160</v>
      </c>
      <c r="D19" s="12" t="n">
        <f aca="false">MIN(MAX(D6-D11-D16,0),D18)</f>
        <v>0</v>
      </c>
      <c r="E19" s="12" t="n">
        <f aca="false">MIN(MAX(E6-E11-E16,0),E18)</f>
        <v>0</v>
      </c>
      <c r="F19" s="12" t="n">
        <f aca="false">MIN(MAX(F6-F11-F16,0),F18)</f>
        <v>0</v>
      </c>
      <c r="G19" s="12" t="n">
        <f aca="false">MIN(MAX(G6-G11-G16,0),G18)</f>
        <v>0</v>
      </c>
      <c r="H19" s="12" t="n">
        <f aca="false">MIN(MAX(H6-H11-H16,0),H18)</f>
        <v>0</v>
      </c>
      <c r="I19" s="12" t="n">
        <f aca="false">MIN(MAX(I6-I11-I16,0),I18)</f>
        <v>0</v>
      </c>
      <c r="J19" s="12" t="n">
        <f aca="false">MIN(MAX(J6-J11-J16,0),J18)</f>
        <v>0</v>
      </c>
      <c r="K19" s="12" t="n">
        <f aca="false">MIN(MAX(K6-K11-K16,0),K18)</f>
        <v>0</v>
      </c>
      <c r="L19" s="12" t="n">
        <f aca="false">MIN(MAX(L6-L11-L16,0),L18)</f>
        <v>0</v>
      </c>
      <c r="M19" s="12" t="n">
        <f aca="false">MIN(MAX(M6-M11-M16,0),M18)</f>
        <v>0</v>
      </c>
      <c r="N19" s="12" t="n">
        <f aca="false">MIN(MAX(N6-N11-N16,0),N18)</f>
        <v>0</v>
      </c>
    </row>
    <row r="20" customFormat="false" ht="15" hidden="false" customHeight="true" outlineLevel="0" collapsed="false">
      <c r="B20" s="1" t="s">
        <v>161</v>
      </c>
      <c r="D20" s="12" t="n">
        <f aca="false">D18-D19</f>
        <v>31719.1110168993</v>
      </c>
      <c r="E20" s="12" t="n">
        <f aca="false">E18-E19</f>
        <v>31719.1110168993</v>
      </c>
      <c r="F20" s="12" t="n">
        <f aca="false">F18-F19</f>
        <v>31719.1110168993</v>
      </c>
      <c r="G20" s="12" t="n">
        <f aca="false">G18-G19</f>
        <v>31719.1110168993</v>
      </c>
      <c r="H20" s="12" t="n">
        <f aca="false">H18-H19</f>
        <v>31719.1110168993</v>
      </c>
      <c r="I20" s="12" t="n">
        <f aca="false">I18-I19</f>
        <v>31719.1110168993</v>
      </c>
      <c r="J20" s="12" t="n">
        <f aca="false">J18-J19</f>
        <v>31719.1110168993</v>
      </c>
      <c r="K20" s="12" t="n">
        <f aca="false">K18-K19</f>
        <v>31719.1110168993</v>
      </c>
      <c r="L20" s="12" t="n">
        <f aca="false">L18-L19</f>
        <v>31719.1110168993</v>
      </c>
      <c r="M20" s="12" t="n">
        <f aca="false">M18-M19</f>
        <v>31719.1110168993</v>
      </c>
      <c r="N20" s="12" t="n">
        <f aca="false">N18-N19</f>
        <v>31719.1110168993</v>
      </c>
    </row>
    <row r="22" customFormat="false" ht="15" hidden="false" customHeight="true" outlineLevel="0" collapsed="false">
      <c r="B22" s="4" t="s">
        <v>162</v>
      </c>
    </row>
    <row r="23" customFormat="false" ht="15" hidden="false" customHeight="true" outlineLevel="0" collapsed="false">
      <c r="B23" s="1" t="s">
        <v>163</v>
      </c>
      <c r="D23" s="12" t="n">
        <f aca="false">MAX(D6-D11-D16-D19,0)</f>
        <v>0</v>
      </c>
      <c r="E23" s="12" t="n">
        <f aca="false">MAX(E6-E11-E16-E19,0)</f>
        <v>0</v>
      </c>
      <c r="F23" s="12" t="n">
        <f aca="false">MAX(F6-F11-F16-F19,0)</f>
        <v>0</v>
      </c>
      <c r="G23" s="12" t="n">
        <f aca="false">MAX(G6-G11-G16-G19,0)</f>
        <v>0</v>
      </c>
      <c r="H23" s="12" t="n">
        <f aca="false">MAX(H6-H11-H16-H19,0)</f>
        <v>0</v>
      </c>
      <c r="I23" s="12" t="n">
        <f aca="false">MAX(I6-I11-I16-I19,0)</f>
        <v>0</v>
      </c>
      <c r="J23" s="12" t="n">
        <f aca="false">MAX(J6-J11-J16-J19,0)</f>
        <v>0</v>
      </c>
      <c r="K23" s="12" t="n">
        <f aca="false">MAX(K6-K11-K16-K19,0)</f>
        <v>0</v>
      </c>
      <c r="L23" s="12" t="n">
        <f aca="false">MAX(L6-L11-L16-L19,0)</f>
        <v>0</v>
      </c>
      <c r="M23" s="12" t="n">
        <f aca="false">MAX(M6-M11-M16-M19,0)</f>
        <v>0</v>
      </c>
      <c r="N23" s="12" t="n">
        <f aca="false">MAX(N6-N11-N16-N19,0)</f>
        <v>0</v>
      </c>
    </row>
    <row r="24" customFormat="false" ht="15" hidden="false" customHeight="true" outlineLevel="0" collapsed="false">
      <c r="B24" s="1" t="s">
        <v>164</v>
      </c>
      <c r="D24" s="12" t="n">
        <f aca="false">D23*Inputs!$B$48</f>
        <v>0</v>
      </c>
      <c r="E24" s="12" t="n">
        <f aca="false">E23*Inputs!$B$48</f>
        <v>0</v>
      </c>
      <c r="F24" s="12" t="n">
        <f aca="false">F23*Inputs!$B$48</f>
        <v>0</v>
      </c>
      <c r="G24" s="12" t="n">
        <f aca="false">G23*Inputs!$B$48</f>
        <v>0</v>
      </c>
      <c r="H24" s="12" t="n">
        <f aca="false">H23*Inputs!$B$48</f>
        <v>0</v>
      </c>
      <c r="I24" s="12" t="n">
        <f aca="false">I23*Inputs!$B$48</f>
        <v>0</v>
      </c>
      <c r="J24" s="12" t="n">
        <f aca="false">J23*Inputs!$B$48</f>
        <v>0</v>
      </c>
      <c r="K24" s="12" t="n">
        <f aca="false">K23*Inputs!$B$48</f>
        <v>0</v>
      </c>
      <c r="L24" s="12" t="n">
        <f aca="false">L23*Inputs!$B$48</f>
        <v>0</v>
      </c>
      <c r="M24" s="12" t="n">
        <f aca="false">M23*Inputs!$B$48</f>
        <v>0</v>
      </c>
      <c r="N24" s="12" t="n">
        <f aca="false">N23*Inputs!$B$48</f>
        <v>0</v>
      </c>
    </row>
    <row r="25" customFormat="false" ht="15" hidden="false" customHeight="true" outlineLevel="0" collapsed="false">
      <c r="B25" s="1" t="s">
        <v>165</v>
      </c>
      <c r="D25" s="12" t="n">
        <f aca="false">D23*Inputs!$B$49</f>
        <v>0</v>
      </c>
      <c r="E25" s="12" t="n">
        <f aca="false">E23*Inputs!$B$49</f>
        <v>0</v>
      </c>
      <c r="F25" s="12" t="n">
        <f aca="false">F23*Inputs!$B$49</f>
        <v>0</v>
      </c>
      <c r="G25" s="12" t="n">
        <f aca="false">G23*Inputs!$B$49</f>
        <v>0</v>
      </c>
      <c r="H25" s="12" t="n">
        <f aca="false">H23*Inputs!$B$49</f>
        <v>0</v>
      </c>
      <c r="I25" s="12" t="n">
        <f aca="false">I23*Inputs!$B$49</f>
        <v>0</v>
      </c>
      <c r="J25" s="12" t="n">
        <f aca="false">J23*Inputs!$B$49</f>
        <v>0</v>
      </c>
      <c r="K25" s="12" t="n">
        <f aca="false">K23*Inputs!$B$49</f>
        <v>0</v>
      </c>
      <c r="L25" s="12" t="n">
        <f aca="false">L23*Inputs!$B$49</f>
        <v>0</v>
      </c>
      <c r="M25" s="12" t="n">
        <f aca="false">M23*Inputs!$B$49</f>
        <v>0</v>
      </c>
      <c r="N25" s="12" t="n">
        <f aca="false">N23*Inputs!$B$49</f>
        <v>0</v>
      </c>
    </row>
    <row r="27" customFormat="false" ht="15" hidden="false" customHeight="true" outlineLevel="0" collapsed="false">
      <c r="B27" s="4" t="s">
        <v>166</v>
      </c>
      <c r="C27" s="12" t="n">
        <f aca="false">-$C$2</f>
        <v>-285471.999152094</v>
      </c>
      <c r="D27" s="12" t="n">
        <f aca="false">D11+D16+D24</f>
        <v>8250.77538461541</v>
      </c>
      <c r="E27" s="12" t="n">
        <f aca="false">E11+E16+E24</f>
        <v>8853.84258461541</v>
      </c>
      <c r="F27" s="12" t="n">
        <f aca="false">F11+F16+F24</f>
        <v>9461.17112861542</v>
      </c>
      <c r="G27" s="12" t="n">
        <f aca="false">G11+G16+G24</f>
        <v>10072.6512434954</v>
      </c>
      <c r="H27" s="12" t="n">
        <f aca="false">H11+H16+H24</f>
        <v>323076.314354797</v>
      </c>
      <c r="I27" s="12" t="n">
        <f aca="false">I11+I16+I24</f>
        <v>0</v>
      </c>
      <c r="J27" s="12" t="n">
        <f aca="false">J11+J16+J24</f>
        <v>0</v>
      </c>
      <c r="K27" s="12" t="n">
        <f aca="false">K11+K16+K24</f>
        <v>0</v>
      </c>
      <c r="L27" s="12" t="n">
        <f aca="false">L11+L16+L24</f>
        <v>0</v>
      </c>
      <c r="M27" s="12" t="n">
        <f aca="false">M11+M16+M24</f>
        <v>0</v>
      </c>
      <c r="N27" s="12" t="n">
        <f aca="false">N11+N16+N24</f>
        <v>0</v>
      </c>
    </row>
    <row r="28" customFormat="false" ht="15" hidden="false" customHeight="true" outlineLevel="0" collapsed="false">
      <c r="B28" s="4" t="s">
        <v>167</v>
      </c>
      <c r="C28" s="12" t="n">
        <f aca="false">-$C$3</f>
        <v>-31719.1110168993</v>
      </c>
      <c r="D28" s="12" t="n">
        <f aca="false">D19+D25</f>
        <v>0</v>
      </c>
      <c r="E28" s="12" t="n">
        <f aca="false">E19+E25</f>
        <v>0</v>
      </c>
      <c r="F28" s="12" t="n">
        <f aca="false">F19+F25</f>
        <v>0</v>
      </c>
      <c r="G28" s="12" t="n">
        <f aca="false">G19+G25</f>
        <v>0</v>
      </c>
      <c r="H28" s="12" t="n">
        <f aca="false">H19+H25</f>
        <v>0</v>
      </c>
      <c r="I28" s="12" t="n">
        <f aca="false">I19+I25</f>
        <v>0</v>
      </c>
      <c r="J28" s="12" t="n">
        <f aca="false">J19+J25</f>
        <v>0</v>
      </c>
      <c r="K28" s="12" t="n">
        <f aca="false">K19+K25</f>
        <v>0</v>
      </c>
      <c r="L28" s="12" t="n">
        <f aca="false">L19+L25</f>
        <v>0</v>
      </c>
      <c r="M28" s="12" t="n">
        <f aca="false">M19+M25</f>
        <v>0</v>
      </c>
      <c r="N28" s="12" t="n">
        <f aca="false">N19+N25</f>
        <v>0</v>
      </c>
    </row>
    <row r="30" customFormat="false" ht="15" hidden="false" customHeight="true" outlineLevel="0" collapsed="false">
      <c r="B30" s="1" t="s">
        <v>168</v>
      </c>
      <c r="C30" s="26" t="n">
        <f aca="false">IFERROR(IRR(C27:N27,0.1),"")</f>
        <v>0.0500117178167129</v>
      </c>
    </row>
    <row r="31" customFormat="false" ht="15" hidden="false" customHeight="true" outlineLevel="0" collapsed="false">
      <c r="B31" s="1" t="s">
        <v>169</v>
      </c>
      <c r="C31" s="27" t="n">
        <f aca="false">IFERROR(1+SUM(C27:N27)/$C$2,"")</f>
        <v>1.26007018469258</v>
      </c>
    </row>
    <row r="32" customFormat="false" ht="15" hidden="false" customHeight="true" outlineLevel="0" collapsed="false">
      <c r="B32" s="1" t="s">
        <v>170</v>
      </c>
      <c r="C32" s="12" t="n">
        <f aca="false">SUM(C27:N27)</f>
        <v>74242.7555440447</v>
      </c>
    </row>
    <row r="33" customFormat="false" ht="15" hidden="false" customHeight="true" outlineLevel="0" collapsed="false">
      <c r="B33" s="1" t="s">
        <v>171</v>
      </c>
      <c r="C33" s="21" t="str">
        <f aca="false">IFERROR(IRR(C28:N28,0.1),"")</f>
        <v/>
      </c>
    </row>
    <row r="34" customFormat="false" ht="15" hidden="false" customHeight="true" outlineLevel="0" collapsed="false">
      <c r="B34" s="1" t="s">
        <v>172</v>
      </c>
      <c r="C34" s="27" t="n">
        <f aca="false">IFERROR(1+SUM(C28:N28)/$C$3,"")</f>
        <v>0</v>
      </c>
    </row>
    <row r="35" customFormat="false" ht="15" hidden="false" customHeight="true" outlineLevel="0" collapsed="false">
      <c r="B35" s="1" t="s">
        <v>173</v>
      </c>
      <c r="C35" s="12" t="n">
        <f aca="false">SUM(C28:N28)</f>
        <v>-31719.1110168993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12"/>
    <col collapsed="false" customWidth="true" hidden="false" outlineLevel="0" max="2" min="2" style="1" width="14"/>
    <col collapsed="false" customWidth="true" hidden="false" outlineLevel="0" max="3" min="3" style="1" width="16"/>
    <col collapsed="false" customWidth="true" hidden="false" outlineLevel="0" max="5" min="4" style="1" width="14"/>
  </cols>
  <sheetData>
    <row r="1" customFormat="false" ht="15" hidden="false" customHeight="true" outlineLevel="0" collapsed="false">
      <c r="A1" s="4" t="s">
        <v>174</v>
      </c>
    </row>
    <row r="3" customFormat="false" ht="15" hidden="false" customHeight="true" outlineLevel="0" collapsed="false">
      <c r="A3" s="1" t="s">
        <v>175</v>
      </c>
      <c r="B3" s="12" t="n">
        <f aca="false">INDEX('Annual CF'!C25:N25,MATCH(Inputs!$B$40+1,'Annual CF'!C2:N2,0))</f>
        <v>52204.4007318757</v>
      </c>
    </row>
    <row r="4" customFormat="false" ht="15" hidden="false" customHeight="true" outlineLevel="0" collapsed="false">
      <c r="A4" s="1" t="s">
        <v>176</v>
      </c>
      <c r="B4" s="12" t="n">
        <f aca="false">INDEX('Annual CF'!C35:N35,MATCH(Inputs!$B$40,'Annual CF'!C2:N2,0))</f>
        <v>411015.69044401</v>
      </c>
    </row>
    <row r="5" customFormat="false" ht="15" hidden="false" customHeight="true" outlineLevel="0" collapsed="false">
      <c r="A5" s="1" t="s">
        <v>177</v>
      </c>
      <c r="B5" s="12" t="n">
        <f aca="false">SUMIFS('Annual CF'!D37:N37,'Annual CF'!D2:N2,"&lt;="&amp;Inputs!$B$40)</f>
        <v>47326.6064270147</v>
      </c>
    </row>
    <row r="6" customFormat="false" ht="15" hidden="false" customHeight="true" outlineLevel="0" collapsed="false">
      <c r="A6" s="1" t="s">
        <v>178</v>
      </c>
      <c r="B6" s="12" t="n">
        <f aca="false">Inputs!$B$54</f>
        <v>317191.110168993</v>
      </c>
    </row>
    <row r="8" customFormat="false" ht="15" hidden="false" customHeight="true" outlineLevel="0" collapsed="false">
      <c r="A8" s="6" t="s">
        <v>179</v>
      </c>
      <c r="B8" s="6" t="s">
        <v>180</v>
      </c>
      <c r="C8" s="6" t="s">
        <v>181</v>
      </c>
      <c r="D8" s="6" t="s">
        <v>141</v>
      </c>
      <c r="E8" s="6" t="s">
        <v>140</v>
      </c>
    </row>
    <row r="9" customFormat="false" ht="15" hidden="false" customHeight="true" outlineLevel="0" collapsed="false">
      <c r="A9" s="16" t="n">
        <v>0.05</v>
      </c>
      <c r="B9" s="12" t="n">
        <f aca="false">IFERROR($B$3/A9,0)</f>
        <v>1044088.01463751</v>
      </c>
      <c r="C9" s="12" t="n">
        <f aca="false">B9*(1-Inputs!$B$42)-$B$4</f>
        <v>601749.683754378</v>
      </c>
      <c r="D9" s="12" t="n">
        <f aca="false">C9+$B$5-$B$6</f>
        <v>331885.180012399</v>
      </c>
      <c r="E9" s="27" t="n">
        <f aca="false">IFERROR((C9+$B$5)/$B$6,0)</f>
        <v>2.04632560425662</v>
      </c>
    </row>
    <row r="10" customFormat="false" ht="15" hidden="false" customHeight="true" outlineLevel="0" collapsed="false">
      <c r="A10" s="16" t="n">
        <v>0.0525</v>
      </c>
      <c r="B10" s="12" t="n">
        <f aca="false">IFERROR($B$3/A10,0)</f>
        <v>994369.537750013</v>
      </c>
      <c r="C10" s="12" t="n">
        <f aca="false">B10*(1-Inputs!$B$42)-$B$4</f>
        <v>553522.761173502</v>
      </c>
      <c r="D10" s="12" t="n">
        <f aca="false">C10+$B$5-$B$6</f>
        <v>283658.257431523</v>
      </c>
      <c r="E10" s="27" t="n">
        <f aca="false">IFERROR((C10+$B$5)/$B$6,0)</f>
        <v>1.8942818645844</v>
      </c>
    </row>
    <row r="11" customFormat="false" ht="15" hidden="false" customHeight="true" outlineLevel="0" collapsed="false">
      <c r="A11" s="16" t="n">
        <v>0.055</v>
      </c>
      <c r="B11" s="12" t="n">
        <f aca="false">IFERROR($B$3/A11,0)</f>
        <v>949170.922397739</v>
      </c>
      <c r="C11" s="12" t="n">
        <f aca="false">B11*(1-Inputs!$B$42)-$B$4</f>
        <v>509680.104281797</v>
      </c>
      <c r="D11" s="12" t="n">
        <f aca="false">C11+$B$5-$B$6</f>
        <v>239815.600539818</v>
      </c>
      <c r="E11" s="27" t="n">
        <f aca="false">IFERROR((C11+$B$5)/$B$6,0)</f>
        <v>1.7560602830642</v>
      </c>
    </row>
    <row r="12" customFormat="false" ht="15" hidden="false" customHeight="true" outlineLevel="0" collapsed="false">
      <c r="A12" s="16" t="n">
        <v>0.0575</v>
      </c>
      <c r="B12" s="12" t="n">
        <f aca="false">IFERROR($B$3/A12,0)</f>
        <v>907902.621423925</v>
      </c>
      <c r="C12" s="12" t="n">
        <f aca="false">B12*(1-Inputs!$B$42)-$B$4</f>
        <v>469649.852337197</v>
      </c>
      <c r="D12" s="12" t="n">
        <f aca="false">C12+$B$5-$B$6</f>
        <v>199785.348595218</v>
      </c>
      <c r="E12" s="27" t="n">
        <f aca="false">IFERROR((C12+$B$5)/$B$6,0)</f>
        <v>1.62985796950229</v>
      </c>
    </row>
    <row r="13" customFormat="false" ht="15" hidden="false" customHeight="true" outlineLevel="0" collapsed="false">
      <c r="A13" s="16" t="n">
        <v>0.06</v>
      </c>
      <c r="B13" s="12" t="n">
        <f aca="false">IFERROR($B$3/A13,0)</f>
        <v>870073.345531261</v>
      </c>
      <c r="C13" s="12" t="n">
        <f aca="false">B13*(1-Inputs!$B$42)-$B$4</f>
        <v>432955.454721313</v>
      </c>
      <c r="D13" s="12" t="n">
        <f aca="false">C13+$B$5-$B$6</f>
        <v>163090.950979334</v>
      </c>
      <c r="E13" s="27" t="n">
        <f aca="false">IFERROR((C13+$B$5)/$B$6,0)</f>
        <v>1.51417251540386</v>
      </c>
    </row>
    <row r="14" customFormat="false" ht="15" hidden="false" customHeight="true" outlineLevel="0" collapsed="false">
      <c r="A14" s="16" t="n">
        <v>0.0625</v>
      </c>
      <c r="B14" s="12" t="n">
        <f aca="false">IFERROR($B$3/A14,0)</f>
        <v>835270.411710011</v>
      </c>
      <c r="C14" s="12" t="n">
        <f aca="false">B14*(1-Inputs!$B$42)-$B$4</f>
        <v>399196.6089147</v>
      </c>
      <c r="D14" s="12" t="n">
        <f aca="false">C14+$B$5-$B$6</f>
        <v>129332.105172722</v>
      </c>
      <c r="E14" s="27" t="n">
        <f aca="false">IFERROR((C14+$B$5)/$B$6,0)</f>
        <v>1.40774189763331</v>
      </c>
    </row>
    <row r="15" customFormat="false" ht="15" hidden="false" customHeight="true" outlineLevel="0" collapsed="false">
      <c r="A15" s="16" t="n">
        <v>0.065</v>
      </c>
      <c r="B15" s="12" t="n">
        <f aca="false">IFERROR($B$3/A15,0)</f>
        <v>803144.626644241</v>
      </c>
      <c r="C15" s="12" t="n">
        <f aca="false">B15*(1-Inputs!$B$42)-$B$4</f>
        <v>368034.597400904</v>
      </c>
      <c r="D15" s="12" t="n">
        <f aca="false">C15+$B$5-$B$6</f>
        <v>98170.0936589249</v>
      </c>
      <c r="E15" s="27" t="n">
        <f aca="false">IFERROR((C15+$B$5)/$B$6,0)</f>
        <v>1.30949825046049</v>
      </c>
    </row>
    <row r="16" customFormat="false" ht="15" hidden="false" customHeight="true" outlineLevel="0" collapsed="false">
      <c r="A16" s="16" t="n">
        <v>0.0675</v>
      </c>
      <c r="B16" s="12" t="n">
        <f aca="false">IFERROR($B$3/A16,0)</f>
        <v>773398.529361121</v>
      </c>
      <c r="C16" s="12" t="n">
        <f aca="false">B16*(1-Inputs!$B$42)-$B$4</f>
        <v>339180.883036277</v>
      </c>
      <c r="D16" s="12" t="n">
        <f aca="false">C16+$B$5-$B$6</f>
        <v>69316.3792942984</v>
      </c>
      <c r="E16" s="27" t="n">
        <f aca="false">IFERROR((C16+$B$5)/$B$6,0)</f>
        <v>1.21853191048566</v>
      </c>
    </row>
    <row r="17" customFormat="false" ht="15" hidden="false" customHeight="true" outlineLevel="0" collapsed="false">
      <c r="A17" s="16" t="n">
        <v>0.07</v>
      </c>
      <c r="B17" s="12" t="n">
        <f aca="false">IFERROR($B$3/A17,0)</f>
        <v>745777.153312509</v>
      </c>
      <c r="C17" s="12" t="n">
        <f aca="false">B17*(1-Inputs!$B$42)-$B$4</f>
        <v>312388.148269124</v>
      </c>
      <c r="D17" s="12" t="n">
        <f aca="false">C17+$B$5-$B$6</f>
        <v>42523.6445271453</v>
      </c>
      <c r="E17" s="27" t="n">
        <f aca="false">IFERROR((C17+$B$5)/$B$6,0)</f>
        <v>1.13406316622332</v>
      </c>
    </row>
    <row r="18" customFormat="false" ht="15" hidden="false" customHeight="true" outlineLevel="0" collapsed="false">
      <c r="A18" s="16" t="n">
        <v>0.0725</v>
      </c>
      <c r="B18" s="12" t="n">
        <f aca="false">IFERROR($B$3/A18,0)</f>
        <v>720060.699750009</v>
      </c>
      <c r="C18" s="12" t="n">
        <f aca="false">B18*(1-Inputs!$B$42)-$B$4</f>
        <v>287443.188313499</v>
      </c>
      <c r="D18" s="12" t="n">
        <f aca="false">C18+$B$5-$B$6</f>
        <v>17578.6845715201</v>
      </c>
      <c r="E18" s="27" t="n">
        <f aca="false">IFERROR((C18+$B$5)/$B$6,0)</f>
        <v>1.05541985259976</v>
      </c>
    </row>
    <row r="19" customFormat="false" ht="15" hidden="false" customHeight="true" outlineLevel="0" collapsed="false">
      <c r="A19" s="16" t="n">
        <v>0.075</v>
      </c>
      <c r="B19" s="12" t="n">
        <f aca="false">IFERROR($B$3/A19,0)</f>
        <v>696058.676425009</v>
      </c>
      <c r="C19" s="12" t="n">
        <f aca="false">B19*(1-Inputs!$B$42)-$B$4</f>
        <v>264161.225688248</v>
      </c>
      <c r="D19" s="12" t="n">
        <f aca="false">C19+$B$5-$B$6</f>
        <v>-5703.2780537302</v>
      </c>
      <c r="E19" s="27" t="n">
        <f aca="false">IFERROR((C19+$B$5)/$B$6,0)</f>
        <v>0.982019426551105</v>
      </c>
    </row>
    <row r="20" customFormat="false" ht="15" hidden="false" customHeight="true" outlineLevel="0" collapsed="false">
      <c r="A20" s="16" t="n">
        <v>0.0775</v>
      </c>
      <c r="B20" s="12" t="n">
        <f aca="false">IFERROR($B$3/A20,0)</f>
        <v>673605.17073388</v>
      </c>
      <c r="C20" s="12" t="n">
        <f aca="false">B20*(1-Inputs!$B$42)-$B$4</f>
        <v>242381.325167853</v>
      </c>
      <c r="D20" s="12" t="n">
        <f aca="false">C20+$B$5-$B$6</f>
        <v>-27483.1785741257</v>
      </c>
      <c r="E20" s="27" t="n">
        <f aca="false">IFERROR((C20+$B$5)/$B$6,0)</f>
        <v>0.913354511860427</v>
      </c>
    </row>
    <row r="21" customFormat="false" ht="15" hidden="false" customHeight="true" outlineLevel="0" collapsed="false">
      <c r="A21" s="16" t="n">
        <v>0.08</v>
      </c>
      <c r="B21" s="12" t="n">
        <f aca="false">IFERROR($B$3/A21,0)</f>
        <v>652555.009148446</v>
      </c>
      <c r="C21" s="12" t="n">
        <f aca="false">B21*(1-Inputs!$B$42)-$B$4</f>
        <v>221962.668429982</v>
      </c>
      <c r="D21" s="12" t="n">
        <f aca="false">C21+$B$5-$B$6</f>
        <v>-47901.8353119963</v>
      </c>
      <c r="E21" s="27" t="n">
        <f aca="false">IFERROR((C21+$B$5)/$B$6,0)</f>
        <v>0.848981154337916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55"/>
    <col collapsed="false" customWidth="true" hidden="false" outlineLevel="0" max="4" min="2" style="1" width="45"/>
  </cols>
  <sheetData>
    <row r="1" customFormat="false" ht="15" hidden="false" customHeight="true" outlineLevel="0" collapsed="false">
      <c r="A1" s="4" t="s">
        <v>182</v>
      </c>
    </row>
    <row r="3" customFormat="false" ht="15" hidden="false" customHeight="true" outlineLevel="0" collapsed="false">
      <c r="A3" s="1" t="s">
        <v>183</v>
      </c>
    </row>
    <row r="4" customFormat="false" ht="15" hidden="false" customHeight="true" outlineLevel="0" collapsed="false">
      <c r="A4" s="1" t="s">
        <v>184</v>
      </c>
      <c r="B4" s="1" t="s">
        <v>185</v>
      </c>
      <c r="C4" s="1" t="s">
        <v>186</v>
      </c>
      <c r="D4" s="1" t="s">
        <v>187</v>
      </c>
    </row>
    <row r="5" customFormat="false" ht="15" hidden="false" customHeight="true" outlineLevel="0" collapsed="false">
      <c r="A5" s="1" t="s">
        <v>108</v>
      </c>
      <c r="B5" s="12" t="n">
        <v>-1661.03</v>
      </c>
      <c r="C5" s="12" t="n">
        <v>-1476.9</v>
      </c>
      <c r="D5" s="12" t="n">
        <v>-1568.96</v>
      </c>
    </row>
    <row r="6" customFormat="false" ht="15" hidden="false" customHeight="true" outlineLevel="0" collapsed="false">
      <c r="A6" s="1" t="s">
        <v>43</v>
      </c>
      <c r="B6" s="12" t="n">
        <v>-476.09</v>
      </c>
      <c r="C6" s="12" t="n">
        <v>-400.82</v>
      </c>
      <c r="D6" s="12" t="n">
        <v>-438.45</v>
      </c>
    </row>
    <row r="7" customFormat="false" ht="15" hidden="false" customHeight="true" outlineLevel="0" collapsed="false">
      <c r="A7" s="1" t="s">
        <v>45</v>
      </c>
      <c r="B7" s="12" t="n">
        <v>-362.42</v>
      </c>
      <c r="C7" s="12" t="n">
        <v>-395.13</v>
      </c>
      <c r="D7" s="12" t="n">
        <v>-378.78</v>
      </c>
    </row>
    <row r="8" customFormat="false" ht="15" hidden="false" customHeight="true" outlineLevel="0" collapsed="false">
      <c r="A8" s="1" t="s">
        <v>47</v>
      </c>
      <c r="B8" s="12" t="n">
        <v>-572.19</v>
      </c>
      <c r="C8" s="12" t="n">
        <v>-372.59</v>
      </c>
      <c r="D8" s="12" t="n">
        <v>-472.39</v>
      </c>
    </row>
    <row r="9" customFormat="false" ht="15" hidden="false" customHeight="true" outlineLevel="0" collapsed="false">
      <c r="A9" s="1" t="s">
        <v>50</v>
      </c>
      <c r="B9" s="12" t="n">
        <v>-641.47</v>
      </c>
      <c r="C9" s="12" t="n">
        <v>-742.2</v>
      </c>
      <c r="D9" s="12" t="n">
        <v>-691.84</v>
      </c>
    </row>
    <row r="10" customFormat="false" ht="15" hidden="false" customHeight="true" outlineLevel="0" collapsed="false">
      <c r="A10" s="1" t="s">
        <v>52</v>
      </c>
      <c r="B10" s="12" t="n">
        <v>-105.04</v>
      </c>
      <c r="C10" s="12" t="n">
        <v>-85.33</v>
      </c>
      <c r="D10" s="12" t="n">
        <v>-95.19</v>
      </c>
    </row>
    <row r="11" customFormat="false" ht="15" hidden="false" customHeight="true" outlineLevel="0" collapsed="false">
      <c r="A11" s="1" t="s">
        <v>54</v>
      </c>
      <c r="B11" s="12" t="n">
        <v>-1094.69</v>
      </c>
      <c r="C11" s="12" t="n">
        <v>-1233.33</v>
      </c>
      <c r="D11" s="12" t="n">
        <v>-1164.01</v>
      </c>
    </row>
    <row r="13" customFormat="false" ht="15" hidden="false" customHeight="true" outlineLevel="0" collapsed="false">
      <c r="A13" s="1" t="s">
        <v>188</v>
      </c>
    </row>
    <row r="14" customFormat="false" ht="15" hidden="false" customHeight="true" outlineLevel="0" collapsed="false">
      <c r="A14" s="1" t="s">
        <v>189</v>
      </c>
      <c r="B14" s="1" t="s">
        <v>190</v>
      </c>
      <c r="C14" s="1" t="s">
        <v>191</v>
      </c>
      <c r="D14" s="1" t="s">
        <v>192</v>
      </c>
    </row>
    <row r="15" customFormat="false" ht="15" hidden="false" customHeight="true" outlineLevel="0" collapsed="false">
      <c r="A15" s="1" t="s">
        <v>193</v>
      </c>
      <c r="B15" s="1" t="s">
        <v>194</v>
      </c>
      <c r="C15" s="1" t="s">
        <v>195</v>
      </c>
      <c r="D15" s="1" t="s">
        <v>196</v>
      </c>
    </row>
    <row r="16" customFormat="false" ht="15" hidden="false" customHeight="true" outlineLevel="0" collapsed="false">
      <c r="A16" s="1" t="s">
        <v>197</v>
      </c>
      <c r="B16" s="1" t="s">
        <v>198</v>
      </c>
      <c r="C16" s="1" t="s">
        <v>199</v>
      </c>
      <c r="D16" s="1" t="s">
        <v>200</v>
      </c>
    </row>
    <row r="17" customFormat="false" ht="15" hidden="false" customHeight="true" outlineLevel="0" collapsed="false">
      <c r="A17" s="1" t="s">
        <v>201</v>
      </c>
      <c r="B17" s="1" t="s">
        <v>202</v>
      </c>
      <c r="C17" s="1" t="s">
        <v>203</v>
      </c>
      <c r="D17" s="1" t="s">
        <v>204</v>
      </c>
    </row>
    <row r="18" customFormat="false" ht="15" hidden="false" customHeight="true" outlineLevel="0" collapsed="false">
      <c r="A18" s="1" t="s">
        <v>205</v>
      </c>
      <c r="B18" s="1" t="s">
        <v>206</v>
      </c>
      <c r="C18" s="1" t="s">
        <v>207</v>
      </c>
      <c r="D18" s="1" t="s">
        <v>208</v>
      </c>
    </row>
    <row r="19" customFormat="false" ht="15" hidden="false" customHeight="true" outlineLevel="0" collapsed="false">
      <c r="A19" s="1" t="s">
        <v>209</v>
      </c>
      <c r="B19" s="1" t="s">
        <v>210</v>
      </c>
      <c r="C19" s="1" t="s">
        <v>211</v>
      </c>
      <c r="D19" s="1" t="s">
        <v>212</v>
      </c>
    </row>
    <row r="21" customFormat="false" ht="15" hidden="false" customHeight="true" outlineLevel="0" collapsed="false">
      <c r="A21" s="1" t="s">
        <v>213</v>
      </c>
    </row>
    <row r="22" customFormat="false" ht="15" hidden="false" customHeight="true" outlineLevel="0" collapsed="false">
      <c r="A22" s="1" t="s">
        <v>214</v>
      </c>
      <c r="B22" s="1" t="s">
        <v>215</v>
      </c>
    </row>
    <row r="23" customFormat="false" ht="15" hidden="false" customHeight="true" outlineLevel="0" collapsed="false">
      <c r="A23" s="1" t="s">
        <v>216</v>
      </c>
      <c r="B23" s="1" t="s">
        <v>217</v>
      </c>
    </row>
    <row r="24" customFormat="false" ht="15" hidden="false" customHeight="true" outlineLevel="0" collapsed="false">
      <c r="A24" s="1" t="s">
        <v>218</v>
      </c>
      <c r="B24" s="1" t="s">
        <v>219</v>
      </c>
    </row>
    <row r="25" customFormat="false" ht="15" hidden="false" customHeight="true" outlineLevel="0" collapsed="false">
      <c r="A25" s="1" t="s">
        <v>220</v>
      </c>
      <c r="B25" s="1" t="s">
        <v>221</v>
      </c>
    </row>
    <row r="26" customFormat="false" ht="15" hidden="false" customHeight="true" outlineLevel="0" collapsed="false">
      <c r="A26" s="1" t="s">
        <v>222</v>
      </c>
      <c r="B26" s="1" t="s">
        <v>223</v>
      </c>
      <c r="C26" s="1" t="s">
        <v>224</v>
      </c>
    </row>
    <row r="27" customFormat="false" ht="15" hidden="false" customHeight="true" outlineLevel="0" collapsed="false">
      <c r="A27" s="1" t="s">
        <v>225</v>
      </c>
      <c r="B27" s="1" t="s">
        <v>226</v>
      </c>
    </row>
    <row r="28" customFormat="false" ht="15" hidden="false" customHeight="true" outlineLevel="0" collapsed="false">
      <c r="A28" s="1" t="s">
        <v>227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60"/>
    <col collapsed="false" customWidth="true" hidden="false" outlineLevel="0" max="2" min="2" style="1" width="10"/>
  </cols>
  <sheetData>
    <row r="1" customFormat="false" ht="15" hidden="false" customHeight="true" outlineLevel="0" collapsed="false">
      <c r="A1" s="4" t="s">
        <v>228</v>
      </c>
      <c r="B1" s="4" t="s">
        <v>229</v>
      </c>
    </row>
    <row r="2" customFormat="false" ht="15" hidden="false" customHeight="true" outlineLevel="0" collapsed="false">
      <c r="A2" s="1" t="s">
        <v>230</v>
      </c>
      <c r="B2" s="1" t="str">
        <f aca="false">IF(ABS(Inputs!$B$52+Inputs!$B$54-(Inputs!$B$2+Inputs!$B$2*Inputs!$B$3+Inputs!$B$52*Inputs!$B$4+Inputs!$F$38))&lt;0.01,"OK","ERROR")</f>
        <v>OK</v>
      </c>
    </row>
    <row r="3" customFormat="false" ht="15" hidden="false" customHeight="true" outlineLevel="0" collapsed="false">
      <c r="A3" s="1" t="s">
        <v>231</v>
      </c>
      <c r="B3" s="1" t="str">
        <f aca="false">IF('Annual CF'!D38&gt;=Inputs!$B$33-0.005,"OK","CHECK")</f>
        <v>OK</v>
      </c>
    </row>
    <row r="4" customFormat="false" ht="15" hidden="false" customHeight="true" outlineLevel="0" collapsed="false">
      <c r="A4" s="1" t="s">
        <v>232</v>
      </c>
      <c r="B4" s="1" t="str">
        <f aca="false">IF(AND(Inputs!$B$40&gt;=1,Inputs!$B$40&lt;=10),"OK","ERROR")</f>
        <v>OK</v>
      </c>
    </row>
    <row r="5" customFormat="false" ht="15" hidden="false" customHeight="true" outlineLevel="0" collapsed="false">
      <c r="A5" s="1" t="s">
        <v>233</v>
      </c>
      <c r="B5" s="1" t="str">
        <f aca="false">IF(ABS(SUM(Waterfall!D27:N27)+SUM(Waterfall!D28:N28)-SUMIFS('Annual CF'!D51:N51,'Annual CF'!D2:N2,"&gt;=1"))&lt;1,"OK","ERROR")</f>
        <v>OK</v>
      </c>
    </row>
    <row r="6" customFormat="false" ht="15" hidden="false" customHeight="true" outlineLevel="0" collapsed="false">
      <c r="A6" s="1" t="s">
        <v>234</v>
      </c>
      <c r="B6" s="1" t="str">
        <f aca="false">IF(INDEX('Annual CF'!C35:N35,MATCH(Inputs!$B$40,'Annual CF'!C2:N2,0))&gt;=0,"OK","ERROR")</f>
        <v>OK</v>
      </c>
    </row>
    <row r="7" customFormat="false" ht="15" hidden="false" customHeight="true" outlineLevel="0" collapsed="false">
      <c r="A7" s="1" t="s">
        <v>235</v>
      </c>
      <c r="B7" s="1" t="str">
        <f aca="false">IF('Annual CF'!D40&gt;=1.15,"OK","CHECK")</f>
        <v>OK</v>
      </c>
    </row>
    <row r="8" customFormat="false" ht="15" hidden="false" customHeight="true" outlineLevel="0" collapsed="false">
      <c r="A8" s="1" t="s">
        <v>236</v>
      </c>
      <c r="B8" s="1" t="str">
        <f aca="false">IF(Inputs!$B$36=0,"OK","CHECK")</f>
        <v>OK</v>
      </c>
    </row>
    <row r="9" customFormat="false" ht="15" hidden="false" customHeight="true" outlineLevel="0" collapsed="false">
      <c r="A9" s="1" t="s">
        <v>237</v>
      </c>
      <c r="B9" s="1" t="str">
        <f aca="false">IF(Inputs!$B$41&gt;=Inputs!$B$57-0.0001,"OK","CHECK")</f>
        <v>OK</v>
      </c>
    </row>
    <row r="10" customFormat="false" ht="15" hidden="false" customHeight="true" outlineLevel="0" collapsed="false">
      <c r="A10" s="1" t="s">
        <v>238</v>
      </c>
      <c r="B10" s="1" t="str">
        <f aca="false">IF(OR(Inputs!$F$14=0,AND(Inputs!$F$14&gt;=1,Inputs!$F$14&lt;Inputs!$B$40)),"OK","CHECK")</f>
        <v>OK</v>
      </c>
    </row>
    <row r="11" customFormat="false" ht="15" hidden="false" customHeight="true" outlineLevel="0" collapsed="false">
      <c r="A11" s="1" t="s">
        <v>239</v>
      </c>
      <c r="B11" s="1" t="str">
        <f aca="false">IF(OR(Inputs!$F$14=0,Inputs!$F$24&lt;=Inputs!$F$23*Inputs!$F$16+1),"OK","CHECK")</f>
        <v>OK</v>
      </c>
    </row>
    <row r="12" customFormat="false" ht="15" hidden="false" customHeight="true" outlineLevel="0" collapsed="false">
      <c r="A12" s="1" t="s">
        <v>240</v>
      </c>
      <c r="B12" s="1" t="str">
        <f aca="false">IF(Inputs!$F$31&lt;=Inputs!$B$5,"OK","ERROR")</f>
        <v>OK</v>
      </c>
    </row>
    <row r="13" customFormat="false" ht="15" hidden="false" customHeight="true" outlineLevel="0" collapsed="false">
      <c r="A13" s="1" t="s">
        <v>241</v>
      </c>
      <c r="B13" s="1" t="str">
        <f aca="false">IF(OR(Inputs!$F$31=0,Inputs!$F$36+Inputs!$F$39-1&lt;=Inputs!$B$40),"OK","CHECK")</f>
        <v>OK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LibreOffice/26.2.5.2$MacOSX_AARCH64 LibreOffice_project/cd7284b4cbbfeb507e630c1aac019f4157393acb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2026-08-02T01:12:43Z</dcterms:created>
  <dc:creator>openpyxl</dc:creator>
  <dc:description/>
  <dc:language>en-US</dc:language>
  <cp:lastModifiedBy/>
  <dcterms:modified xsi:type="dcterms:W3CDTF">2026-08-02T18:00:23Z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