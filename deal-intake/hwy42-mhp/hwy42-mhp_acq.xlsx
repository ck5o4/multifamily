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puts" sheetId="2" state="visible" r:id="rId4"/>
    <sheet name="Annual CF" sheetId="3" state="visible" r:id="rId5"/>
    <sheet name="Waterfall" sheetId="4" state="visible" r:id="rId6"/>
    <sheet name="Sensitivity" sheetId="5" state="visible" r:id="rId7"/>
    <sheet name="Stoa Benchmarks" sheetId="6" state="visible" r:id="rId8"/>
    <sheet name="Chec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<sst xmlns="http://schemas.openxmlformats.org/spreadsheetml/2006/main" count="267" uniqueCount="243">
  <si>
    <t xml:space="preserve">MULTIFAMILY ACQUISITION MODEL</t>
  </si>
  <si>
    <t xml:space="preserve">Original model. Mechanics mirror standard institutional development/acquisition underwriting</t>
  </si>
  <si>
    <t xml:space="preserve">(same equation structure as the Stoa-era model you provided), rebuilt from scratch.</t>
  </si>
  <si>
    <t xml:space="preserve">HOW TO USE:</t>
  </si>
  <si>
    <t xml:space="preserve">1. Enter values ONLY in blue-font cells on the Inputs tab. Yellow cells are the key drivers.</t>
  </si>
  <si>
    <t xml:space="preserve">2. All other cells are formulas - do not overwrite.</t>
  </si>
  <si>
    <t xml:space="preserve">3. Check the Checks tab: all cells in column B should read OK.</t>
  </si>
  <si>
    <t xml:space="preserve">4. Forecast runs 11 years so a 10-year hold still has forward NOI for exit pricing.</t>
  </si>
  <si>
    <t xml:space="preserve">5. Sale price convention: forward (next-year) NOI divided by exit cap rate.</t>
  </si>
  <si>
    <t xml:space="preserve">6. Loan is sized to the LESSER of Max LTV and Min DSCR constraint - matches bank sizing.</t>
  </si>
  <si>
    <t xml:space="preserve">7. Waterfall: LP preferred return (cumulative, non-compounding annually) -&gt; LP return of</t>
  </si>
  <si>
    <t xml:space="preserve">   capital -&gt; GP return of capital -&gt; residual split LP/GP. Set LP% = 100% if the investor</t>
  </si>
  <si>
    <t xml:space="preserve">   funds all equity.</t>
  </si>
  <si>
    <t xml:space="preserve">Assumption provenance and every change vs. the Stoa-era model: see Stoa Benchmarks tab.</t>
  </si>
  <si>
    <t xml:space="preserve">ACQUISITION</t>
  </si>
  <si>
    <t xml:space="preserve">RENT ROLL (in-place)</t>
  </si>
  <si>
    <t xml:space="preserve">Purchase Price</t>
  </si>
  <si>
    <t xml:space="preserve"># Units</t>
  </si>
  <si>
    <t xml:space="preserve">Unit Type</t>
  </si>
  <si>
    <t xml:space="preserve">SF</t>
  </si>
  <si>
    <t xml:space="preserve">Rent/Month</t>
  </si>
  <si>
    <t xml:space="preserve">Rent/SF</t>
  </si>
  <si>
    <t xml:space="preserve">Closing Costs (% of Price)</t>
  </si>
  <si>
    <t xml:space="preserve">3 BR/ 2 BA</t>
  </si>
  <si>
    <t xml:space="preserve">Loan Fee (% of Loan)</t>
  </si>
  <si>
    <t xml:space="preserve">Lot Rent</t>
  </si>
  <si>
    <t xml:space="preserve">Total Units</t>
  </si>
  <si>
    <t xml:space="preserve">2 BR/ 1 BA</t>
  </si>
  <si>
    <t xml:space="preserve">Price / Unit</t>
  </si>
  <si>
    <t xml:space="preserve">BR/BA</t>
  </si>
  <si>
    <t xml:space="preserve">INCOME</t>
  </si>
  <si>
    <t xml:space="preserve">Vacancy %</t>
  </si>
  <si>
    <t xml:space="preserve">Bad Debt %</t>
  </si>
  <si>
    <t xml:space="preserve">Concessions %</t>
  </si>
  <si>
    <t xml:space="preserve">Other Income ($/Unit/Month)</t>
  </si>
  <si>
    <t xml:space="preserve">Rent Growth (Annual)</t>
  </si>
  <si>
    <t xml:space="preserve">REFINANCE  (Refi Year 0 = none)</t>
  </si>
  <si>
    <t xml:space="preserve">Other Income Growth (Annual)</t>
  </si>
  <si>
    <t xml:space="preserve">Refi Year (0 = none)</t>
  </si>
  <si>
    <t xml:space="preserve">Refi Valuation Cap Rate</t>
  </si>
  <si>
    <t xml:space="preserve">OPERATING EXPENSES ($/Unit/Year)</t>
  </si>
  <si>
    <t xml:space="preserve">Refi LTV</t>
  </si>
  <si>
    <t xml:space="preserve">Payroll (0 for small props - see Benchmarks)</t>
  </si>
  <si>
    <t xml:space="preserve">Refi Min DSCR</t>
  </si>
  <si>
    <t xml:space="preserve">General &amp; Administrative</t>
  </si>
  <si>
    <t xml:space="preserve">Refi Interest Rate</t>
  </si>
  <si>
    <t xml:space="preserve">Marketing</t>
  </si>
  <si>
    <t xml:space="preserve">Refi Amortization (Years)</t>
  </si>
  <si>
    <t xml:space="preserve">Repairs &amp; Maintenance</t>
  </si>
  <si>
    <t xml:space="preserve">Refi Cost (% of New Loan)</t>
  </si>
  <si>
    <t xml:space="preserve">Contract Services</t>
  </si>
  <si>
    <t xml:space="preserve">Utilities</t>
  </si>
  <si>
    <t xml:space="preserve">COMPUTED REFI (do not edit)</t>
  </si>
  <si>
    <t xml:space="preserve">Other</t>
  </si>
  <si>
    <t xml:space="preserve">Refi Value (NOI / Val Cap)</t>
  </si>
  <si>
    <t xml:space="preserve">Insurance</t>
  </si>
  <si>
    <t xml:space="preserve">New Loan Amount</t>
  </si>
  <si>
    <t xml:space="preserve">Property Taxes (Annual $, total)</t>
  </si>
  <si>
    <t xml:space="preserve">Old Loan Payoff at Refi</t>
  </si>
  <si>
    <t xml:space="preserve">Property Management Fee (% of EGR)</t>
  </si>
  <si>
    <t xml:space="preserve">Refi Costs</t>
  </si>
  <si>
    <t xml:space="preserve">Asset Management Fee (% of EGR)</t>
  </si>
  <si>
    <t xml:space="preserve">Net Cash-Out at Refi</t>
  </si>
  <si>
    <t xml:space="preserve">Capital Expense Reserve ($/Unit/Year)</t>
  </si>
  <si>
    <t xml:space="preserve">New Monthly Payment</t>
  </si>
  <si>
    <t xml:space="preserve">Expense Growth (Annual)</t>
  </si>
  <si>
    <t xml:space="preserve">VALUE-ADD / RENOVATION  (0 units = none)</t>
  </si>
  <si>
    <t xml:space="preserve">DEBT</t>
  </si>
  <si>
    <t xml:space="preserve">Units to Renovate</t>
  </si>
  <si>
    <t xml:space="preserve">Max Loan-To-Value (LTV)</t>
  </si>
  <si>
    <t xml:space="preserve">Renovation Cost per Unit</t>
  </si>
  <si>
    <t xml:space="preserve">Min DSCR (Lender Constraint)</t>
  </si>
  <si>
    <t xml:space="preserve">Rent Premium per Unit / Month</t>
  </si>
  <si>
    <t xml:space="preserve">Interest Rate (Fixed)</t>
  </si>
  <si>
    <t xml:space="preserve">Units Renovated per Year</t>
  </si>
  <si>
    <t xml:space="preserve">Amortization (Years)</t>
  </si>
  <si>
    <t xml:space="preserve">Downtime Months per Turn</t>
  </si>
  <si>
    <t xml:space="preserve">Interest-Only Period (Years)</t>
  </si>
  <si>
    <t xml:space="preserve">Renovation Start Year</t>
  </si>
  <si>
    <t xml:space="preserve">Total Renovation Budget</t>
  </si>
  <si>
    <t xml:space="preserve">EXIT</t>
  </si>
  <si>
    <t xml:space="preserve">Years to Complete</t>
  </si>
  <si>
    <t xml:space="preserve">Hold Period (Years, 1-10)</t>
  </si>
  <si>
    <t xml:space="preserve">Exit Cap Rate</t>
  </si>
  <si>
    <t xml:space="preserve">Cost of Sale (% of Sale Price)</t>
  </si>
  <si>
    <t xml:space="preserve">EQUITY / INVESTOR STRUCTURE</t>
  </si>
  <si>
    <t xml:space="preserve">LP (Investor) % of Equity</t>
  </si>
  <si>
    <t xml:space="preserve">GP (You) % of Equity</t>
  </si>
  <si>
    <t xml:space="preserve">LP Preferred Return (Annual)</t>
  </si>
  <si>
    <t xml:space="preserve">Residual Split - LP %</t>
  </si>
  <si>
    <t xml:space="preserve">Residual Split - GP %</t>
  </si>
  <si>
    <t xml:space="preserve">COMPUTED (do not edit)</t>
  </si>
  <si>
    <t xml:space="preserve">Loan Amount</t>
  </si>
  <si>
    <t xml:space="preserve">Monthly Debt Service Payment</t>
  </si>
  <si>
    <t xml:space="preserve">Total Equity Required</t>
  </si>
  <si>
    <t xml:space="preserve">LP Capital</t>
  </si>
  <si>
    <t xml:space="preserve">GP Capital</t>
  </si>
  <si>
    <t xml:space="preserve">Going-In Cap Rate (Yr1 NOI / Price)</t>
  </si>
  <si>
    <t xml:space="preserve">ANNUAL CASH FLOW</t>
  </si>
  <si>
    <t xml:space="preserve">Year</t>
  </si>
  <si>
    <t xml:space="preserve">Revenue</t>
  </si>
  <si>
    <t xml:space="preserve">Gross Potential Rent</t>
  </si>
  <si>
    <t xml:space="preserve">Physical Vacancy + Reno Downtime</t>
  </si>
  <si>
    <t xml:space="preserve">Bad Debt</t>
  </si>
  <si>
    <t xml:space="preserve">Concessions</t>
  </si>
  <si>
    <t xml:space="preserve">Net Rental Income</t>
  </si>
  <si>
    <t xml:space="preserve">Other Income</t>
  </si>
  <si>
    <t xml:space="preserve">Effective Gross Revenue</t>
  </si>
  <si>
    <t xml:space="preserve">Expenses</t>
  </si>
  <si>
    <t xml:space="preserve">Payroll</t>
  </si>
  <si>
    <t xml:space="preserve">Property Taxes</t>
  </si>
  <si>
    <t xml:space="preserve">Property Management Fee</t>
  </si>
  <si>
    <t xml:space="preserve">Total Operating Expenses</t>
  </si>
  <si>
    <t xml:space="preserve">Net Operating Income</t>
  </si>
  <si>
    <t xml:space="preserve">Capital Expense Reserve</t>
  </si>
  <si>
    <t xml:space="preserve">Asset Management Fee</t>
  </si>
  <si>
    <t xml:space="preserve">Cash Flow Before Debt Service</t>
  </si>
  <si>
    <t xml:space="preserve">Debt Service</t>
  </si>
  <si>
    <t xml:space="preserve">Beginning Loan Balance</t>
  </si>
  <si>
    <t xml:space="preserve">Interest Payment</t>
  </si>
  <si>
    <t xml:space="preserve">Principal Payment</t>
  </si>
  <si>
    <t xml:space="preserve">Total Debt Service</t>
  </si>
  <si>
    <t xml:space="preserve">Ending Loan Balance</t>
  </si>
  <si>
    <t xml:space="preserve">Cash Flow After Debt Service</t>
  </si>
  <si>
    <t xml:space="preserve">DSCR</t>
  </si>
  <si>
    <t xml:space="preserve">Cash-on-Cash Return</t>
  </si>
  <si>
    <t xml:space="preserve">DSCR (after capex reserve)</t>
  </si>
  <si>
    <t xml:space="preserve">Acquisition &amp; Sale</t>
  </si>
  <si>
    <t xml:space="preserve">Closing Costs</t>
  </si>
  <si>
    <t xml:space="preserve">Loan Fees</t>
  </si>
  <si>
    <t xml:space="preserve">Loan Proceeds</t>
  </si>
  <si>
    <t xml:space="preserve">Sale Price (Fwd NOI / Exit Cap)</t>
  </si>
  <si>
    <t xml:space="preserve">Cost of Sale</t>
  </si>
  <si>
    <t xml:space="preserve">Loan Payoff</t>
  </si>
  <si>
    <t xml:space="preserve">Refi Proceeds (net of costs)</t>
  </si>
  <si>
    <t xml:space="preserve">Unlevered Net Cash Flow</t>
  </si>
  <si>
    <t xml:space="preserve">Levered Net Cash Flow</t>
  </si>
  <si>
    <t xml:space="preserve">Renovation Budget (funded at close)</t>
  </si>
  <si>
    <t xml:space="preserve">RETURNS (Project Level)</t>
  </si>
  <si>
    <t xml:space="preserve">Unlevered IRR</t>
  </si>
  <si>
    <t xml:space="preserve">Levered IRR</t>
  </si>
  <si>
    <t xml:space="preserve">Equity Multiple</t>
  </si>
  <si>
    <t xml:space="preserve">Total Profit</t>
  </si>
  <si>
    <t xml:space="preserve">Avg Cash-on-Cash (Hold Yrs)</t>
  </si>
  <si>
    <t xml:space="preserve">Avg DSCR (Hold Yrs)</t>
  </si>
  <si>
    <t xml:space="preserve">RENOVATION DETAIL</t>
  </si>
  <si>
    <t xml:space="preserve">Units Renovated (cumulative)</t>
  </si>
  <si>
    <t xml:space="preserve">Rent Premium Captured</t>
  </si>
  <si>
    <t xml:space="preserve">Downtime Loss</t>
  </si>
  <si>
    <t xml:space="preserve">LP / GP DISTRIBUTION WATERFALL (Annual)</t>
  </si>
  <si>
    <t xml:space="preserve">Distributable Cash Flow</t>
  </si>
  <si>
    <t xml:space="preserve">TIER 1: LP Preferred Return</t>
  </si>
  <si>
    <t xml:space="preserve">Pref Owed - Beginning</t>
  </si>
  <si>
    <t xml:space="preserve">Pref Accrual</t>
  </si>
  <si>
    <t xml:space="preserve">Pref Paid to LP</t>
  </si>
  <si>
    <t xml:space="preserve">Pref Owed - Ending</t>
  </si>
  <si>
    <t xml:space="preserve">TIER 2: Return of Capital</t>
  </si>
  <si>
    <t xml:space="preserve">LP Unreturned Capital - Beg</t>
  </si>
  <si>
    <t xml:space="preserve">LP Return of Capital</t>
  </si>
  <si>
    <t xml:space="preserve">LP Unreturned Capital - End</t>
  </si>
  <si>
    <t xml:space="preserve">GP Unreturned Capital - Beg</t>
  </si>
  <si>
    <t xml:space="preserve">GP Return of Capital</t>
  </si>
  <si>
    <t xml:space="preserve">GP Unreturned Capital - End</t>
  </si>
  <si>
    <t xml:space="preserve">TIER 3: Residual Split</t>
  </si>
  <si>
    <t xml:space="preserve">Residual Cash Flow</t>
  </si>
  <si>
    <t xml:space="preserve">LP Residual Share</t>
  </si>
  <si>
    <t xml:space="preserve">GP Residual Share</t>
  </si>
  <si>
    <t xml:space="preserve">LP Net Cash Flow</t>
  </si>
  <si>
    <t xml:space="preserve">GP Net Cash Flow</t>
  </si>
  <si>
    <t xml:space="preserve">LP IRR</t>
  </si>
  <si>
    <t xml:space="preserve">LP Equity Multiple</t>
  </si>
  <si>
    <t xml:space="preserve">LP Total Profit</t>
  </si>
  <si>
    <t xml:space="preserve">GP IRR</t>
  </si>
  <si>
    <t xml:space="preserve">GP Equity Multiple</t>
  </si>
  <si>
    <t xml:space="preserve">GP Total Profit</t>
  </si>
  <si>
    <t xml:space="preserve">EXIT CAP RATE SENSITIVITY (at chosen Hold Period)</t>
  </si>
  <si>
    <t xml:space="preserve">Forward NOI at Exit</t>
  </si>
  <si>
    <t xml:space="preserve">Loan Payoff at Exit</t>
  </si>
  <si>
    <t xml:space="preserve">Cum. CF After Debt Svc (Hold Yrs)</t>
  </si>
  <si>
    <t xml:space="preserve">Total Equity</t>
  </si>
  <si>
    <t xml:space="preserve">Exit Cap</t>
  </si>
  <si>
    <t xml:space="preserve">Sale Price</t>
  </si>
  <si>
    <t xml:space="preserve">Net Sale Proceeds</t>
  </si>
  <si>
    <t xml:space="preserve">STOA-ERA MODEL ASSUMPTIONS (exact) AND WHAT THIS MODEL CHANGED</t>
  </si>
  <si>
    <t xml:space="preserve">OPERATING EXPENSES ($/Unit/Yr) - from Waters at Hammond &amp; Manhattan budgets</t>
  </si>
  <si>
    <t xml:space="preserve">Line Item</t>
  </si>
  <si>
    <t xml:space="preserve">Hammond</t>
  </si>
  <si>
    <t xml:space="preserve">Manhattan</t>
  </si>
  <si>
    <t xml:space="preserve">Average (their formula: =AVERAGE)</t>
  </si>
  <si>
    <t xml:space="preserve">THEIR MODEL SETTINGS (exact)</t>
  </si>
  <si>
    <t xml:space="preserve">Vacancy 7% | at Refi 7%</t>
  </si>
  <si>
    <t xml:space="preserve">Rent Growth 2%/yr</t>
  </si>
  <si>
    <t xml:space="preserve">Expense Growth 1%/yr</t>
  </si>
  <si>
    <t xml:space="preserve">Capex Reserve $250/unit/yr</t>
  </si>
  <si>
    <t xml:space="preserve">Mgmt Fee 3% of EGR (self-managed at scale)</t>
  </si>
  <si>
    <t xml:space="preserve">Asset Mgmt Fee 1% of NRI</t>
  </si>
  <si>
    <t xml:space="preserve">Bad Debt/Concessions inside vacancy</t>
  </si>
  <si>
    <t xml:space="preserve">Other income itemized (valet trash, late fees, pet rent/fees, admin, carport, termination)</t>
  </si>
  <si>
    <t xml:space="preserve">Construction: LTC 75%, WSJ Prime + 0.50%</t>
  </si>
  <si>
    <t xml:space="preserve">Loan fee $95,000 flat</t>
  </si>
  <si>
    <t xml:space="preserve">Hard cost = $122.23/SF x NRSF + $1,000,000</t>
  </si>
  <si>
    <t xml:space="preserve">Contingency: 10% hard / 2% soft; GC Overhead 5%</t>
  </si>
  <si>
    <t xml:space="preserve">GC Profit 4% | Developer Fee 3.5% + 0.5% (taken as in-kind equity)</t>
  </si>
  <si>
    <t xml:space="preserve">Impact fees $4,127/unit</t>
  </si>
  <si>
    <t xml:space="preserve">Draw curve: normal distribution, SD 6 (hard) / 10 (soft)</t>
  </si>
  <si>
    <t xml:space="preserve">Lease-up 14 months; ~20.6 units/month (288 units)</t>
  </si>
  <si>
    <t xml:space="preserve">Perm: FHA 223(f) refi at month 33</t>
  </si>
  <si>
    <t xml:space="preserve">Valuation cap 5.5%; LTV 75%; DSCR ~1.185 going-in</t>
  </si>
  <si>
    <t xml:space="preserve">420-month amortization; MIP 0.25%</t>
  </si>
  <si>
    <t xml:space="preserve">Perm fee ~2.14% of proceeds</t>
  </si>
  <si>
    <t xml:space="preserve">Exit: sell at 6.5% cap on forward NOI</t>
  </si>
  <si>
    <t xml:space="preserve">Cost of sale 0.75%</t>
  </si>
  <si>
    <t xml:space="preserve">Sell-or-Hold toggle</t>
  </si>
  <si>
    <t xml:space="preserve">Waterfall: 8% pref; hurdles 10%/12%; promote 10/20/30; GP/LP splits</t>
  </si>
  <si>
    <t xml:space="preserve">CHANGES MADE IN THIS MODEL AND WHY</t>
  </si>
  <si>
    <t xml:space="preserve">Insurance: $1,164 -&gt; $2,000/unit default</t>
  </si>
  <si>
    <t xml:space="preserve">Louisiana insurance costs escalated sharply post-2022; LA is the 3rd most expensive insurance state. Update per actual quote every deal.</t>
  </si>
  <si>
    <t xml:space="preserve">Expense growth: 1% -&gt; 2.5%</t>
  </si>
  <si>
    <t xml:space="preserve">1% was aggressive; recent expense inflation (insurance, labor) runs above rents. Conservative default.</t>
  </si>
  <si>
    <t xml:space="preserve">Mgmt fee: 3% -&gt; 8%</t>
  </si>
  <si>
    <t xml:space="preserve">Stoa self-managed 300+ unit assets. Third-party management on &lt;50 units typically runs 7-10% of collections.</t>
  </si>
  <si>
    <t xml:space="preserve">Cost of sale: 0.75% -&gt; 3%</t>
  </si>
  <si>
    <t xml:space="preserve">Stoa sold $30M+ assets off-market. Small multifamily sells with brokerage: 2-5% typical.</t>
  </si>
  <si>
    <t xml:space="preserve">Expense levels escalated ~3%/yr from their ~2023 budgets</t>
  </si>
  <si>
    <t xml:space="preserve">Payroll 1569-&gt;1715, G&amp;A 438-&gt;480, Mktg 379-&gt;415, R&amp;M 472-&gt;515, Util 692-&gt;755, Other 95-&gt;105.</t>
  </si>
  <si>
    <t xml:space="preserve">Note: on very small properties (&lt;10 units) payroll is usually $0 (no on-site staff; covered by mgmt fee). Zero it out when appropriate.</t>
  </si>
  <si>
    <t xml:space="preserve">Rate defaults: WSJ Prime = 6.75% (as of Dec 11, 2025)</t>
  </si>
  <si>
    <t xml:space="preserve">Bank acquisition debt default 6.75% fixed. Replace with your actual quote.</t>
  </si>
  <si>
    <t xml:space="preserve">All other equation structures preserved: forward-NOI exit pricing, DSCR/LTV loan sizing, pref-then-ROC-then-split waterfall, fixed/variable expense logic (Development model), bell-curve draws (Development model).</t>
  </si>
  <si>
    <t xml:space="preserve">Check</t>
  </si>
  <si>
    <t xml:space="preserve">Status</t>
  </si>
  <si>
    <t xml:space="preserve">Sources = Uses (Loan + Equity = Price + Closing + Fees + Renovation)</t>
  </si>
  <si>
    <t xml:space="preserve">Year 1 DSCR meets lender minimum</t>
  </si>
  <si>
    <t xml:space="preserve">Hold period within 1-10 years</t>
  </si>
  <si>
    <t xml:space="preserve">Waterfall distributions = project levered CF (yrs 1+)</t>
  </si>
  <si>
    <t xml:space="preserve">Loan balance non-negative at exit</t>
  </si>
  <si>
    <t xml:space="preserve">Post-reserve DSCR &gt;= 1.15 (lender view, net of replacement reserves)</t>
  </si>
  <si>
    <t xml:space="preserve">No balloon at maturity (an interest-only period leaves one)</t>
  </si>
  <si>
    <t xml:space="preserve">Exit cap not below going-in cap (compression is an unearned assumption)</t>
  </si>
  <si>
    <t xml:space="preserve">Refi year (if any) falls inside the hold period</t>
  </si>
  <si>
    <t xml:space="preserve">Refi loan does not exceed the refi valuation</t>
  </si>
  <si>
    <t xml:space="preserve">Renovation unit count does not exceed the property</t>
  </si>
  <si>
    <t xml:space="preserve">Renovation finishes inside the hold period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</si>
</sst>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"/>
    <numFmt numFmtId="167" formatCode="0.00"/>
    <numFmt numFmtId="168" formatCode="#,##0"/>
    <numFmt numFmtId="169" formatCode="0.00%"/>
    <numFmt numFmtId="170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9" min="5" style="1" width="12"/>
  </cols>
  <sheetData>
    <row r="1" customFormat="false" ht="15" hidden="false" customHeight="true" outlineLevel="0" collapsed="false">
      <c r="A1" s="4" t="s">
        <v>14</v>
      </c>
      <c r="E1" s="4" t="s">
        <v>15</v>
      </c>
    </row>
    <row r="2" customFormat="false" ht="15" hidden="false" customHeight="true" outlineLevel="0" collapsed="false">
      <c r="A2" s="1" t="s">
        <v>16</v>
      </c>
      <c r="B2" s="5" t="n">
        <v>3000000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</row>
    <row r="3" customFormat="false" ht="15" hidden="false" customHeight="true" outlineLevel="0" collapsed="false">
      <c r="A3" s="1" t="s">
        <v>22</v>
      </c>
      <c r="B3" s="7" t="n">
        <v>0.02</v>
      </c>
      <c r="E3" s="8" t="n">
        <v>26</v>
      </c>
      <c r="F3" s="8" t="s">
        <v>23</v>
      </c>
      <c r="G3" s="8" t="n">
        <v>1120</v>
      </c>
      <c r="H3" s="9" t="n">
        <v>1300</v>
      </c>
      <c r="I3" s="10" t="n">
        <f aca="false">IFERROR(H3/G3,0)</f>
        <v>1.16071428571429</v>
      </c>
    </row>
    <row r="4" customFormat="false" ht="15" hidden="false" customHeight="true" outlineLevel="0" collapsed="false">
      <c r="A4" s="1" t="s">
        <v>24</v>
      </c>
      <c r="B4" s="7" t="n">
        <v>0.01</v>
      </c>
      <c r="E4" s="8" t="n">
        <v>3</v>
      </c>
      <c r="F4" s="8" t="s">
        <v>25</v>
      </c>
      <c r="G4" s="8" t="n">
        <v>0</v>
      </c>
      <c r="H4" s="9" t="n">
        <v>425</v>
      </c>
      <c r="I4" s="10" t="n">
        <f aca="false">IFERROR(H4/G4,0)</f>
        <v>0</v>
      </c>
    </row>
    <row r="5" customFormat="false" ht="15" hidden="false" customHeight="true" outlineLevel="0" collapsed="false">
      <c r="A5" s="1" t="s">
        <v>26</v>
      </c>
      <c r="B5" s="11" t="n">
        <f aca="false">E11</f>
        <v>30</v>
      </c>
      <c r="E5" s="8" t="n">
        <v>1</v>
      </c>
      <c r="F5" s="8" t="s">
        <v>27</v>
      </c>
      <c r="G5" s="8" t="n">
        <v>840</v>
      </c>
      <c r="H5" s="9" t="n">
        <v>950</v>
      </c>
      <c r="I5" s="10" t="n">
        <f aca="false">IFERROR(H5/G5,0)</f>
        <v>1.13095238095238</v>
      </c>
    </row>
    <row r="6" customFormat="false" ht="15" hidden="false" customHeight="true" outlineLevel="0" collapsed="false">
      <c r="A6" s="1" t="s">
        <v>28</v>
      </c>
      <c r="B6" s="12" t="n">
        <f aca="false">IFERROR(B2/B5,0)</f>
        <v>100000</v>
      </c>
      <c r="E6" s="8" t="n">
        <v>0</v>
      </c>
      <c r="F6" s="8" t="s">
        <v>29</v>
      </c>
      <c r="G6" s="8" t="n">
        <v>0</v>
      </c>
      <c r="H6" s="9" t="n">
        <v>0</v>
      </c>
      <c r="I6" s="10" t="n">
        <f aca="false">IFERROR(H6/G6,0)</f>
        <v>0</v>
      </c>
    </row>
    <row r="7" customFormat="false" ht="15" hidden="false" customHeight="true" outlineLevel="0" collapsed="false">
      <c r="E7" s="8" t="n">
        <v>0</v>
      </c>
      <c r="F7" s="8" t="s">
        <v>29</v>
      </c>
      <c r="G7" s="8" t="n">
        <v>0</v>
      </c>
      <c r="H7" s="9" t="n">
        <v>0</v>
      </c>
      <c r="I7" s="10" t="n">
        <f aca="false">IFERROR(H7/G7,0)</f>
        <v>0</v>
      </c>
    </row>
    <row r="8" customFormat="false" ht="15" hidden="false" customHeight="true" outlineLevel="0" collapsed="false">
      <c r="A8" s="4" t="s">
        <v>30</v>
      </c>
      <c r="E8" s="8" t="n">
        <v>0</v>
      </c>
      <c r="F8" s="8" t="s">
        <v>29</v>
      </c>
      <c r="G8" s="8" t="n">
        <v>0</v>
      </c>
      <c r="H8" s="9" t="n">
        <v>0</v>
      </c>
      <c r="I8" s="10" t="n">
        <f aca="false">IFERROR(H8/G8,0)</f>
        <v>0</v>
      </c>
    </row>
    <row r="9" customFormat="false" ht="15" hidden="false" customHeight="true" outlineLevel="0" collapsed="false">
      <c r="A9" s="1" t="s">
        <v>31</v>
      </c>
      <c r="B9" s="7" t="n">
        <v>0.135</v>
      </c>
      <c r="E9" s="8" t="n">
        <v>0</v>
      </c>
      <c r="F9" s="8" t="s">
        <v>29</v>
      </c>
      <c r="G9" s="8" t="n">
        <v>0</v>
      </c>
      <c r="H9" s="9" t="n">
        <v>0</v>
      </c>
      <c r="I9" s="10" t="n">
        <f aca="false">IFERROR(H9/G9,0)</f>
        <v>0</v>
      </c>
    </row>
    <row r="10" customFormat="false" ht="15" hidden="false" customHeight="true" outlineLevel="0" collapsed="false">
      <c r="A10" s="1" t="s">
        <v>32</v>
      </c>
      <c r="B10" s="7" t="n">
        <v>0.005</v>
      </c>
      <c r="E10" s="8" t="n">
        <v>0</v>
      </c>
      <c r="F10" s="8" t="s">
        <v>29</v>
      </c>
      <c r="G10" s="8" t="n">
        <v>0</v>
      </c>
      <c r="H10" s="9" t="n">
        <v>0</v>
      </c>
      <c r="I10" s="10" t="n">
        <f aca="false">IFERROR(H10/G10,0)</f>
        <v>0</v>
      </c>
    </row>
    <row r="11" customFormat="false" ht="15" hidden="false" customHeight="true" outlineLevel="0" collapsed="false">
      <c r="A11" s="1" t="s">
        <v>33</v>
      </c>
      <c r="B11" s="7" t="n">
        <v>0</v>
      </c>
      <c r="E11" s="13" t="n">
        <f aca="false">SUM(E3:E10)</f>
        <v>30</v>
      </c>
      <c r="G11" s="14" t="n">
        <f aca="false">IFERROR(SUMPRODUCT(G3:G10,E3:E10)/E11,0)</f>
        <v>998.666666666667</v>
      </c>
      <c r="H11" s="12" t="n">
        <f aca="false">IFERROR(SUMPRODUCT(H3:H10,E3:E10)/E11,0)</f>
        <v>1200.83333333333</v>
      </c>
      <c r="I11" s="10" t="n">
        <f aca="false">IFERROR(H11/G11,0)</f>
        <v>1.20243658210948</v>
      </c>
    </row>
    <row r="12" customFormat="false" ht="15" hidden="false" customHeight="true" outlineLevel="0" collapsed="false">
      <c r="A12" s="1" t="s">
        <v>34</v>
      </c>
      <c r="B12" s="9" t="n">
        <v>40</v>
      </c>
    </row>
    <row r="13" customFormat="false" ht="15" hidden="false" customHeight="true" outlineLevel="0" collapsed="false">
      <c r="A13" s="1" t="s">
        <v>35</v>
      </c>
      <c r="B13" s="7" t="n">
        <v>0.02</v>
      </c>
      <c r="E13" s="4" t="s">
        <v>36</v>
      </c>
    </row>
    <row r="14" customFormat="false" ht="15" hidden="false" customHeight="true" outlineLevel="0" collapsed="false">
      <c r="A14" s="1" t="s">
        <v>37</v>
      </c>
      <c r="B14" s="7" t="n">
        <v>0.02</v>
      </c>
      <c r="E14" s="1" t="s">
        <v>38</v>
      </c>
      <c r="F14" s="15" t="n">
        <v>0</v>
      </c>
    </row>
    <row r="15" customFormat="false" ht="15" hidden="false" customHeight="true" outlineLevel="0" collapsed="false">
      <c r="E15" s="1" t="s">
        <v>39</v>
      </c>
      <c r="F15" s="16" t="n">
        <v>0.07</v>
      </c>
    </row>
    <row r="16" customFormat="false" ht="15" hidden="false" customHeight="true" outlineLevel="0" collapsed="false">
      <c r="A16" s="4" t="s">
        <v>40</v>
      </c>
      <c r="E16" s="1" t="s">
        <v>41</v>
      </c>
      <c r="F16" s="7" t="n">
        <v>0.75</v>
      </c>
    </row>
    <row r="17" customFormat="false" ht="15" hidden="false" customHeight="true" outlineLevel="0" collapsed="false">
      <c r="A17" s="1" t="s">
        <v>42</v>
      </c>
      <c r="B17" s="9" t="n">
        <v>0</v>
      </c>
      <c r="E17" s="1" t="s">
        <v>43</v>
      </c>
      <c r="F17" s="17" t="n">
        <v>1.3</v>
      </c>
    </row>
    <row r="18" customFormat="false" ht="15" hidden="false" customHeight="true" outlineLevel="0" collapsed="false">
      <c r="A18" s="1" t="s">
        <v>44</v>
      </c>
      <c r="B18" s="9" t="n">
        <v>200</v>
      </c>
      <c r="E18" s="1" t="s">
        <v>45</v>
      </c>
      <c r="F18" s="16" t="n">
        <v>0.0675</v>
      </c>
    </row>
    <row r="19" customFormat="false" ht="15" hidden="false" customHeight="true" outlineLevel="0" collapsed="false">
      <c r="A19" s="1" t="s">
        <v>46</v>
      </c>
      <c r="B19" s="9" t="n">
        <v>400</v>
      </c>
      <c r="E19" s="1" t="s">
        <v>47</v>
      </c>
      <c r="F19" s="18" t="n">
        <v>25</v>
      </c>
    </row>
    <row r="20" customFormat="false" ht="15" hidden="false" customHeight="true" outlineLevel="0" collapsed="false">
      <c r="A20" s="1" t="s">
        <v>48</v>
      </c>
      <c r="B20" s="9" t="n">
        <v>700</v>
      </c>
      <c r="E20" s="1" t="s">
        <v>49</v>
      </c>
      <c r="F20" s="7" t="n">
        <v>0.02</v>
      </c>
    </row>
    <row r="21" customFormat="false" ht="15" hidden="false" customHeight="true" outlineLevel="0" collapsed="false">
      <c r="A21" s="1" t="s">
        <v>50</v>
      </c>
      <c r="B21" s="9" t="n">
        <v>233</v>
      </c>
    </row>
    <row r="22" customFormat="false" ht="15" hidden="false" customHeight="true" outlineLevel="0" collapsed="false">
      <c r="A22" s="1" t="s">
        <v>51</v>
      </c>
      <c r="B22" s="9" t="n">
        <v>171</v>
      </c>
      <c r="E22" s="4" t="s">
        <v>52</v>
      </c>
    </row>
    <row r="23" customFormat="false" ht="15" hidden="false" customHeight="true" outlineLevel="0" collapsed="false">
      <c r="A23" s="1" t="s">
        <v>53</v>
      </c>
      <c r="B23" s="9" t="n">
        <v>105</v>
      </c>
      <c r="E23" s="1" t="s">
        <v>54</v>
      </c>
      <c r="F23" s="12" t="n">
        <f aca="false">IFERROR(IF($F$14=0,0,INDEX('Annual CF'!C25:N25,MATCH($F$14,'Annual CF'!C2:N2,0))/$F$15),0)</f>
        <v>0</v>
      </c>
    </row>
    <row r="24" customFormat="false" ht="15" hidden="false" customHeight="true" outlineLevel="0" collapsed="false">
      <c r="A24" s="1" t="s">
        <v>55</v>
      </c>
      <c r="B24" s="9" t="n">
        <v>1289</v>
      </c>
      <c r="E24" s="1" t="s">
        <v>56</v>
      </c>
      <c r="F24" s="12" t="n">
        <f aca="false">IFERROR(IF($F$14=0,0,MIN($F$16*$F$23,PV($F$18/12,$F$19*12,-(INDEX('Annual CF'!C25:N25,MATCH($F$14,'Annual CF'!C2:N2,0))/$F$17)/12))),0)</f>
        <v>0</v>
      </c>
    </row>
    <row r="25" customFormat="false" ht="15" hidden="false" customHeight="true" outlineLevel="0" collapsed="false">
      <c r="A25" s="1" t="s">
        <v>57</v>
      </c>
      <c r="B25" s="5" t="n">
        <v>34500</v>
      </c>
      <c r="E25" s="1" t="s">
        <v>58</v>
      </c>
      <c r="F25" s="12" t="n">
        <f aca="false">IFERROR(IF($F$14=0,0,INDEX('Annual CF'!C35:N35,MATCH($F$14,'Annual CF'!C2:N2,0))),0)</f>
        <v>0</v>
      </c>
    </row>
    <row r="26" customFormat="false" ht="15" hidden="false" customHeight="true" outlineLevel="0" collapsed="false">
      <c r="A26" s="1" t="s">
        <v>59</v>
      </c>
      <c r="B26" s="7" t="n">
        <v>0.08</v>
      </c>
      <c r="E26" s="1" t="s">
        <v>60</v>
      </c>
      <c r="F26" s="12" t="n">
        <f aca="false">$F$24*$F$20</f>
        <v>0</v>
      </c>
    </row>
    <row r="27" customFormat="false" ht="15" hidden="false" customHeight="true" outlineLevel="0" collapsed="false">
      <c r="A27" s="1" t="s">
        <v>61</v>
      </c>
      <c r="B27" s="7" t="n">
        <v>0</v>
      </c>
      <c r="E27" s="1" t="s">
        <v>62</v>
      </c>
      <c r="F27" s="19" t="n">
        <f aca="false">$F$24-$F$25-$F$26</f>
        <v>0</v>
      </c>
    </row>
    <row r="28" customFormat="false" ht="15" hidden="false" customHeight="true" outlineLevel="0" collapsed="false">
      <c r="A28" s="1" t="s">
        <v>63</v>
      </c>
      <c r="B28" s="9" t="n">
        <v>400</v>
      </c>
      <c r="E28" s="1" t="s">
        <v>64</v>
      </c>
      <c r="F28" s="12" t="n">
        <f aca="false">IFERROR(IF($F$14=0,0,PMT($F$18/12,$F$19*12,-$F$24)),0)</f>
        <v>0</v>
      </c>
    </row>
    <row r="29" customFormat="false" ht="15" hidden="false" customHeight="true" outlineLevel="0" collapsed="false">
      <c r="A29" s="1" t="s">
        <v>65</v>
      </c>
      <c r="B29" s="7" t="n">
        <v>0.025</v>
      </c>
    </row>
    <row r="30" customFormat="false" ht="15" hidden="false" customHeight="true" outlineLevel="0" collapsed="false">
      <c r="E30" s="4" t="s">
        <v>66</v>
      </c>
    </row>
    <row r="31" customFormat="false" ht="15" hidden="false" customHeight="true" outlineLevel="0" collapsed="false">
      <c r="A31" s="4" t="s">
        <v>67</v>
      </c>
      <c r="E31" s="1" t="s">
        <v>68</v>
      </c>
      <c r="F31" s="15" t="n">
        <v>0</v>
      </c>
    </row>
    <row r="32" customFormat="false" ht="15" hidden="false" customHeight="true" outlineLevel="0" collapsed="false">
      <c r="A32" s="1" t="s">
        <v>69</v>
      </c>
      <c r="B32" s="7" t="n">
        <v>0.75</v>
      </c>
      <c r="E32" s="1" t="s">
        <v>70</v>
      </c>
      <c r="F32" s="9" t="n">
        <v>0</v>
      </c>
    </row>
    <row r="33" customFormat="false" ht="15" hidden="false" customHeight="true" outlineLevel="0" collapsed="false">
      <c r="A33" s="1" t="s">
        <v>71</v>
      </c>
      <c r="B33" s="17" t="n">
        <v>1.3</v>
      </c>
      <c r="E33" s="1" t="s">
        <v>72</v>
      </c>
      <c r="F33" s="5" t="n">
        <v>0</v>
      </c>
    </row>
    <row r="34" customFormat="false" ht="15" hidden="false" customHeight="true" outlineLevel="0" collapsed="false">
      <c r="A34" s="1" t="s">
        <v>73</v>
      </c>
      <c r="B34" s="20" t="n">
        <v>0.0675</v>
      </c>
      <c r="E34" s="1" t="s">
        <v>74</v>
      </c>
      <c r="F34" s="18" t="n">
        <v>0</v>
      </c>
    </row>
    <row r="35" customFormat="false" ht="15" hidden="false" customHeight="true" outlineLevel="0" collapsed="false">
      <c r="A35" s="1" t="s">
        <v>75</v>
      </c>
      <c r="B35" s="18" t="n">
        <v>25</v>
      </c>
      <c r="E35" s="1" t="s">
        <v>76</v>
      </c>
      <c r="F35" s="18" t="n">
        <v>1</v>
      </c>
    </row>
    <row r="36" customFormat="false" ht="15" hidden="false" customHeight="true" outlineLevel="0" collapsed="false">
      <c r="A36" s="1" t="s">
        <v>77</v>
      </c>
      <c r="B36" s="18" t="n">
        <v>0</v>
      </c>
      <c r="E36" s="1" t="s">
        <v>78</v>
      </c>
      <c r="F36" s="18" t="n">
        <v>1</v>
      </c>
    </row>
    <row r="38" customFormat="false" ht="15" hidden="false" customHeight="true" outlineLevel="0" collapsed="false">
      <c r="E38" s="1" t="s">
        <v>79</v>
      </c>
      <c r="F38" s="19" t="n">
        <f aca="false">$F$31*$F$32</f>
        <v>0</v>
      </c>
    </row>
    <row r="39" customFormat="false" ht="15" hidden="false" customHeight="true" outlineLevel="0" collapsed="false">
      <c r="A39" s="4" t="s">
        <v>80</v>
      </c>
      <c r="E39" s="1" t="s">
        <v>81</v>
      </c>
      <c r="F39" s="14" t="n">
        <f aca="false">IFERROR(ROUNDUP($F$31/$F$34,0),0)</f>
        <v>0</v>
      </c>
    </row>
    <row r="40" customFormat="false" ht="15" hidden="false" customHeight="true" outlineLevel="0" collapsed="false">
      <c r="A40" s="1" t="s">
        <v>82</v>
      </c>
      <c r="B40" s="15" t="n">
        <v>5</v>
      </c>
    </row>
    <row r="41" customFormat="false" ht="15" hidden="false" customHeight="true" outlineLevel="0" collapsed="false">
      <c r="A41" s="1" t="s">
        <v>83</v>
      </c>
      <c r="B41" s="20" t="n">
        <v>0.08035</v>
      </c>
    </row>
    <row r="42" customFormat="false" ht="15" hidden="false" customHeight="true" outlineLevel="0" collapsed="false">
      <c r="A42" s="1" t="s">
        <v>84</v>
      </c>
      <c r="B42" s="7" t="n">
        <v>0.03</v>
      </c>
    </row>
    <row r="44" customFormat="false" ht="15" hidden="false" customHeight="true" outlineLevel="0" collapsed="false">
      <c r="A44" s="4" t="s">
        <v>85</v>
      </c>
    </row>
    <row r="45" customFormat="false" ht="15" hidden="false" customHeight="true" outlineLevel="0" collapsed="false">
      <c r="A45" s="1" t="s">
        <v>86</v>
      </c>
      <c r="B45" s="7" t="n">
        <v>0.9</v>
      </c>
    </row>
    <row r="46" customFormat="false" ht="15" hidden="false" customHeight="true" outlineLevel="0" collapsed="false">
      <c r="A46" s="1" t="s">
        <v>87</v>
      </c>
      <c r="B46" s="21" t="n">
        <f aca="false">1-B45</f>
        <v>0.1</v>
      </c>
    </row>
    <row r="47" customFormat="false" ht="15" hidden="false" customHeight="true" outlineLevel="0" collapsed="false">
      <c r="A47" s="1" t="s">
        <v>88</v>
      </c>
      <c r="B47" s="7" t="n">
        <v>0.08</v>
      </c>
    </row>
    <row r="48" customFormat="false" ht="15" hidden="false" customHeight="true" outlineLevel="0" collapsed="false">
      <c r="A48" s="1" t="s">
        <v>89</v>
      </c>
      <c r="B48" s="7" t="n">
        <v>0.7</v>
      </c>
    </row>
    <row r="49" customFormat="false" ht="15" hidden="false" customHeight="true" outlineLevel="0" collapsed="false">
      <c r="A49" s="1" t="s">
        <v>90</v>
      </c>
      <c r="B49" s="21" t="n">
        <f aca="false">1-B48</f>
        <v>0.3</v>
      </c>
    </row>
    <row r="51" customFormat="false" ht="15" hidden="false" customHeight="true" outlineLevel="0" collapsed="false">
      <c r="A51" s="4" t="s">
        <v>91</v>
      </c>
    </row>
    <row r="52" customFormat="false" ht="15" hidden="false" customHeight="true" outlineLevel="0" collapsed="false">
      <c r="A52" s="1" t="s">
        <v>92</v>
      </c>
      <c r="B52" s="12" t="n">
        <f aca="false">MIN(B32*B2, PV(B34/12, B35*12, -('Annual CF'!D25/B33)/12))</f>
        <v>2097334.10836694</v>
      </c>
    </row>
    <row r="53" customFormat="false" ht="15" hidden="false" customHeight="true" outlineLevel="0" collapsed="false">
      <c r="A53" s="1" t="s">
        <v>93</v>
      </c>
      <c r="B53" s="12" t="n">
        <f aca="false">PMT(B34/12,B35*12,-B52)</f>
        <v>14490.7230769231</v>
      </c>
    </row>
    <row r="54" customFormat="false" ht="15" hidden="false" customHeight="true" outlineLevel="0" collapsed="false">
      <c r="A54" s="1" t="s">
        <v>94</v>
      </c>
      <c r="B54" s="19" t="n">
        <f aca="false">B2+B2*B3+B52*B4-B52+$F$38</f>
        <v>983639.232716733</v>
      </c>
    </row>
    <row r="55" customFormat="false" ht="15" hidden="false" customHeight="true" outlineLevel="0" collapsed="false">
      <c r="A55" s="1" t="s">
        <v>95</v>
      </c>
      <c r="B55" s="12" t="n">
        <f aca="false">B54*B45</f>
        <v>885275.30944506</v>
      </c>
    </row>
    <row r="56" customFormat="false" ht="15" hidden="false" customHeight="true" outlineLevel="0" collapsed="false">
      <c r="A56" s="1" t="s">
        <v>96</v>
      </c>
      <c r="B56" s="12" t="n">
        <f aca="false">B54-B55</f>
        <v>98363.9232716733</v>
      </c>
    </row>
    <row r="57" customFormat="false" ht="15" hidden="false" customHeight="true" outlineLevel="0" collapsed="false">
      <c r="A57" s="1" t="s">
        <v>97</v>
      </c>
      <c r="B57" s="22" t="n">
        <f aca="false">IFERROR('Annual CF'!D25/B2,0)</f>
        <v>0.07535176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2"/>
    <col collapsed="false" customWidth="true" hidden="false" outlineLevel="0" max="14" min="3" style="1" width="12"/>
  </cols>
  <sheetData>
    <row r="1" customFormat="false" ht="15" hidden="false" customHeight="true" outlineLevel="0" collapsed="false">
      <c r="A1" s="4" t="s">
        <v>98</v>
      </c>
    </row>
    <row r="2" customFormat="false" ht="15" hidden="false" customHeight="true" outlineLevel="0" collapsed="false">
      <c r="B2" s="4" t="s">
        <v>99</v>
      </c>
      <c r="C2" s="4" t="n">
        <v>0</v>
      </c>
      <c r="D2" s="4" t="n">
        <v>1</v>
      </c>
      <c r="E2" s="4" t="n">
        <v>2</v>
      </c>
      <c r="F2" s="4" t="n">
        <v>3</v>
      </c>
      <c r="G2" s="4" t="n">
        <v>4</v>
      </c>
      <c r="H2" s="4" t="n">
        <v>5</v>
      </c>
      <c r="I2" s="4" t="n">
        <v>6</v>
      </c>
      <c r="J2" s="4" t="n">
        <v>7</v>
      </c>
      <c r="K2" s="4" t="n">
        <v>8</v>
      </c>
      <c r="L2" s="4" t="n">
        <v>9</v>
      </c>
      <c r="M2" s="4" t="n">
        <v>10</v>
      </c>
      <c r="N2" s="4" t="n">
        <v>11</v>
      </c>
    </row>
    <row r="4" customFormat="false" ht="15" hidden="false" customHeight="true" outlineLevel="0" collapsed="false">
      <c r="B4" s="4" t="s">
        <v>100</v>
      </c>
    </row>
    <row r="5" customFormat="false" ht="15" hidden="false" customHeight="true" outlineLevel="0" collapsed="false">
      <c r="B5" s="3" t="s">
        <v>101</v>
      </c>
      <c r="D5" s="23" t="n">
        <f aca="false">(SUMPRODUCT(Inputs!$E$3:$E$10,Inputs!$H$3:$H$10)+MIN(Inputs!$F$31,MAX(0,(D$2-Inputs!$F$36+1)*Inputs!$F$34))*Inputs!$F$33)*12*(1+Inputs!$B$13)^(D$2-1)</f>
        <v>432300</v>
      </c>
      <c r="E5" s="23" t="n">
        <f aca="false">(SUMPRODUCT(Inputs!$E$3:$E$10,Inputs!$H$3:$H$10)+MIN(Inputs!$F$31,MAX(0,(E$2-Inputs!$F$36+1)*Inputs!$F$34))*Inputs!$F$33)*12*(1+Inputs!$B$13)^(E$2-1)</f>
        <v>440946</v>
      </c>
      <c r="F5" s="23" t="n">
        <f aca="false">(SUMPRODUCT(Inputs!$E$3:$E$10,Inputs!$H$3:$H$10)+MIN(Inputs!$F$31,MAX(0,(F$2-Inputs!$F$36+1)*Inputs!$F$34))*Inputs!$F$33)*12*(1+Inputs!$B$13)^(F$2-1)</f>
        <v>449764.92</v>
      </c>
      <c r="G5" s="23" t="n">
        <f aca="false">(SUMPRODUCT(Inputs!$E$3:$E$10,Inputs!$H$3:$H$10)+MIN(Inputs!$F$31,MAX(0,(G$2-Inputs!$F$36+1)*Inputs!$F$34))*Inputs!$F$33)*12*(1+Inputs!$B$13)^(G$2-1)</f>
        <v>458760.2184</v>
      </c>
      <c r="H5" s="23" t="n">
        <f aca="false">(SUMPRODUCT(Inputs!$E$3:$E$10,Inputs!$H$3:$H$10)+MIN(Inputs!$F$31,MAX(0,(H$2-Inputs!$F$36+1)*Inputs!$F$34))*Inputs!$F$33)*12*(1+Inputs!$B$13)^(H$2-1)</f>
        <v>467935.422768</v>
      </c>
      <c r="I5" s="23" t="n">
        <f aca="false">(SUMPRODUCT(Inputs!$E$3:$E$10,Inputs!$H$3:$H$10)+MIN(Inputs!$F$31,MAX(0,(I$2-Inputs!$F$36+1)*Inputs!$F$34))*Inputs!$F$33)*12*(1+Inputs!$B$13)^(I$2-1)</f>
        <v>477294.13122336</v>
      </c>
      <c r="J5" s="23" t="n">
        <f aca="false">(SUMPRODUCT(Inputs!$E$3:$E$10,Inputs!$H$3:$H$10)+MIN(Inputs!$F$31,MAX(0,(J$2-Inputs!$F$36+1)*Inputs!$F$34))*Inputs!$F$33)*12*(1+Inputs!$B$13)^(J$2-1)</f>
        <v>486840.013847827</v>
      </c>
      <c r="K5" s="23" t="n">
        <f aca="false">(SUMPRODUCT(Inputs!$E$3:$E$10,Inputs!$H$3:$H$10)+MIN(Inputs!$F$31,MAX(0,(K$2-Inputs!$F$36+1)*Inputs!$F$34))*Inputs!$F$33)*12*(1+Inputs!$B$13)^(K$2-1)</f>
        <v>496576.814124784</v>
      </c>
      <c r="L5" s="23" t="n">
        <f aca="false">(SUMPRODUCT(Inputs!$E$3:$E$10,Inputs!$H$3:$H$10)+MIN(Inputs!$F$31,MAX(0,(L$2-Inputs!$F$36+1)*Inputs!$F$34))*Inputs!$F$33)*12*(1+Inputs!$B$13)^(L$2-1)</f>
        <v>506508.35040728</v>
      </c>
      <c r="M5" s="23" t="n">
        <f aca="false">(SUMPRODUCT(Inputs!$E$3:$E$10,Inputs!$H$3:$H$10)+MIN(Inputs!$F$31,MAX(0,(M$2-Inputs!$F$36+1)*Inputs!$F$34))*Inputs!$F$33)*12*(1+Inputs!$B$13)^(M$2-1)</f>
        <v>516638.517415425</v>
      </c>
      <c r="N5" s="23" t="n">
        <f aca="false">(SUMPRODUCT(Inputs!$E$3:$E$10,Inputs!$H$3:$H$10)+MIN(Inputs!$F$31,MAX(0,(N$2-Inputs!$F$36+1)*Inputs!$F$34))*Inputs!$F$33)*12*(1+Inputs!$B$13)^(N$2-1)</f>
        <v>526971.287763734</v>
      </c>
    </row>
    <row r="6" customFormat="false" ht="15" hidden="false" customHeight="true" outlineLevel="0" collapsed="false">
      <c r="B6" s="3" t="s">
        <v>102</v>
      </c>
      <c r="D6" s="23" t="n">
        <f aca="false">-(D5*Inputs!$B$9+(MIN(Inputs!$F$31,MAX(0,(D$2-Inputs!$F$36+1)*Inputs!$F$34))-MIN(Inputs!$F$31,MAX(0,(D$2-Inputs!$F$36)*Inputs!$F$34)))*Inputs!$F$35*Inputs!$H$11*(1+Inputs!$B$13)^(D$2-1))</f>
        <v>-58360.5</v>
      </c>
      <c r="E6" s="23" t="n">
        <f aca="false">-(E5*Inputs!$B$9+(MIN(Inputs!$F$31,MAX(0,(E$2-Inputs!$F$36+1)*Inputs!$F$34))-MIN(Inputs!$F$31,MAX(0,(E$2-Inputs!$F$36)*Inputs!$F$34)))*Inputs!$F$35*Inputs!$H$11*(1+Inputs!$B$13)^(E$2-1))</f>
        <v>-59527.71</v>
      </c>
      <c r="F6" s="23" t="n">
        <f aca="false">-(F5*Inputs!$B$9+(MIN(Inputs!$F$31,MAX(0,(F$2-Inputs!$F$36+1)*Inputs!$F$34))-MIN(Inputs!$F$31,MAX(0,(F$2-Inputs!$F$36)*Inputs!$F$34)))*Inputs!$F$35*Inputs!$H$11*(1+Inputs!$B$13)^(F$2-1))</f>
        <v>-60718.2642</v>
      </c>
      <c r="G6" s="23" t="n">
        <f aca="false">-(G5*Inputs!$B$9+(MIN(Inputs!$F$31,MAX(0,(G$2-Inputs!$F$36+1)*Inputs!$F$34))-MIN(Inputs!$F$31,MAX(0,(G$2-Inputs!$F$36)*Inputs!$F$34)))*Inputs!$F$35*Inputs!$H$11*(1+Inputs!$B$13)^(G$2-1))</f>
        <v>-61932.629484</v>
      </c>
      <c r="H6" s="23" t="n">
        <f aca="false">-(H5*Inputs!$B$9+(MIN(Inputs!$F$31,MAX(0,(H$2-Inputs!$F$36+1)*Inputs!$F$34))-MIN(Inputs!$F$31,MAX(0,(H$2-Inputs!$F$36)*Inputs!$F$34)))*Inputs!$F$35*Inputs!$H$11*(1+Inputs!$B$13)^(H$2-1))</f>
        <v>-63171.28207368</v>
      </c>
      <c r="I6" s="23" t="n">
        <f aca="false">-(I5*Inputs!$B$9+(MIN(Inputs!$F$31,MAX(0,(I$2-Inputs!$F$36+1)*Inputs!$F$34))-MIN(Inputs!$F$31,MAX(0,(I$2-Inputs!$F$36)*Inputs!$F$34)))*Inputs!$F$35*Inputs!$H$11*(1+Inputs!$B$13)^(I$2-1))</f>
        <v>-64434.7077151536</v>
      </c>
      <c r="J6" s="23" t="n">
        <f aca="false">-(J5*Inputs!$B$9+(MIN(Inputs!$F$31,MAX(0,(J$2-Inputs!$F$36+1)*Inputs!$F$34))-MIN(Inputs!$F$31,MAX(0,(J$2-Inputs!$F$36)*Inputs!$F$34)))*Inputs!$F$35*Inputs!$H$11*(1+Inputs!$B$13)^(J$2-1))</f>
        <v>-65723.4018694567</v>
      </c>
      <c r="K6" s="23" t="n">
        <f aca="false">-(K5*Inputs!$B$9+(MIN(Inputs!$F$31,MAX(0,(K$2-Inputs!$F$36+1)*Inputs!$F$34))-MIN(Inputs!$F$31,MAX(0,(K$2-Inputs!$F$36)*Inputs!$F$34)))*Inputs!$F$35*Inputs!$H$11*(1+Inputs!$B$13)^(K$2-1))</f>
        <v>-67037.8699068458</v>
      </c>
      <c r="L6" s="23" t="n">
        <f aca="false">-(L5*Inputs!$B$9+(MIN(Inputs!$F$31,MAX(0,(L$2-Inputs!$F$36+1)*Inputs!$F$34))-MIN(Inputs!$F$31,MAX(0,(L$2-Inputs!$F$36)*Inputs!$F$34)))*Inputs!$F$35*Inputs!$H$11*(1+Inputs!$B$13)^(L$2-1))</f>
        <v>-68378.6273049827</v>
      </c>
      <c r="M6" s="23" t="n">
        <f aca="false">-(M5*Inputs!$B$9+(MIN(Inputs!$F$31,MAX(0,(M$2-Inputs!$F$36+1)*Inputs!$F$34))-MIN(Inputs!$F$31,MAX(0,(M$2-Inputs!$F$36)*Inputs!$F$34)))*Inputs!$F$35*Inputs!$H$11*(1+Inputs!$B$13)^(M$2-1))</f>
        <v>-69746.1998510824</v>
      </c>
      <c r="N6" s="23" t="n">
        <f aca="false">-(N5*Inputs!$B$9+(MIN(Inputs!$F$31,MAX(0,(N$2-Inputs!$F$36+1)*Inputs!$F$34))-MIN(Inputs!$F$31,MAX(0,(N$2-Inputs!$F$36)*Inputs!$F$34)))*Inputs!$F$35*Inputs!$H$11*(1+Inputs!$B$13)^(N$2-1))</f>
        <v>-71141.1238481041</v>
      </c>
    </row>
    <row r="7" customFormat="false" ht="15" hidden="false" customHeight="true" outlineLevel="0" collapsed="false">
      <c r="B7" s="3" t="s">
        <v>103</v>
      </c>
      <c r="D7" s="23" t="n">
        <f aca="false">-D5*Inputs!$B$10</f>
        <v>-2161.5</v>
      </c>
      <c r="E7" s="23" t="n">
        <f aca="false">-E5*Inputs!$B$10</f>
        <v>-2204.73</v>
      </c>
      <c r="F7" s="23" t="n">
        <f aca="false">-F5*Inputs!$B$10</f>
        <v>-2248.8246</v>
      </c>
      <c r="G7" s="23" t="n">
        <f aca="false">-G5*Inputs!$B$10</f>
        <v>-2293.801092</v>
      </c>
      <c r="H7" s="23" t="n">
        <f aca="false">-H5*Inputs!$B$10</f>
        <v>-2339.67711384</v>
      </c>
      <c r="I7" s="23" t="n">
        <f aca="false">-I5*Inputs!$B$10</f>
        <v>-2386.4706561168</v>
      </c>
      <c r="J7" s="23" t="n">
        <f aca="false">-J5*Inputs!$B$10</f>
        <v>-2434.20006923914</v>
      </c>
      <c r="K7" s="23" t="n">
        <f aca="false">-K5*Inputs!$B$10</f>
        <v>-2482.88407062392</v>
      </c>
      <c r="L7" s="23" t="n">
        <f aca="false">-L5*Inputs!$B$10</f>
        <v>-2532.5417520364</v>
      </c>
      <c r="M7" s="23" t="n">
        <f aca="false">-M5*Inputs!$B$10</f>
        <v>-2583.19258707713</v>
      </c>
      <c r="N7" s="23" t="n">
        <f aca="false">-N5*Inputs!$B$10</f>
        <v>-2634.85643881867</v>
      </c>
    </row>
    <row r="8" customFormat="false" ht="15" hidden="false" customHeight="true" outlineLevel="0" collapsed="false">
      <c r="B8" s="3" t="s">
        <v>104</v>
      </c>
      <c r="D8" s="23" t="n">
        <f aca="false">-D5*Inputs!$B$11</f>
        <v>-0</v>
      </c>
      <c r="E8" s="23" t="n">
        <f aca="false">-E5*Inputs!$B$11</f>
        <v>-0</v>
      </c>
      <c r="F8" s="23" t="n">
        <f aca="false">-F5*Inputs!$B$11</f>
        <v>-0</v>
      </c>
      <c r="G8" s="23" t="n">
        <f aca="false">-G5*Inputs!$B$11</f>
        <v>-0</v>
      </c>
      <c r="H8" s="23" t="n">
        <f aca="false">-H5*Inputs!$B$11</f>
        <v>-0</v>
      </c>
      <c r="I8" s="23" t="n">
        <f aca="false">-I5*Inputs!$B$11</f>
        <v>-0</v>
      </c>
      <c r="J8" s="23" t="n">
        <f aca="false">-J5*Inputs!$B$11</f>
        <v>-0</v>
      </c>
      <c r="K8" s="23" t="n">
        <f aca="false">-K5*Inputs!$B$11</f>
        <v>-0</v>
      </c>
      <c r="L8" s="23" t="n">
        <f aca="false">-L5*Inputs!$B$11</f>
        <v>-0</v>
      </c>
      <c r="M8" s="23" t="n">
        <f aca="false">-M5*Inputs!$B$11</f>
        <v>-0</v>
      </c>
      <c r="N8" s="23" t="n">
        <f aca="false">-N5*Inputs!$B$11</f>
        <v>-0</v>
      </c>
    </row>
    <row r="9" customFormat="false" ht="15" hidden="false" customHeight="true" outlineLevel="0" collapsed="false">
      <c r="B9" s="4" t="s">
        <v>105</v>
      </c>
      <c r="D9" s="19" t="n">
        <f aca="false">SUM(D5:D8)</f>
        <v>371778</v>
      </c>
      <c r="E9" s="19" t="n">
        <f aca="false">SUM(E5:E8)</f>
        <v>379213.56</v>
      </c>
      <c r="F9" s="19" t="n">
        <f aca="false">SUM(F5:F8)</f>
        <v>386797.8312</v>
      </c>
      <c r="G9" s="19" t="n">
        <f aca="false">SUM(G5:G8)</f>
        <v>394533.787824</v>
      </c>
      <c r="H9" s="19" t="n">
        <f aca="false">SUM(H5:H8)</f>
        <v>402424.46358048</v>
      </c>
      <c r="I9" s="19" t="n">
        <f aca="false">SUM(I5:I8)</f>
        <v>410472.95285209</v>
      </c>
      <c r="J9" s="19" t="n">
        <f aca="false">SUM(J5:J8)</f>
        <v>418682.411909131</v>
      </c>
      <c r="K9" s="19" t="n">
        <f aca="false">SUM(K5:K8)</f>
        <v>427056.060147314</v>
      </c>
      <c r="L9" s="19" t="n">
        <f aca="false">SUM(L5:L8)</f>
        <v>435597.18135026</v>
      </c>
      <c r="M9" s="19" t="n">
        <f aca="false">SUM(M5:M8)</f>
        <v>444309.124977266</v>
      </c>
      <c r="N9" s="19" t="n">
        <f aca="false">SUM(N5:N8)</f>
        <v>453195.307476811</v>
      </c>
    </row>
    <row r="10" customFormat="false" ht="15" hidden="false" customHeight="true" outlineLevel="0" collapsed="false">
      <c r="B10" s="3" t="s">
        <v>106</v>
      </c>
      <c r="D10" s="23" t="n">
        <f aca="false">Inputs!$B$5*Inputs!$B$12*12*(1-Inputs!$B$9)*(1+Inputs!$B$14)^(D$2-1)</f>
        <v>12456</v>
      </c>
      <c r="E10" s="23" t="n">
        <f aca="false">Inputs!$B$5*Inputs!$B$12*12*(1-Inputs!$B$9)*(1+Inputs!$B$14)^(E$2-1)</f>
        <v>12705.12</v>
      </c>
      <c r="F10" s="23" t="n">
        <f aca="false">Inputs!$B$5*Inputs!$B$12*12*(1-Inputs!$B$9)*(1+Inputs!$B$14)^(F$2-1)</f>
        <v>12959.2224</v>
      </c>
      <c r="G10" s="23" t="n">
        <f aca="false">Inputs!$B$5*Inputs!$B$12*12*(1-Inputs!$B$9)*(1+Inputs!$B$14)^(G$2-1)</f>
        <v>13218.406848</v>
      </c>
      <c r="H10" s="23" t="n">
        <f aca="false">Inputs!$B$5*Inputs!$B$12*12*(1-Inputs!$B$9)*(1+Inputs!$B$14)^(H$2-1)</f>
        <v>13482.77498496</v>
      </c>
      <c r="I10" s="23" t="n">
        <f aca="false">Inputs!$B$5*Inputs!$B$12*12*(1-Inputs!$B$9)*(1+Inputs!$B$14)^(I$2-1)</f>
        <v>13752.4304846592</v>
      </c>
      <c r="J10" s="23" t="n">
        <f aca="false">Inputs!$B$5*Inputs!$B$12*12*(1-Inputs!$B$9)*(1+Inputs!$B$14)^(J$2-1)</f>
        <v>14027.4790943524</v>
      </c>
      <c r="K10" s="23" t="n">
        <f aca="false">Inputs!$B$5*Inputs!$B$12*12*(1-Inputs!$B$9)*(1+Inputs!$B$14)^(K$2-1)</f>
        <v>14308.0286762394</v>
      </c>
      <c r="L10" s="23" t="n">
        <f aca="false">Inputs!$B$5*Inputs!$B$12*12*(1-Inputs!$B$9)*(1+Inputs!$B$14)^(L$2-1)</f>
        <v>14594.1892497642</v>
      </c>
      <c r="M10" s="23" t="n">
        <f aca="false">Inputs!$B$5*Inputs!$B$12*12*(1-Inputs!$B$9)*(1+Inputs!$B$14)^(M$2-1)</f>
        <v>14886.0730347595</v>
      </c>
      <c r="N10" s="23" t="n">
        <f aca="false">Inputs!$B$5*Inputs!$B$12*12*(1-Inputs!$B$9)*(1+Inputs!$B$14)^(N$2-1)</f>
        <v>15183.7944954547</v>
      </c>
    </row>
    <row r="11" customFormat="false" ht="15" hidden="false" customHeight="true" outlineLevel="0" collapsed="false">
      <c r="B11" s="4" t="s">
        <v>107</v>
      </c>
      <c r="D11" s="19" t="n">
        <f aca="false">D9+D10</f>
        <v>384234</v>
      </c>
      <c r="E11" s="19" t="n">
        <f aca="false">E9+E10</f>
        <v>391918.68</v>
      </c>
      <c r="F11" s="19" t="n">
        <f aca="false">F9+F10</f>
        <v>399757.0536</v>
      </c>
      <c r="G11" s="19" t="n">
        <f aca="false">G9+G10</f>
        <v>407752.194672</v>
      </c>
      <c r="H11" s="19" t="n">
        <f aca="false">H9+H10</f>
        <v>415907.23856544</v>
      </c>
      <c r="I11" s="19" t="n">
        <f aca="false">I9+I10</f>
        <v>424225.383336749</v>
      </c>
      <c r="J11" s="19" t="n">
        <f aca="false">J9+J10</f>
        <v>432709.891003484</v>
      </c>
      <c r="K11" s="19" t="n">
        <f aca="false">K9+K10</f>
        <v>441364.088823553</v>
      </c>
      <c r="L11" s="19" t="n">
        <f aca="false">L9+L10</f>
        <v>450191.370600025</v>
      </c>
      <c r="M11" s="19" t="n">
        <f aca="false">M9+M10</f>
        <v>459195.198012025</v>
      </c>
      <c r="N11" s="19" t="n">
        <f aca="false">N9+N10</f>
        <v>468379.101972266</v>
      </c>
    </row>
    <row r="13" customFormat="false" ht="15" hidden="false" customHeight="true" outlineLevel="0" collapsed="false">
      <c r="B13" s="4" t="s">
        <v>108</v>
      </c>
    </row>
    <row r="14" customFormat="false" ht="15" hidden="false" customHeight="true" outlineLevel="0" collapsed="false">
      <c r="B14" s="3" t="s">
        <v>109</v>
      </c>
      <c r="D14" s="23" t="n">
        <f aca="false">-Inputs!$B$17*Inputs!$B$5*(1+Inputs!$B$29)^(D$2-1)</f>
        <v>-0</v>
      </c>
      <c r="E14" s="23" t="n">
        <f aca="false">-Inputs!$B$17*Inputs!$B$5*(1+Inputs!$B$29)^(E$2-1)</f>
        <v>-0</v>
      </c>
      <c r="F14" s="23" t="n">
        <f aca="false">-Inputs!$B$17*Inputs!$B$5*(1+Inputs!$B$29)^(F$2-1)</f>
        <v>-0</v>
      </c>
      <c r="G14" s="23" t="n">
        <f aca="false">-Inputs!$B$17*Inputs!$B$5*(1+Inputs!$B$29)^(G$2-1)</f>
        <v>-0</v>
      </c>
      <c r="H14" s="23" t="n">
        <f aca="false">-Inputs!$B$17*Inputs!$B$5*(1+Inputs!$B$29)^(H$2-1)</f>
        <v>-0</v>
      </c>
      <c r="I14" s="23" t="n">
        <f aca="false">-Inputs!$B$17*Inputs!$B$5*(1+Inputs!$B$29)^(I$2-1)</f>
        <v>-0</v>
      </c>
      <c r="J14" s="23" t="n">
        <f aca="false">-Inputs!$B$17*Inputs!$B$5*(1+Inputs!$B$29)^(J$2-1)</f>
        <v>-0</v>
      </c>
      <c r="K14" s="23" t="n">
        <f aca="false">-Inputs!$B$17*Inputs!$B$5*(1+Inputs!$B$29)^(K$2-1)</f>
        <v>-0</v>
      </c>
      <c r="L14" s="23" t="n">
        <f aca="false">-Inputs!$B$17*Inputs!$B$5*(1+Inputs!$B$29)^(L$2-1)</f>
        <v>-0</v>
      </c>
      <c r="M14" s="23" t="n">
        <f aca="false">-Inputs!$B$17*Inputs!$B$5*(1+Inputs!$B$29)^(M$2-1)</f>
        <v>-0</v>
      </c>
      <c r="N14" s="23" t="n">
        <f aca="false">-Inputs!$B$17*Inputs!$B$5*(1+Inputs!$B$29)^(N$2-1)</f>
        <v>-0</v>
      </c>
    </row>
    <row r="15" customFormat="false" ht="15" hidden="false" customHeight="true" outlineLevel="0" collapsed="false">
      <c r="B15" s="3" t="s">
        <v>44</v>
      </c>
      <c r="D15" s="23" t="n">
        <f aca="false">-Inputs!$B$18*Inputs!$B$5*(1+Inputs!$B$29)^(D$2-1)</f>
        <v>-6000</v>
      </c>
      <c r="E15" s="23" t="n">
        <f aca="false">-Inputs!$B$18*Inputs!$B$5*(1+Inputs!$B$29)^(E$2-1)</f>
        <v>-6150</v>
      </c>
      <c r="F15" s="23" t="n">
        <f aca="false">-Inputs!$B$18*Inputs!$B$5*(1+Inputs!$B$29)^(F$2-1)</f>
        <v>-6303.75</v>
      </c>
      <c r="G15" s="23" t="n">
        <f aca="false">-Inputs!$B$18*Inputs!$B$5*(1+Inputs!$B$29)^(G$2-1)</f>
        <v>-6461.34375</v>
      </c>
      <c r="H15" s="23" t="n">
        <f aca="false">-Inputs!$B$18*Inputs!$B$5*(1+Inputs!$B$29)^(H$2-1)</f>
        <v>-6622.87734375</v>
      </c>
      <c r="I15" s="23" t="n">
        <f aca="false">-Inputs!$B$18*Inputs!$B$5*(1+Inputs!$B$29)^(I$2-1)</f>
        <v>-6788.44927734375</v>
      </c>
      <c r="J15" s="23" t="n">
        <f aca="false">-Inputs!$B$18*Inputs!$B$5*(1+Inputs!$B$29)^(J$2-1)</f>
        <v>-6958.16050927734</v>
      </c>
      <c r="K15" s="23" t="n">
        <f aca="false">-Inputs!$B$18*Inputs!$B$5*(1+Inputs!$B$29)^(K$2-1)</f>
        <v>-7132.11452200927</v>
      </c>
      <c r="L15" s="23" t="n">
        <f aca="false">-Inputs!$B$18*Inputs!$B$5*(1+Inputs!$B$29)^(L$2-1)</f>
        <v>-7310.4173850595</v>
      </c>
      <c r="M15" s="23" t="n">
        <f aca="false">-Inputs!$B$18*Inputs!$B$5*(1+Inputs!$B$29)^(M$2-1)</f>
        <v>-7493.17781968599</v>
      </c>
      <c r="N15" s="23" t="n">
        <f aca="false">-Inputs!$B$18*Inputs!$B$5*(1+Inputs!$B$29)^(N$2-1)</f>
        <v>-7680.50726517814</v>
      </c>
    </row>
    <row r="16" customFormat="false" ht="15" hidden="false" customHeight="true" outlineLevel="0" collapsed="false">
      <c r="B16" s="3" t="s">
        <v>46</v>
      </c>
      <c r="D16" s="23" t="n">
        <f aca="false">-Inputs!$B$19*Inputs!$B$5*(1+Inputs!$B$29)^(D$2-1)</f>
        <v>-12000</v>
      </c>
      <c r="E16" s="23" t="n">
        <f aca="false">-Inputs!$B$19*Inputs!$B$5*(1+Inputs!$B$29)^(E$2-1)</f>
        <v>-12300</v>
      </c>
      <c r="F16" s="23" t="n">
        <f aca="false">-Inputs!$B$19*Inputs!$B$5*(1+Inputs!$B$29)^(F$2-1)</f>
        <v>-12607.5</v>
      </c>
      <c r="G16" s="23" t="n">
        <f aca="false">-Inputs!$B$19*Inputs!$B$5*(1+Inputs!$B$29)^(G$2-1)</f>
        <v>-12922.6875</v>
      </c>
      <c r="H16" s="23" t="n">
        <f aca="false">-Inputs!$B$19*Inputs!$B$5*(1+Inputs!$B$29)^(H$2-1)</f>
        <v>-13245.7546875</v>
      </c>
      <c r="I16" s="23" t="n">
        <f aca="false">-Inputs!$B$19*Inputs!$B$5*(1+Inputs!$B$29)^(I$2-1)</f>
        <v>-13576.8985546875</v>
      </c>
      <c r="J16" s="23" t="n">
        <f aca="false">-Inputs!$B$19*Inputs!$B$5*(1+Inputs!$B$29)^(J$2-1)</f>
        <v>-13916.3210185547</v>
      </c>
      <c r="K16" s="23" t="n">
        <f aca="false">-Inputs!$B$19*Inputs!$B$5*(1+Inputs!$B$29)^(K$2-1)</f>
        <v>-14264.2290440185</v>
      </c>
      <c r="L16" s="23" t="n">
        <f aca="false">-Inputs!$B$19*Inputs!$B$5*(1+Inputs!$B$29)^(L$2-1)</f>
        <v>-14620.834770119</v>
      </c>
      <c r="M16" s="23" t="n">
        <f aca="false">-Inputs!$B$19*Inputs!$B$5*(1+Inputs!$B$29)^(M$2-1)</f>
        <v>-14986.355639372</v>
      </c>
      <c r="N16" s="23" t="n">
        <f aca="false">-Inputs!$B$19*Inputs!$B$5*(1+Inputs!$B$29)^(N$2-1)</f>
        <v>-15361.0145303563</v>
      </c>
    </row>
    <row r="17" customFormat="false" ht="15" hidden="false" customHeight="true" outlineLevel="0" collapsed="false">
      <c r="B17" s="3" t="s">
        <v>48</v>
      </c>
      <c r="D17" s="23" t="n">
        <f aca="false">-Inputs!$B$20*Inputs!$B$5*(1+Inputs!$B$29)^(D$2-1)</f>
        <v>-21000</v>
      </c>
      <c r="E17" s="23" t="n">
        <f aca="false">-Inputs!$B$20*Inputs!$B$5*(1+Inputs!$B$29)^(E$2-1)</f>
        <v>-21525</v>
      </c>
      <c r="F17" s="23" t="n">
        <f aca="false">-Inputs!$B$20*Inputs!$B$5*(1+Inputs!$B$29)^(F$2-1)</f>
        <v>-22063.125</v>
      </c>
      <c r="G17" s="23" t="n">
        <f aca="false">-Inputs!$B$20*Inputs!$B$5*(1+Inputs!$B$29)^(G$2-1)</f>
        <v>-22614.703125</v>
      </c>
      <c r="H17" s="23" t="n">
        <f aca="false">-Inputs!$B$20*Inputs!$B$5*(1+Inputs!$B$29)^(H$2-1)</f>
        <v>-23180.070703125</v>
      </c>
      <c r="I17" s="23" t="n">
        <f aca="false">-Inputs!$B$20*Inputs!$B$5*(1+Inputs!$B$29)^(I$2-1)</f>
        <v>-23759.5724707031</v>
      </c>
      <c r="J17" s="23" t="n">
        <f aca="false">-Inputs!$B$20*Inputs!$B$5*(1+Inputs!$B$29)^(J$2-1)</f>
        <v>-24353.5617824707</v>
      </c>
      <c r="K17" s="23" t="n">
        <f aca="false">-Inputs!$B$20*Inputs!$B$5*(1+Inputs!$B$29)^(K$2-1)</f>
        <v>-24962.4008270325</v>
      </c>
      <c r="L17" s="23" t="n">
        <f aca="false">-Inputs!$B$20*Inputs!$B$5*(1+Inputs!$B$29)^(L$2-1)</f>
        <v>-25586.4608477083</v>
      </c>
      <c r="M17" s="23" t="n">
        <f aca="false">-Inputs!$B$20*Inputs!$B$5*(1+Inputs!$B$29)^(M$2-1)</f>
        <v>-26226.122368901</v>
      </c>
      <c r="N17" s="23" t="n">
        <f aca="false">-Inputs!$B$20*Inputs!$B$5*(1+Inputs!$B$29)^(N$2-1)</f>
        <v>-26881.7754281235</v>
      </c>
    </row>
    <row r="18" customFormat="false" ht="15" hidden="false" customHeight="true" outlineLevel="0" collapsed="false">
      <c r="B18" s="3" t="s">
        <v>50</v>
      </c>
      <c r="D18" s="23" t="n">
        <f aca="false">-Inputs!$B$21*Inputs!$B$5*(1+Inputs!$B$29)^(D$2-1)</f>
        <v>-6990</v>
      </c>
      <c r="E18" s="23" t="n">
        <f aca="false">-Inputs!$B$21*Inputs!$B$5*(1+Inputs!$B$29)^(E$2-1)</f>
        <v>-7164.75</v>
      </c>
      <c r="F18" s="23" t="n">
        <f aca="false">-Inputs!$B$21*Inputs!$B$5*(1+Inputs!$B$29)^(F$2-1)</f>
        <v>-7343.86875</v>
      </c>
      <c r="G18" s="23" t="n">
        <f aca="false">-Inputs!$B$21*Inputs!$B$5*(1+Inputs!$B$29)^(G$2-1)</f>
        <v>-7527.46546875</v>
      </c>
      <c r="H18" s="23" t="n">
        <f aca="false">-Inputs!$B$21*Inputs!$B$5*(1+Inputs!$B$29)^(H$2-1)</f>
        <v>-7715.65210546875</v>
      </c>
      <c r="I18" s="23" t="n">
        <f aca="false">-Inputs!$B$21*Inputs!$B$5*(1+Inputs!$B$29)^(I$2-1)</f>
        <v>-7908.54340810547</v>
      </c>
      <c r="J18" s="23" t="n">
        <f aca="false">-Inputs!$B$21*Inputs!$B$5*(1+Inputs!$B$29)^(J$2-1)</f>
        <v>-8106.2569933081</v>
      </c>
      <c r="K18" s="23" t="n">
        <f aca="false">-Inputs!$B$21*Inputs!$B$5*(1+Inputs!$B$29)^(K$2-1)</f>
        <v>-8308.9134181408</v>
      </c>
      <c r="L18" s="23" t="n">
        <f aca="false">-Inputs!$B$21*Inputs!$B$5*(1+Inputs!$B$29)^(L$2-1)</f>
        <v>-8516.63625359432</v>
      </c>
      <c r="M18" s="23" t="n">
        <f aca="false">-Inputs!$B$21*Inputs!$B$5*(1+Inputs!$B$29)^(M$2-1)</f>
        <v>-8729.55215993418</v>
      </c>
      <c r="N18" s="23" t="n">
        <f aca="false">-Inputs!$B$21*Inputs!$B$5*(1+Inputs!$B$29)^(N$2-1)</f>
        <v>-8947.79096393253</v>
      </c>
    </row>
    <row r="19" customFormat="false" ht="15" hidden="false" customHeight="true" outlineLevel="0" collapsed="false">
      <c r="B19" s="3" t="s">
        <v>51</v>
      </c>
      <c r="D19" s="23" t="n">
        <f aca="false">-Inputs!$B$22*Inputs!$B$5*(1+Inputs!$B$29)^(D$2-1)</f>
        <v>-5130</v>
      </c>
      <c r="E19" s="23" t="n">
        <f aca="false">-Inputs!$B$22*Inputs!$B$5*(1+Inputs!$B$29)^(E$2-1)</f>
        <v>-5258.25</v>
      </c>
      <c r="F19" s="23" t="n">
        <f aca="false">-Inputs!$B$22*Inputs!$B$5*(1+Inputs!$B$29)^(F$2-1)</f>
        <v>-5389.70625</v>
      </c>
      <c r="G19" s="23" t="n">
        <f aca="false">-Inputs!$B$22*Inputs!$B$5*(1+Inputs!$B$29)^(G$2-1)</f>
        <v>-5524.44890625</v>
      </c>
      <c r="H19" s="23" t="n">
        <f aca="false">-Inputs!$B$22*Inputs!$B$5*(1+Inputs!$B$29)^(H$2-1)</f>
        <v>-5662.56012890625</v>
      </c>
      <c r="I19" s="23" t="n">
        <f aca="false">-Inputs!$B$22*Inputs!$B$5*(1+Inputs!$B$29)^(I$2-1)</f>
        <v>-5804.1241321289</v>
      </c>
      <c r="J19" s="23" t="n">
        <f aca="false">-Inputs!$B$22*Inputs!$B$5*(1+Inputs!$B$29)^(J$2-1)</f>
        <v>-5949.22723543213</v>
      </c>
      <c r="K19" s="23" t="n">
        <f aca="false">-Inputs!$B$22*Inputs!$B$5*(1+Inputs!$B$29)^(K$2-1)</f>
        <v>-6097.95791631793</v>
      </c>
      <c r="L19" s="23" t="n">
        <f aca="false">-Inputs!$B$22*Inputs!$B$5*(1+Inputs!$B$29)^(L$2-1)</f>
        <v>-6250.40686422588</v>
      </c>
      <c r="M19" s="23" t="n">
        <f aca="false">-Inputs!$B$22*Inputs!$B$5*(1+Inputs!$B$29)^(M$2-1)</f>
        <v>-6406.66703583152</v>
      </c>
      <c r="N19" s="23" t="n">
        <f aca="false">-Inputs!$B$22*Inputs!$B$5*(1+Inputs!$B$29)^(N$2-1)</f>
        <v>-6566.83371172731</v>
      </c>
    </row>
    <row r="20" customFormat="false" ht="15" hidden="false" customHeight="true" outlineLevel="0" collapsed="false">
      <c r="B20" s="3" t="s">
        <v>53</v>
      </c>
      <c r="D20" s="23" t="n">
        <f aca="false">-Inputs!$B$23*Inputs!$B$5*(1+Inputs!$B$29)^(D$2-1)</f>
        <v>-3150</v>
      </c>
      <c r="E20" s="23" t="n">
        <f aca="false">-Inputs!$B$23*Inputs!$B$5*(1+Inputs!$B$29)^(E$2-1)</f>
        <v>-3228.75</v>
      </c>
      <c r="F20" s="23" t="n">
        <f aca="false">-Inputs!$B$23*Inputs!$B$5*(1+Inputs!$B$29)^(F$2-1)</f>
        <v>-3309.46875</v>
      </c>
      <c r="G20" s="23" t="n">
        <f aca="false">-Inputs!$B$23*Inputs!$B$5*(1+Inputs!$B$29)^(G$2-1)</f>
        <v>-3392.20546875</v>
      </c>
      <c r="H20" s="23" t="n">
        <f aca="false">-Inputs!$B$23*Inputs!$B$5*(1+Inputs!$B$29)^(H$2-1)</f>
        <v>-3477.01060546875</v>
      </c>
      <c r="I20" s="23" t="n">
        <f aca="false">-Inputs!$B$23*Inputs!$B$5*(1+Inputs!$B$29)^(I$2-1)</f>
        <v>-3563.93587060547</v>
      </c>
      <c r="J20" s="23" t="n">
        <f aca="false">-Inputs!$B$23*Inputs!$B$5*(1+Inputs!$B$29)^(J$2-1)</f>
        <v>-3653.0342673706</v>
      </c>
      <c r="K20" s="23" t="n">
        <f aca="false">-Inputs!$B$23*Inputs!$B$5*(1+Inputs!$B$29)^(K$2-1)</f>
        <v>-3744.36012405487</v>
      </c>
      <c r="L20" s="23" t="n">
        <f aca="false">-Inputs!$B$23*Inputs!$B$5*(1+Inputs!$B$29)^(L$2-1)</f>
        <v>-3837.96912715624</v>
      </c>
      <c r="M20" s="23" t="n">
        <f aca="false">-Inputs!$B$23*Inputs!$B$5*(1+Inputs!$B$29)^(M$2-1)</f>
        <v>-3933.91835533515</v>
      </c>
      <c r="N20" s="23" t="n">
        <f aca="false">-Inputs!$B$23*Inputs!$B$5*(1+Inputs!$B$29)^(N$2-1)</f>
        <v>-4032.26631421852</v>
      </c>
    </row>
    <row r="21" customFormat="false" ht="15" hidden="false" customHeight="true" outlineLevel="0" collapsed="false">
      <c r="B21" s="3" t="s">
        <v>55</v>
      </c>
      <c r="D21" s="23" t="n">
        <f aca="false">-Inputs!$B$24*Inputs!$B$5*(1+Inputs!$B$29)^(D$2-1)</f>
        <v>-38670</v>
      </c>
      <c r="E21" s="23" t="n">
        <f aca="false">-Inputs!$B$24*Inputs!$B$5*(1+Inputs!$B$29)^(E$2-1)</f>
        <v>-39636.75</v>
      </c>
      <c r="F21" s="23" t="n">
        <f aca="false">-Inputs!$B$24*Inputs!$B$5*(1+Inputs!$B$29)^(F$2-1)</f>
        <v>-40627.66875</v>
      </c>
      <c r="G21" s="23" t="n">
        <f aca="false">-Inputs!$B$24*Inputs!$B$5*(1+Inputs!$B$29)^(G$2-1)</f>
        <v>-41643.36046875</v>
      </c>
      <c r="H21" s="23" t="n">
        <f aca="false">-Inputs!$B$24*Inputs!$B$5*(1+Inputs!$B$29)^(H$2-1)</f>
        <v>-42684.4444804687</v>
      </c>
      <c r="I21" s="23" t="n">
        <f aca="false">-Inputs!$B$24*Inputs!$B$5*(1+Inputs!$B$29)^(I$2-1)</f>
        <v>-43751.5555924805</v>
      </c>
      <c r="J21" s="23" t="n">
        <f aca="false">-Inputs!$B$24*Inputs!$B$5*(1+Inputs!$B$29)^(J$2-1)</f>
        <v>-44845.3444822925</v>
      </c>
      <c r="K21" s="23" t="n">
        <f aca="false">-Inputs!$B$24*Inputs!$B$5*(1+Inputs!$B$29)^(K$2-1)</f>
        <v>-45966.4780943498</v>
      </c>
      <c r="L21" s="23" t="n">
        <f aca="false">-Inputs!$B$24*Inputs!$B$5*(1+Inputs!$B$29)^(L$2-1)</f>
        <v>-47115.6400467085</v>
      </c>
      <c r="M21" s="23" t="n">
        <f aca="false">-Inputs!$B$24*Inputs!$B$5*(1+Inputs!$B$29)^(M$2-1)</f>
        <v>-48293.5310478762</v>
      </c>
      <c r="N21" s="23" t="n">
        <f aca="false">-Inputs!$B$24*Inputs!$B$5*(1+Inputs!$B$29)^(N$2-1)</f>
        <v>-49500.8693240731</v>
      </c>
    </row>
    <row r="22" customFormat="false" ht="15" hidden="false" customHeight="true" outlineLevel="0" collapsed="false">
      <c r="B22" s="3" t="s">
        <v>110</v>
      </c>
      <c r="D22" s="23" t="n">
        <f aca="false">-Inputs!$B$25*(1+Inputs!$B$29)^(D$2-1)</f>
        <v>-34500</v>
      </c>
      <c r="E22" s="23" t="n">
        <f aca="false">-Inputs!$B$25*(1+Inputs!$B$29)^(E$2-1)</f>
        <v>-35362.5</v>
      </c>
      <c r="F22" s="23" t="n">
        <f aca="false">-Inputs!$B$25*(1+Inputs!$B$29)^(F$2-1)</f>
        <v>-36246.5625</v>
      </c>
      <c r="G22" s="23" t="n">
        <f aca="false">-Inputs!$B$25*(1+Inputs!$B$29)^(G$2-1)</f>
        <v>-37152.7265625</v>
      </c>
      <c r="H22" s="23" t="n">
        <f aca="false">-Inputs!$B$25*(1+Inputs!$B$29)^(H$2-1)</f>
        <v>-38081.5447265625</v>
      </c>
      <c r="I22" s="23" t="n">
        <f aca="false">-Inputs!$B$25*(1+Inputs!$B$29)^(I$2-1)</f>
        <v>-39033.5833447265</v>
      </c>
      <c r="J22" s="23" t="n">
        <f aca="false">-Inputs!$B$25*(1+Inputs!$B$29)^(J$2-1)</f>
        <v>-40009.4229283447</v>
      </c>
      <c r="K22" s="23" t="n">
        <f aca="false">-Inputs!$B$25*(1+Inputs!$B$29)^(K$2-1)</f>
        <v>-41009.6585015533</v>
      </c>
      <c r="L22" s="23" t="n">
        <f aca="false">-Inputs!$B$25*(1+Inputs!$B$29)^(L$2-1)</f>
        <v>-42034.8999640922</v>
      </c>
      <c r="M22" s="23" t="n">
        <f aca="false">-Inputs!$B$25*(1+Inputs!$B$29)^(M$2-1)</f>
        <v>-43085.7724631945</v>
      </c>
      <c r="N22" s="23" t="n">
        <f aca="false">-Inputs!$B$25*(1+Inputs!$B$29)^(N$2-1)</f>
        <v>-44162.9167747743</v>
      </c>
    </row>
    <row r="23" customFormat="false" ht="15" hidden="false" customHeight="true" outlineLevel="0" collapsed="false">
      <c r="B23" s="3" t="s">
        <v>111</v>
      </c>
      <c r="D23" s="23" t="n">
        <f aca="false">-D11*Inputs!$B$26</f>
        <v>-30738.72</v>
      </c>
      <c r="E23" s="23" t="n">
        <f aca="false">-E11*Inputs!$B$26</f>
        <v>-31353.4944</v>
      </c>
      <c r="F23" s="23" t="n">
        <f aca="false">-F11*Inputs!$B$26</f>
        <v>-31980.564288</v>
      </c>
      <c r="G23" s="23" t="n">
        <f aca="false">-G11*Inputs!$B$26</f>
        <v>-32620.17557376</v>
      </c>
      <c r="H23" s="23" t="n">
        <f aca="false">-H11*Inputs!$B$26</f>
        <v>-33272.5790852352</v>
      </c>
      <c r="I23" s="23" t="n">
        <f aca="false">-I11*Inputs!$B$26</f>
        <v>-33938.0306669399</v>
      </c>
      <c r="J23" s="23" t="n">
        <f aca="false">-J11*Inputs!$B$26</f>
        <v>-34616.7912802787</v>
      </c>
      <c r="K23" s="23" t="n">
        <f aca="false">-K11*Inputs!$B$26</f>
        <v>-35309.1271058843</v>
      </c>
      <c r="L23" s="23" t="n">
        <f aca="false">-L11*Inputs!$B$26</f>
        <v>-36015.309648002</v>
      </c>
      <c r="M23" s="23" t="n">
        <f aca="false">-M11*Inputs!$B$26</f>
        <v>-36735.615840962</v>
      </c>
      <c r="N23" s="23" t="n">
        <f aca="false">-N11*Inputs!$B$26</f>
        <v>-37470.3281577813</v>
      </c>
    </row>
    <row r="24" customFormat="false" ht="15" hidden="false" customHeight="true" outlineLevel="0" collapsed="false">
      <c r="B24" s="4" t="s">
        <v>112</v>
      </c>
      <c r="D24" s="19" t="n">
        <f aca="false">SUM(D14:D23)</f>
        <v>-158178.72</v>
      </c>
      <c r="E24" s="19" t="n">
        <f aca="false">SUM(E14:E23)</f>
        <v>-161979.4944</v>
      </c>
      <c r="F24" s="19" t="n">
        <f aca="false">SUM(F14:F23)</f>
        <v>-165872.214288</v>
      </c>
      <c r="G24" s="19" t="n">
        <f aca="false">SUM(G14:G23)</f>
        <v>-169859.11682376</v>
      </c>
      <c r="H24" s="19" t="n">
        <f aca="false">SUM(H14:H23)</f>
        <v>-173942.493866485</v>
      </c>
      <c r="I24" s="19" t="n">
        <f aca="false">SUM(I14:I23)</f>
        <v>-178124.693317721</v>
      </c>
      <c r="J24" s="19" t="n">
        <f aca="false">SUM(J14:J23)</f>
        <v>-182408.120497329</v>
      </c>
      <c r="K24" s="19" t="n">
        <f aca="false">SUM(K14:K23)</f>
        <v>-186795.239553361</v>
      </c>
      <c r="L24" s="19" t="n">
        <f aca="false">SUM(L14:L23)</f>
        <v>-191288.574906666</v>
      </c>
      <c r="M24" s="19" t="n">
        <f aca="false">SUM(M14:M23)</f>
        <v>-195890.712731092</v>
      </c>
      <c r="N24" s="19" t="n">
        <f aca="false">SUM(N14:N23)</f>
        <v>-200604.302470165</v>
      </c>
    </row>
    <row r="25" customFormat="false" ht="15" hidden="false" customHeight="true" outlineLevel="0" collapsed="false">
      <c r="B25" s="4" t="s">
        <v>113</v>
      </c>
      <c r="D25" s="19" t="n">
        <f aca="false">D11+D24</f>
        <v>226055.28</v>
      </c>
      <c r="E25" s="19" t="n">
        <f aca="false">E11+E24</f>
        <v>229939.1856</v>
      </c>
      <c r="F25" s="19" t="n">
        <f aca="false">F11+F24</f>
        <v>233884.839312</v>
      </c>
      <c r="G25" s="19" t="n">
        <f aca="false">G11+G24</f>
        <v>237893.07784824</v>
      </c>
      <c r="H25" s="19" t="n">
        <f aca="false">H11+H24</f>
        <v>241964.744698955</v>
      </c>
      <c r="I25" s="19" t="n">
        <f aca="false">I11+I24</f>
        <v>246100.690019028</v>
      </c>
      <c r="J25" s="19" t="n">
        <f aca="false">J11+J24</f>
        <v>250301.770506154</v>
      </c>
      <c r="K25" s="19" t="n">
        <f aca="false">K11+K24</f>
        <v>254568.849270192</v>
      </c>
      <c r="L25" s="19" t="n">
        <f aca="false">L11+L24</f>
        <v>258902.795693359</v>
      </c>
      <c r="M25" s="19" t="n">
        <f aca="false">M11+M24</f>
        <v>263304.485280933</v>
      </c>
      <c r="N25" s="19" t="n">
        <f aca="false">N11+N24</f>
        <v>267774.799502101</v>
      </c>
    </row>
    <row r="26" customFormat="false" ht="15" hidden="false" customHeight="true" outlineLevel="0" collapsed="false">
      <c r="B26" s="3" t="s">
        <v>114</v>
      </c>
      <c r="D26" s="23" t="n">
        <f aca="false">-Inputs!$B$5*Inputs!$B$28*(1+Inputs!$B$29)^(D$2-1)</f>
        <v>-12000</v>
      </c>
      <c r="E26" s="23" t="n">
        <f aca="false">-Inputs!$B$5*Inputs!$B$28*(1+Inputs!$B$29)^(E$2-1)</f>
        <v>-12300</v>
      </c>
      <c r="F26" s="23" t="n">
        <f aca="false">-Inputs!$B$5*Inputs!$B$28*(1+Inputs!$B$29)^(F$2-1)</f>
        <v>-12607.5</v>
      </c>
      <c r="G26" s="23" t="n">
        <f aca="false">-Inputs!$B$5*Inputs!$B$28*(1+Inputs!$B$29)^(G$2-1)</f>
        <v>-12922.6875</v>
      </c>
      <c r="H26" s="23" t="n">
        <f aca="false">-Inputs!$B$5*Inputs!$B$28*(1+Inputs!$B$29)^(H$2-1)</f>
        <v>-13245.7546875</v>
      </c>
      <c r="I26" s="23" t="n">
        <f aca="false">-Inputs!$B$5*Inputs!$B$28*(1+Inputs!$B$29)^(I$2-1)</f>
        <v>-13576.8985546875</v>
      </c>
      <c r="J26" s="23" t="n">
        <f aca="false">-Inputs!$B$5*Inputs!$B$28*(1+Inputs!$B$29)^(J$2-1)</f>
        <v>-13916.3210185547</v>
      </c>
      <c r="K26" s="23" t="n">
        <f aca="false">-Inputs!$B$5*Inputs!$B$28*(1+Inputs!$B$29)^(K$2-1)</f>
        <v>-14264.2290440185</v>
      </c>
      <c r="L26" s="23" t="n">
        <f aca="false">-Inputs!$B$5*Inputs!$B$28*(1+Inputs!$B$29)^(L$2-1)</f>
        <v>-14620.834770119</v>
      </c>
      <c r="M26" s="23" t="n">
        <f aca="false">-Inputs!$B$5*Inputs!$B$28*(1+Inputs!$B$29)^(M$2-1)</f>
        <v>-14986.355639372</v>
      </c>
      <c r="N26" s="23" t="n">
        <f aca="false">-Inputs!$B$5*Inputs!$B$28*(1+Inputs!$B$29)^(N$2-1)</f>
        <v>-15361.0145303563</v>
      </c>
    </row>
    <row r="27" customFormat="false" ht="15" hidden="false" customHeight="true" outlineLevel="0" collapsed="false">
      <c r="B27" s="3" t="s">
        <v>115</v>
      </c>
      <c r="D27" s="23" t="n">
        <f aca="false">-D11*Inputs!$B$27</f>
        <v>-0</v>
      </c>
      <c r="E27" s="23" t="n">
        <f aca="false">-E11*Inputs!$B$27</f>
        <v>-0</v>
      </c>
      <c r="F27" s="23" t="n">
        <f aca="false">-F11*Inputs!$B$27</f>
        <v>-0</v>
      </c>
      <c r="G27" s="23" t="n">
        <f aca="false">-G11*Inputs!$B$27</f>
        <v>-0</v>
      </c>
      <c r="H27" s="23" t="n">
        <f aca="false">-H11*Inputs!$B$27</f>
        <v>-0</v>
      </c>
      <c r="I27" s="23" t="n">
        <f aca="false">-I11*Inputs!$B$27</f>
        <v>-0</v>
      </c>
      <c r="J27" s="23" t="n">
        <f aca="false">-J11*Inputs!$B$27</f>
        <v>-0</v>
      </c>
      <c r="K27" s="23" t="n">
        <f aca="false">-K11*Inputs!$B$27</f>
        <v>-0</v>
      </c>
      <c r="L27" s="23" t="n">
        <f aca="false">-L11*Inputs!$B$27</f>
        <v>-0</v>
      </c>
      <c r="M27" s="23" t="n">
        <f aca="false">-M11*Inputs!$B$27</f>
        <v>-0</v>
      </c>
      <c r="N27" s="23" t="n">
        <f aca="false">-N11*Inputs!$B$27</f>
        <v>-0</v>
      </c>
    </row>
    <row r="28" customFormat="false" ht="15" hidden="false" customHeight="true" outlineLevel="0" collapsed="false">
      <c r="B28" s="4" t="s">
        <v>116</v>
      </c>
      <c r="D28" s="19" t="n">
        <f aca="false">D25+D26+D27</f>
        <v>214055.28</v>
      </c>
      <c r="E28" s="19" t="n">
        <f aca="false">E25+E26+E27</f>
        <v>217639.1856</v>
      </c>
      <c r="F28" s="19" t="n">
        <f aca="false">F25+F26+F27</f>
        <v>221277.339312</v>
      </c>
      <c r="G28" s="19" t="n">
        <f aca="false">G25+G26+G27</f>
        <v>224970.39034824</v>
      </c>
      <c r="H28" s="19" t="n">
        <f aca="false">H25+H26+H27</f>
        <v>228718.990011455</v>
      </c>
      <c r="I28" s="19" t="n">
        <f aca="false">I25+I26+I27</f>
        <v>232523.79146434</v>
      </c>
      <c r="J28" s="19" t="n">
        <f aca="false">J25+J26+J27</f>
        <v>236385.4494876</v>
      </c>
      <c r="K28" s="19" t="n">
        <f aca="false">K25+K26+K27</f>
        <v>240304.620226174</v>
      </c>
      <c r="L28" s="19" t="n">
        <f aca="false">L25+L26+L27</f>
        <v>244281.96092324</v>
      </c>
      <c r="M28" s="19" t="n">
        <f aca="false">M25+M26+M27</f>
        <v>248318.129641561</v>
      </c>
      <c r="N28" s="19" t="n">
        <f aca="false">N25+N26+N27</f>
        <v>252413.784971744</v>
      </c>
    </row>
    <row r="30" customFormat="false" ht="15" hidden="false" customHeight="true" outlineLevel="0" collapsed="false">
      <c r="B30" s="4" t="s">
        <v>117</v>
      </c>
    </row>
    <row r="31" customFormat="false" ht="15" hidden="false" customHeight="true" outlineLevel="0" collapsed="false">
      <c r="B31" s="1" t="s">
        <v>118</v>
      </c>
      <c r="D31" s="12" t="n">
        <f aca="false">IF(D$2=1,Inputs!$B$52,IF(AND(Inputs!$F$14&gt;0,D$2=Inputs!$F$14+1),Inputs!$F$24,C35))</f>
        <v>2097334.10836694</v>
      </c>
      <c r="E31" s="12" t="n">
        <f aca="false">IF(E$2=1,Inputs!$B$52,IF(AND(Inputs!$F$14&gt;0,E$2=Inputs!$F$14+1),Inputs!$F$24,D35))</f>
        <v>2063996.63956226</v>
      </c>
      <c r="F31" s="12" t="n">
        <f aca="false">IF(F$2=1,Inputs!$B$52,IF(AND(Inputs!$F$14&gt;0,F$2=Inputs!$F$14+1),Inputs!$F$24,E35))</f>
        <v>2028337.9515942</v>
      </c>
      <c r="G31" s="12" t="n">
        <f aca="false">IF(G$2=1,Inputs!$B$52,IF(AND(Inputs!$F$14&gt;0,G$2=Inputs!$F$14+1),Inputs!$F$24,F35))</f>
        <v>1990196.42276205</v>
      </c>
      <c r="H31" s="12" t="n">
        <f aca="false">IF(H$2=1,Inputs!$B$52,IF(AND(Inputs!$F$14&gt;0,H$2=Inputs!$F$14+1),Inputs!$F$24,G35))</f>
        <v>1949399.17797963</v>
      </c>
      <c r="I31" s="12" t="n">
        <f aca="false">IF(I$2=1,Inputs!$B$52,IF(AND(Inputs!$F$14&gt;0,I$2=Inputs!$F$14+1),Inputs!$F$24,H35))</f>
        <v>1905761.3052252</v>
      </c>
      <c r="J31" s="12" t="n">
        <f aca="false">IF(J$2=1,Inputs!$B$52,IF(AND(Inputs!$F$14&gt;0,J$2=Inputs!$F$14+1),Inputs!$F$24,I35))</f>
        <v>1859085.01743449</v>
      </c>
      <c r="K31" s="12" t="n">
        <f aca="false">IF(K$2=1,Inputs!$B$52,IF(AND(Inputs!$F$14&gt;0,K$2=Inputs!$F$14+1),Inputs!$F$24,J35))</f>
        <v>1809158.75603808</v>
      </c>
      <c r="L31" s="12" t="n">
        <f aca="false">IF(L$2=1,Inputs!$B$52,IF(AND(Inputs!$F$14&gt;0,L$2=Inputs!$F$14+1),Inputs!$F$24,K35))</f>
        <v>1755756.2320799</v>
      </c>
      <c r="M31" s="12" t="n">
        <f aca="false">IF(M$2=1,Inputs!$B$52,IF(AND(Inputs!$F$14&gt;0,M$2=Inputs!$F$14+1),Inputs!$F$24,L35))</f>
        <v>1698635.40057078</v>
      </c>
      <c r="N31" s="12" t="n">
        <f aca="false">IF(N$2=1,Inputs!$B$52,IF(AND(Inputs!$F$14&gt;0,N$2=Inputs!$F$14+1),Inputs!$F$24,M35))</f>
        <v>1637537.36342842</v>
      </c>
    </row>
    <row r="32" customFormat="false" ht="15" hidden="false" customHeight="true" outlineLevel="0" collapsed="false">
      <c r="B32" s="3" t="s">
        <v>119</v>
      </c>
      <c r="D32" s="23" t="n">
        <f aca="false">IF(D$2&lt;=Inputs!$B$36,D31*IF(AND(Inputs!$F$14&gt;0,D$2&gt;Inputs!$F$14),Inputs!$F$18,Inputs!$B$34),12*IF(AND(Inputs!$F$14&gt;0,D$2&gt;Inputs!$F$14),Inputs!$F$28,Inputs!$B$53)-(D31-D35))</f>
        <v>140551.208118405</v>
      </c>
      <c r="E32" s="23" t="n">
        <f aca="false">IF(E$2&lt;=Inputs!$B$36,E31*IF(AND(Inputs!$F$14&gt;0,E$2&gt;Inputs!$F$14),Inputs!$F$18,Inputs!$B$34),12*IF(AND(Inputs!$F$14&gt;0,E$2&gt;Inputs!$F$14),Inputs!$F$28,Inputs!$B$53)-(E31-E35))</f>
        <v>138229.988955008</v>
      </c>
      <c r="F32" s="23" t="n">
        <f aca="false">IF(F$2&lt;=Inputs!$B$36,F31*IF(AND(Inputs!$F$14&gt;0,F$2&gt;Inputs!$F$14),Inputs!$F$18,Inputs!$B$34),12*IF(AND(Inputs!$F$14&gt;0,F$2&gt;Inputs!$F$14),Inputs!$F$28,Inputs!$B$53)-(F31-F35))</f>
        <v>135747.148090934</v>
      </c>
      <c r="G32" s="23" t="n">
        <f aca="false">IF(G$2&lt;=Inputs!$B$36,G31*IF(AND(Inputs!$F$14&gt;0,G$2&gt;Inputs!$F$14),Inputs!$F$18,Inputs!$B$34),12*IF(AND(Inputs!$F$14&gt;0,G$2&gt;Inputs!$F$14),Inputs!$F$28,Inputs!$B$53)-(G31-G35))</f>
        <v>133091.432140657</v>
      </c>
      <c r="H32" s="23" t="n">
        <f aca="false">IF(H$2&lt;=Inputs!$B$36,H31*IF(AND(Inputs!$F$14&gt;0,H$2&gt;Inputs!$F$14),Inputs!$F$18,Inputs!$B$34),12*IF(AND(Inputs!$F$14&gt;0,H$2&gt;Inputs!$F$14),Inputs!$F$28,Inputs!$B$53)-(H31-H35))</f>
        <v>130250.804168643</v>
      </c>
      <c r="I32" s="23" t="n">
        <f aca="false">IF(I$2&lt;=Inputs!$B$36,I31*IF(AND(Inputs!$F$14&gt;0,I$2&gt;Inputs!$F$14),Inputs!$F$18,Inputs!$B$34),12*IF(AND(Inputs!$F$14&gt;0,I$2&gt;Inputs!$F$14),Inputs!$F$28,Inputs!$B$53)-(I31-I35))</f>
        <v>127212.389132368</v>
      </c>
      <c r="J32" s="23" t="n">
        <f aca="false">IF(J$2&lt;=Inputs!$B$36,J31*IF(AND(Inputs!$F$14&gt;0,J$2&gt;Inputs!$F$14),Inputs!$F$18,Inputs!$B$34),12*IF(AND(Inputs!$F$14&gt;0,J$2&gt;Inputs!$F$14),Inputs!$F$28,Inputs!$B$53)-(J31-J35))</f>
        <v>123962.415526669</v>
      </c>
      <c r="K32" s="23" t="n">
        <f aca="false">IF(K$2&lt;=Inputs!$B$36,K31*IF(AND(Inputs!$F$14&gt;0,K$2&gt;Inputs!$F$14),Inputs!$F$18,Inputs!$B$34),12*IF(AND(Inputs!$F$14&gt;0,K$2&gt;Inputs!$F$14),Inputs!$F$28,Inputs!$B$53)-(K31-K35))</f>
        <v>120486.152964893</v>
      </c>
      <c r="L32" s="23" t="n">
        <f aca="false">IF(L$2&lt;=Inputs!$B$36,L31*IF(AND(Inputs!$F$14&gt;0,L$2&gt;Inputs!$F$14),Inputs!$F$18,Inputs!$B$34),12*IF(AND(Inputs!$F$14&gt;0,L$2&gt;Inputs!$F$14),Inputs!$F$28,Inputs!$B$53)-(L31-L35))</f>
        <v>116767.845413958</v>
      </c>
      <c r="M32" s="23" t="n">
        <f aca="false">IF(M$2&lt;=Inputs!$B$36,M31*IF(AND(Inputs!$F$14&gt;0,M$2&gt;Inputs!$F$14),Inputs!$F$18,Inputs!$B$34),12*IF(AND(Inputs!$F$14&gt;0,M$2&gt;Inputs!$F$14),Inputs!$F$28,Inputs!$B$53)-(M31-M35))</f>
        <v>112790.639780712</v>
      </c>
      <c r="N32" s="23" t="n">
        <f aca="false">IF(N$2&lt;=Inputs!$B$36,N31*IF(AND(Inputs!$F$14&gt;0,N$2&gt;Inputs!$F$14),Inputs!$F$18,Inputs!$B$34),12*IF(AND(Inputs!$F$14&gt;0,N$2&gt;Inputs!$F$14),Inputs!$F$28,Inputs!$B$53)-(N31-N35))</f>
        <v>108536.509525902</v>
      </c>
    </row>
    <row r="33" customFormat="false" ht="15" hidden="false" customHeight="true" outlineLevel="0" collapsed="false">
      <c r="B33" s="3" t="s">
        <v>120</v>
      </c>
      <c r="D33" s="23" t="n">
        <f aca="false">D31-D35</f>
        <v>33337.4688046721</v>
      </c>
      <c r="E33" s="23" t="n">
        <f aca="false">E31-E35</f>
        <v>35658.6879680685</v>
      </c>
      <c r="F33" s="23" t="n">
        <f aca="false">F31-F35</f>
        <v>38141.5288321432</v>
      </c>
      <c r="G33" s="23" t="n">
        <f aca="false">G31-G35</f>
        <v>40797.2447824194</v>
      </c>
      <c r="H33" s="23" t="n">
        <f aca="false">H31-H35</f>
        <v>43637.8727544341</v>
      </c>
      <c r="I33" s="23" t="n">
        <f aca="false">I31-I35</f>
        <v>46676.2877907085</v>
      </c>
      <c r="J33" s="23" t="n">
        <f aca="false">J31-J35</f>
        <v>49926.2613964074</v>
      </c>
      <c r="K33" s="23" t="n">
        <f aca="false">K31-K35</f>
        <v>53402.5239581838</v>
      </c>
      <c r="L33" s="23" t="n">
        <f aca="false">L31-L35</f>
        <v>57120.8315091189</v>
      </c>
      <c r="M33" s="23" t="n">
        <f aca="false">M31-M35</f>
        <v>61098.0371423645</v>
      </c>
      <c r="N33" s="23" t="n">
        <f aca="false">N31-N35</f>
        <v>65352.1673971752</v>
      </c>
    </row>
    <row r="34" customFormat="false" ht="15" hidden="false" customHeight="true" outlineLevel="0" collapsed="false">
      <c r="B34" s="4" t="s">
        <v>121</v>
      </c>
      <c r="D34" s="19" t="n">
        <f aca="false">D32+D33</f>
        <v>173888.676923077</v>
      </c>
      <c r="E34" s="19" t="n">
        <f aca="false">E32+E33</f>
        <v>173888.676923077</v>
      </c>
      <c r="F34" s="19" t="n">
        <f aca="false">F32+F33</f>
        <v>173888.676923077</v>
      </c>
      <c r="G34" s="19" t="n">
        <f aca="false">G32+G33</f>
        <v>173888.676923077</v>
      </c>
      <c r="H34" s="19" t="n">
        <f aca="false">H32+H33</f>
        <v>173888.676923077</v>
      </c>
      <c r="I34" s="19" t="n">
        <f aca="false">I32+I33</f>
        <v>173888.676923077</v>
      </c>
      <c r="J34" s="19" t="n">
        <f aca="false">J32+J33</f>
        <v>173888.676923077</v>
      </c>
      <c r="K34" s="19" t="n">
        <f aca="false">K32+K33</f>
        <v>173888.676923077</v>
      </c>
      <c r="L34" s="19" t="n">
        <f aca="false">L32+L33</f>
        <v>173888.676923077</v>
      </c>
      <c r="M34" s="19" t="n">
        <f aca="false">M32+M33</f>
        <v>173888.676923077</v>
      </c>
      <c r="N34" s="19" t="n">
        <f aca="false">N32+N33</f>
        <v>173888.676923077</v>
      </c>
    </row>
    <row r="35" customFormat="false" ht="15" hidden="false" customHeight="true" outlineLevel="0" collapsed="false">
      <c r="B35" s="3" t="s">
        <v>122</v>
      </c>
      <c r="D35" s="23" t="n">
        <f aca="false">IF(D$2&lt;=Inputs!$B$36,D31,MAX(0,FV(IF(AND(Inputs!$F$14&gt;0,D$2&gt;Inputs!$F$14),Inputs!$F$18,Inputs!$B$34)/12,12,IF(AND(Inputs!$F$14&gt;0,D$2&gt;Inputs!$F$14),Inputs!$F$28,Inputs!$B$53),-D31)))</f>
        <v>2063996.63956226</v>
      </c>
      <c r="E35" s="23" t="n">
        <f aca="false">IF(E$2&lt;=Inputs!$B$36,E31,MAX(0,FV(IF(AND(Inputs!$F$14&gt;0,E$2&gt;Inputs!$F$14),Inputs!$F$18,Inputs!$B$34)/12,12,IF(AND(Inputs!$F$14&gt;0,E$2&gt;Inputs!$F$14),Inputs!$F$28,Inputs!$B$53),-E31)))</f>
        <v>2028337.9515942</v>
      </c>
      <c r="F35" s="23" t="n">
        <f aca="false">IF(F$2&lt;=Inputs!$B$36,F31,MAX(0,FV(IF(AND(Inputs!$F$14&gt;0,F$2&gt;Inputs!$F$14),Inputs!$F$18,Inputs!$B$34)/12,12,IF(AND(Inputs!$F$14&gt;0,F$2&gt;Inputs!$F$14),Inputs!$F$28,Inputs!$B$53),-F31)))</f>
        <v>1990196.42276205</v>
      </c>
      <c r="G35" s="23" t="n">
        <f aca="false">IF(G$2&lt;=Inputs!$B$36,G31,MAX(0,FV(IF(AND(Inputs!$F$14&gt;0,G$2&gt;Inputs!$F$14),Inputs!$F$18,Inputs!$B$34)/12,12,IF(AND(Inputs!$F$14&gt;0,G$2&gt;Inputs!$F$14),Inputs!$F$28,Inputs!$B$53),-G31)))</f>
        <v>1949399.17797963</v>
      </c>
      <c r="H35" s="23" t="n">
        <f aca="false">IF(H$2&lt;=Inputs!$B$36,H31,MAX(0,FV(IF(AND(Inputs!$F$14&gt;0,H$2&gt;Inputs!$F$14),Inputs!$F$18,Inputs!$B$34)/12,12,IF(AND(Inputs!$F$14&gt;0,H$2&gt;Inputs!$F$14),Inputs!$F$28,Inputs!$B$53),-H31)))</f>
        <v>1905761.3052252</v>
      </c>
      <c r="I35" s="23" t="n">
        <f aca="false">IF(I$2&lt;=Inputs!$B$36,I31,MAX(0,FV(IF(AND(Inputs!$F$14&gt;0,I$2&gt;Inputs!$F$14),Inputs!$F$18,Inputs!$B$34)/12,12,IF(AND(Inputs!$F$14&gt;0,I$2&gt;Inputs!$F$14),Inputs!$F$28,Inputs!$B$53),-I31)))</f>
        <v>1859085.01743449</v>
      </c>
      <c r="J35" s="23" t="n">
        <f aca="false">IF(J$2&lt;=Inputs!$B$36,J31,MAX(0,FV(IF(AND(Inputs!$F$14&gt;0,J$2&gt;Inputs!$F$14),Inputs!$F$18,Inputs!$B$34)/12,12,IF(AND(Inputs!$F$14&gt;0,J$2&gt;Inputs!$F$14),Inputs!$F$28,Inputs!$B$53),-J31)))</f>
        <v>1809158.75603808</v>
      </c>
      <c r="K35" s="23" t="n">
        <f aca="false">IF(K$2&lt;=Inputs!$B$36,K31,MAX(0,FV(IF(AND(Inputs!$F$14&gt;0,K$2&gt;Inputs!$F$14),Inputs!$F$18,Inputs!$B$34)/12,12,IF(AND(Inputs!$F$14&gt;0,K$2&gt;Inputs!$F$14),Inputs!$F$28,Inputs!$B$53),-K31)))</f>
        <v>1755756.2320799</v>
      </c>
      <c r="L35" s="23" t="n">
        <f aca="false">IF(L$2&lt;=Inputs!$B$36,L31,MAX(0,FV(IF(AND(Inputs!$F$14&gt;0,L$2&gt;Inputs!$F$14),Inputs!$F$18,Inputs!$B$34)/12,12,IF(AND(Inputs!$F$14&gt;0,L$2&gt;Inputs!$F$14),Inputs!$F$28,Inputs!$B$53),-L31)))</f>
        <v>1698635.40057078</v>
      </c>
      <c r="M35" s="23" t="n">
        <f aca="false">IF(M$2&lt;=Inputs!$B$36,M31,MAX(0,FV(IF(AND(Inputs!$F$14&gt;0,M$2&gt;Inputs!$F$14),Inputs!$F$18,Inputs!$B$34)/12,12,IF(AND(Inputs!$F$14&gt;0,M$2&gt;Inputs!$F$14),Inputs!$F$28,Inputs!$B$53),-M31)))</f>
        <v>1637537.36342842</v>
      </c>
      <c r="N35" s="23" t="n">
        <f aca="false">IF(N$2&lt;=Inputs!$B$36,N31,MAX(0,FV(IF(AND(Inputs!$F$14&gt;0,N$2&gt;Inputs!$F$14),Inputs!$F$18,Inputs!$B$34)/12,12,IF(AND(Inputs!$F$14&gt;0,N$2&gt;Inputs!$F$14),Inputs!$F$28,Inputs!$B$53),-N31)))</f>
        <v>1572185.19603124</v>
      </c>
    </row>
    <row r="37" customFormat="false" ht="15" hidden="false" customHeight="true" outlineLevel="0" collapsed="false">
      <c r="B37" s="4" t="s">
        <v>123</v>
      </c>
      <c r="D37" s="19" t="n">
        <f aca="false">D28-D34</f>
        <v>40166.6030769232</v>
      </c>
      <c r="E37" s="19" t="n">
        <f aca="false">E28-E34</f>
        <v>43750.5086769232</v>
      </c>
      <c r="F37" s="19" t="n">
        <f aca="false">F28-F34</f>
        <v>47388.6623889232</v>
      </c>
      <c r="G37" s="19" t="n">
        <f aca="false">G28-G34</f>
        <v>51081.7134251633</v>
      </c>
      <c r="H37" s="19" t="n">
        <f aca="false">H28-H34</f>
        <v>54830.3130883781</v>
      </c>
      <c r="I37" s="19" t="n">
        <f aca="false">I28-I34</f>
        <v>58635.1145412635</v>
      </c>
      <c r="J37" s="19" t="n">
        <f aca="false">J28-J34</f>
        <v>62496.772564523</v>
      </c>
      <c r="K37" s="19" t="n">
        <f aca="false">K28-K34</f>
        <v>66415.9433030968</v>
      </c>
      <c r="L37" s="19" t="n">
        <f aca="false">L28-L34</f>
        <v>70393.284000163</v>
      </c>
      <c r="M37" s="19" t="n">
        <f aca="false">M28-M34</f>
        <v>74429.4527184838</v>
      </c>
      <c r="N37" s="19" t="n">
        <f aca="false">N28-N34</f>
        <v>78525.1080486676</v>
      </c>
    </row>
    <row r="38" customFormat="false" ht="15" hidden="false" customHeight="true" outlineLevel="0" collapsed="false">
      <c r="B38" s="3" t="s">
        <v>124</v>
      </c>
      <c r="D38" s="24" t="n">
        <f aca="false">IFERROR(D25/D34,"")</f>
        <v>1.3</v>
      </c>
      <c r="E38" s="24" t="n">
        <f aca="false">IFERROR(E25/E34,"")</f>
        <v>1.32233558658749</v>
      </c>
      <c r="F38" s="24" t="n">
        <f aca="false">IFERROR(F25/F34,"")</f>
        <v>1.34502627457142</v>
      </c>
      <c r="G38" s="24" t="n">
        <f aca="false">IFERROR(G25/G34,"")</f>
        <v>1.36807687572134</v>
      </c>
      <c r="H38" s="24" t="n">
        <f aca="false">IFERROR(H25/H34,"")</f>
        <v>1.39149224078571</v>
      </c>
      <c r="I38" s="24" t="n">
        <f aca="false">IFERROR(I25/I34,"")</f>
        <v>1.41527725884012</v>
      </c>
      <c r="J38" s="24" t="n">
        <f aca="false">IFERROR(J25/J34,"")</f>
        <v>1.43943685658659</v>
      </c>
      <c r="K38" s="24" t="n">
        <f aca="false">IFERROR(K25/K34,"")</f>
        <v>1.46397599760222</v>
      </c>
      <c r="L38" s="24" t="n">
        <f aca="false">IFERROR(L25/L34,"")</f>
        <v>1.48889968153527</v>
      </c>
      <c r="M38" s="24" t="n">
        <f aca="false">IFERROR(M25/M34,"")</f>
        <v>1.5142129432465</v>
      </c>
      <c r="N38" s="24" t="n">
        <f aca="false">IFERROR(N25/N34,"")</f>
        <v>1.53992085189398</v>
      </c>
    </row>
    <row r="39" customFormat="false" ht="15" hidden="false" customHeight="true" outlineLevel="0" collapsed="false">
      <c r="B39" s="3" t="s">
        <v>125</v>
      </c>
      <c r="D39" s="25" t="n">
        <f aca="false">IFERROR(D37/Inputs!$B$54,"")</f>
        <v>0.0408346899360513</v>
      </c>
      <c r="E39" s="25" t="n">
        <f aca="false">IFERROR(E37/Inputs!$B$54,"")</f>
        <v>0.044478206258699</v>
      </c>
      <c r="F39" s="25" t="n">
        <f aca="false">IFERROR(F37/Inputs!$B$54,"")</f>
        <v>0.0481768729964537</v>
      </c>
      <c r="G39" s="25" t="n">
        <f aca="false">IFERROR(G37/Inputs!$B$54,"")</f>
        <v>0.0519313501598342</v>
      </c>
      <c r="H39" s="25" t="n">
        <f aca="false">IFERROR(H37/Inputs!$B$54,"")</f>
        <v>0.0557422998846245</v>
      </c>
      <c r="I39" s="25" t="n">
        <f aca="false">IFERROR(I37/Inputs!$B$54,"")</f>
        <v>0.0596103861975065</v>
      </c>
      <c r="J39" s="25" t="n">
        <f aca="false">IFERROR(J37/Inputs!$B$54,"")</f>
        <v>0.063536274770082</v>
      </c>
      <c r="K39" s="25" t="n">
        <f aca="false">IFERROR(K37/Inputs!$B$54,"")</f>
        <v>0.0675206326608804</v>
      </c>
      <c r="L39" s="25" t="n">
        <f aca="false">IFERROR(L37/Inputs!$B$54,"")</f>
        <v>0.0715641280449361</v>
      </c>
      <c r="M39" s="25" t="n">
        <f aca="false">IFERROR(M37/Inputs!$B$54,"")</f>
        <v>0.0756674299304996</v>
      </c>
      <c r="N39" s="25" t="n">
        <f aca="false">IFERROR(N37/Inputs!$B$54,"")</f>
        <v>0.0798312078624472</v>
      </c>
    </row>
    <row r="40" customFormat="false" ht="15" hidden="false" customHeight="true" outlineLevel="0" collapsed="false">
      <c r="B40" s="3" t="s">
        <v>126</v>
      </c>
      <c r="D40" s="24" t="n">
        <f aca="false">IFERROR((D25+D26)/D34,"")</f>
        <v>1.23099033121456</v>
      </c>
      <c r="E40" s="24" t="n">
        <f aca="false">IFERROR((E25+E26)/E34,"")</f>
        <v>1.25160067608242</v>
      </c>
      <c r="F40" s="24" t="n">
        <f aca="false">IFERROR((F25+F26)/F34,"")</f>
        <v>1.27252299130372</v>
      </c>
      <c r="G40" s="24" t="n">
        <f aca="false">IFERROR((G25+G26)/G34,"")</f>
        <v>1.29376101037194</v>
      </c>
      <c r="H40" s="24" t="n">
        <f aca="false">IFERROR((H25+H26)/H34,"")</f>
        <v>1.31531847880258</v>
      </c>
      <c r="I40" s="24" t="n">
        <f aca="false">IFERROR((I25+I26)/I34,"")</f>
        <v>1.33719915280741</v>
      </c>
      <c r="J40" s="24" t="n">
        <f aca="false">IFERROR((J25+J26)/J34,"")</f>
        <v>1.35940679790306</v>
      </c>
      <c r="K40" s="24" t="n">
        <f aca="false">IFERROR((K25+K26)/K34,"")</f>
        <v>1.38194518745161</v>
      </c>
      <c r="L40" s="24" t="n">
        <f aca="false">IFERROR((L25+L26)/L34,"")</f>
        <v>1.40481810113089</v>
      </c>
      <c r="M40" s="24" t="n">
        <f aca="false">IFERROR((M25+M26)/M34,"")</f>
        <v>1.42802932333201</v>
      </c>
      <c r="N40" s="24" t="n">
        <f aca="false">IFERROR((N25+N26)/N34,"")</f>
        <v>1.45158264148162</v>
      </c>
    </row>
    <row r="41" customFormat="false" ht="15" hidden="false" customHeight="true" outlineLevel="0" collapsed="false">
      <c r="B41" s="4" t="s">
        <v>127</v>
      </c>
    </row>
    <row r="42" customFormat="false" ht="15" hidden="false" customHeight="true" outlineLevel="0" collapsed="false">
      <c r="B42" s="1" t="s">
        <v>16</v>
      </c>
      <c r="C42" s="12" t="n">
        <f aca="false">-Inputs!$B$2</f>
        <v>-3000000</v>
      </c>
    </row>
    <row r="43" customFormat="false" ht="15" hidden="false" customHeight="true" outlineLevel="0" collapsed="false">
      <c r="B43" s="1" t="s">
        <v>128</v>
      </c>
      <c r="C43" s="12" t="n">
        <f aca="false">-Inputs!$B$2*Inputs!$B$3</f>
        <v>-60000</v>
      </c>
    </row>
    <row r="44" customFormat="false" ht="15" hidden="false" customHeight="true" outlineLevel="0" collapsed="false">
      <c r="B44" s="1" t="s">
        <v>129</v>
      </c>
      <c r="C44" s="12" t="n">
        <f aca="false">-Inputs!$B$52*Inputs!$B$4</f>
        <v>-20973.3410836694</v>
      </c>
    </row>
    <row r="45" customFormat="false" ht="15" hidden="false" customHeight="true" outlineLevel="0" collapsed="false">
      <c r="B45" s="1" t="s">
        <v>130</v>
      </c>
      <c r="C45" s="12" t="n">
        <f aca="false">Inputs!$B$52</f>
        <v>2097334.10836694</v>
      </c>
    </row>
    <row r="46" customFormat="false" ht="15" hidden="false" customHeight="true" outlineLevel="0" collapsed="false">
      <c r="B46" s="1" t="s">
        <v>131</v>
      </c>
      <c r="D46" s="12" t="n">
        <f aca="false">IF(D$2=Inputs!$B$40,E25/Inputs!$B$41,0)</f>
        <v>0</v>
      </c>
      <c r="E46" s="12" t="n">
        <f aca="false">IF(E$2=Inputs!$B$40,F25/Inputs!$B$41,0)</f>
        <v>0</v>
      </c>
      <c r="F46" s="12" t="n">
        <f aca="false">IF(F$2=Inputs!$B$40,G25/Inputs!$B$41,0)</f>
        <v>0</v>
      </c>
      <c r="G46" s="12" t="n">
        <f aca="false">IF(G$2=Inputs!$B$40,H25/Inputs!$B$41,0)</f>
        <v>0</v>
      </c>
      <c r="H46" s="12" t="n">
        <f aca="false">IF(H$2=Inputs!$B$40,I25/Inputs!$B$41,0)</f>
        <v>3062858.61878068</v>
      </c>
      <c r="I46" s="12" t="n">
        <f aca="false">IF(I$2=Inputs!$B$40,J25/Inputs!$B$41,0)</f>
        <v>0</v>
      </c>
      <c r="J46" s="12" t="n">
        <f aca="false">IF(J$2=Inputs!$B$40,K25/Inputs!$B$41,0)</f>
        <v>0</v>
      </c>
      <c r="K46" s="12" t="n">
        <f aca="false">IF(K$2=Inputs!$B$40,L25/Inputs!$B$41,0)</f>
        <v>0</v>
      </c>
      <c r="L46" s="12" t="n">
        <f aca="false">IF(L$2=Inputs!$B$40,M25/Inputs!$B$41,0)</f>
        <v>0</v>
      </c>
      <c r="M46" s="12" t="n">
        <f aca="false">IF(M$2=Inputs!$B$40,N25/Inputs!$B$41,0)</f>
        <v>0</v>
      </c>
    </row>
    <row r="47" customFormat="false" ht="15" hidden="false" customHeight="true" outlineLevel="0" collapsed="false">
      <c r="B47" s="1" t="s">
        <v>132</v>
      </c>
      <c r="D47" s="12" t="n">
        <f aca="false">-D46*Inputs!$B$42</f>
        <v>-0</v>
      </c>
      <c r="E47" s="12" t="n">
        <f aca="false">-E46*Inputs!$B$42</f>
        <v>-0</v>
      </c>
      <c r="F47" s="12" t="n">
        <f aca="false">-F46*Inputs!$B$42</f>
        <v>-0</v>
      </c>
      <c r="G47" s="12" t="n">
        <f aca="false">-G46*Inputs!$B$42</f>
        <v>-0</v>
      </c>
      <c r="H47" s="12" t="n">
        <f aca="false">-H46*Inputs!$B$42</f>
        <v>-91885.7585634204</v>
      </c>
      <c r="I47" s="12" t="n">
        <f aca="false">-I46*Inputs!$B$42</f>
        <v>-0</v>
      </c>
      <c r="J47" s="12" t="n">
        <f aca="false">-J46*Inputs!$B$42</f>
        <v>-0</v>
      </c>
      <c r="K47" s="12" t="n">
        <f aca="false">-K46*Inputs!$B$42</f>
        <v>-0</v>
      </c>
      <c r="L47" s="12" t="n">
        <f aca="false">-L46*Inputs!$B$42</f>
        <v>-0</v>
      </c>
      <c r="M47" s="12" t="n">
        <f aca="false">-M46*Inputs!$B$42</f>
        <v>-0</v>
      </c>
    </row>
    <row r="48" customFormat="false" ht="15" hidden="false" customHeight="true" outlineLevel="0" collapsed="false">
      <c r="B48" s="1" t="s">
        <v>133</v>
      </c>
      <c r="D48" s="12" t="n">
        <f aca="false">IF(D$2=Inputs!$B$40,-D35,0)</f>
        <v>0</v>
      </c>
      <c r="E48" s="12" t="n">
        <f aca="false">IF(E$2=Inputs!$B$40,-E35,0)</f>
        <v>0</v>
      </c>
      <c r="F48" s="12" t="n">
        <f aca="false">IF(F$2=Inputs!$B$40,-F35,0)</f>
        <v>0</v>
      </c>
      <c r="G48" s="12" t="n">
        <f aca="false">IF(G$2=Inputs!$B$40,-G35,0)</f>
        <v>0</v>
      </c>
      <c r="H48" s="12" t="n">
        <f aca="false">IF(H$2=Inputs!$B$40,-H35,0)</f>
        <v>-1905761.3052252</v>
      </c>
      <c r="I48" s="12" t="n">
        <f aca="false">IF(I$2=Inputs!$B$40,-I35,0)</f>
        <v>0</v>
      </c>
      <c r="J48" s="12" t="n">
        <f aca="false">IF(J$2=Inputs!$B$40,-J35,0)</f>
        <v>0</v>
      </c>
      <c r="K48" s="12" t="n">
        <f aca="false">IF(K$2=Inputs!$B$40,-K35,0)</f>
        <v>0</v>
      </c>
      <c r="L48" s="12" t="n">
        <f aca="false">IF(L$2=Inputs!$B$40,-L35,0)</f>
        <v>0</v>
      </c>
      <c r="M48" s="12" t="n">
        <f aca="false">IF(M$2=Inputs!$B$40,-M35,0)</f>
        <v>0</v>
      </c>
    </row>
    <row r="49" customFormat="false" ht="15" hidden="false" customHeight="true" outlineLevel="0" collapsed="false">
      <c r="B49" s="1" t="s">
        <v>134</v>
      </c>
      <c r="D49" s="12" t="n">
        <f aca="false">IF(AND(Inputs!$F$14&gt;0,D$2=Inputs!$F$14),Inputs!$F$27,0)</f>
        <v>0</v>
      </c>
      <c r="E49" s="12" t="n">
        <f aca="false">IF(AND(Inputs!$F$14&gt;0,E$2=Inputs!$F$14),Inputs!$F$27,0)</f>
        <v>0</v>
      </c>
      <c r="F49" s="12" t="n">
        <f aca="false">IF(AND(Inputs!$F$14&gt;0,F$2=Inputs!$F$14),Inputs!$F$27,0)</f>
        <v>0</v>
      </c>
      <c r="G49" s="12" t="n">
        <f aca="false">IF(AND(Inputs!$F$14&gt;0,G$2=Inputs!$F$14),Inputs!$F$27,0)</f>
        <v>0</v>
      </c>
      <c r="H49" s="12" t="n">
        <f aca="false">IF(AND(Inputs!$F$14&gt;0,H$2=Inputs!$F$14),Inputs!$F$27,0)</f>
        <v>0</v>
      </c>
      <c r="I49" s="12" t="n">
        <f aca="false">IF(AND(Inputs!$F$14&gt;0,I$2=Inputs!$F$14),Inputs!$F$27,0)</f>
        <v>0</v>
      </c>
      <c r="J49" s="12" t="n">
        <f aca="false">IF(AND(Inputs!$F$14&gt;0,J$2=Inputs!$F$14),Inputs!$F$27,0)</f>
        <v>0</v>
      </c>
      <c r="K49" s="12" t="n">
        <f aca="false">IF(AND(Inputs!$F$14&gt;0,K$2=Inputs!$F$14),Inputs!$F$27,0)</f>
        <v>0</v>
      </c>
      <c r="L49" s="12" t="n">
        <f aca="false">IF(AND(Inputs!$F$14&gt;0,L$2=Inputs!$F$14),Inputs!$F$27,0)</f>
        <v>0</v>
      </c>
      <c r="M49" s="12" t="n">
        <f aca="false">IF(AND(Inputs!$F$14&gt;0,M$2=Inputs!$F$14),Inputs!$F$27,0)</f>
        <v>0</v>
      </c>
      <c r="N49" s="12" t="n">
        <f aca="false">IF(AND(Inputs!$F$14&gt;0,N$2=Inputs!$F$14),Inputs!$F$27,0)</f>
        <v>0</v>
      </c>
    </row>
    <row r="50" customFormat="false" ht="15" hidden="false" customHeight="true" outlineLevel="0" collapsed="false">
      <c r="B50" s="4" t="s">
        <v>135</v>
      </c>
      <c r="C50" s="19" t="n">
        <f aca="false">C42+C43+C52</f>
        <v>-3060000</v>
      </c>
      <c r="D50" s="19" t="n">
        <f aca="false">IF(D$2&lt;=Inputs!$B$40,D28,0)+D46+D47</f>
        <v>214055.28</v>
      </c>
      <c r="E50" s="19" t="n">
        <f aca="false">IF(E$2&lt;=Inputs!$B$40,E28,0)+E46+E47</f>
        <v>217639.1856</v>
      </c>
      <c r="F50" s="19" t="n">
        <f aca="false">IF(F$2&lt;=Inputs!$B$40,F28,0)+F46+F47</f>
        <v>221277.339312</v>
      </c>
      <c r="G50" s="19" t="n">
        <f aca="false">IF(G$2&lt;=Inputs!$B$40,G28,0)+G46+G47</f>
        <v>224970.39034824</v>
      </c>
      <c r="H50" s="19" t="n">
        <f aca="false">IF(H$2&lt;=Inputs!$B$40,H28,0)+H46+H47</f>
        <v>3199691.85022872</v>
      </c>
      <c r="I50" s="19" t="n">
        <f aca="false">IF(I$2&lt;=Inputs!$B$40,I28,0)+I46+I47</f>
        <v>0</v>
      </c>
      <c r="J50" s="19" t="n">
        <f aca="false">IF(J$2&lt;=Inputs!$B$40,J28,0)+J46+J47</f>
        <v>0</v>
      </c>
      <c r="K50" s="19" t="n">
        <f aca="false">IF(K$2&lt;=Inputs!$B$40,K28,0)+K46+K47</f>
        <v>0</v>
      </c>
      <c r="L50" s="19" t="n">
        <f aca="false">IF(L$2&lt;=Inputs!$B$40,L28,0)+L46+L47</f>
        <v>0</v>
      </c>
      <c r="M50" s="19" t="n">
        <f aca="false">IF(M$2&lt;=Inputs!$B$40,M28,0)+M46+M47</f>
        <v>0</v>
      </c>
      <c r="N50" s="19" t="n">
        <f aca="false">IF(N$2&lt;=Inputs!$B$40,N28,0)+0</f>
        <v>0</v>
      </c>
    </row>
    <row r="51" customFormat="false" ht="15" hidden="false" customHeight="true" outlineLevel="0" collapsed="false">
      <c r="B51" s="4" t="s">
        <v>136</v>
      </c>
      <c r="C51" s="19" t="n">
        <f aca="false">C42+C43+C44+C45+C52</f>
        <v>-983639.232716733</v>
      </c>
      <c r="D51" s="19" t="n">
        <f aca="false">IF(D$2&lt;=Inputs!$B$40,D37,0)+D46+D47+D48+D49</f>
        <v>40166.6030769232</v>
      </c>
      <c r="E51" s="19" t="n">
        <f aca="false">IF(E$2&lt;=Inputs!$B$40,E37,0)+E46+E47+E48+E49</f>
        <v>43750.5086769232</v>
      </c>
      <c r="F51" s="19" t="n">
        <f aca="false">IF(F$2&lt;=Inputs!$B$40,F37,0)+F46+F47+F48+F49</f>
        <v>47388.6623889232</v>
      </c>
      <c r="G51" s="19" t="n">
        <f aca="false">IF(G$2&lt;=Inputs!$B$40,G37,0)+G46+G47+G48+G49</f>
        <v>51081.7134251633</v>
      </c>
      <c r="H51" s="19" t="n">
        <f aca="false">IF(H$2&lt;=Inputs!$B$40,H37,0)+H46+H47+H48+H49</f>
        <v>1120041.86808044</v>
      </c>
      <c r="I51" s="19" t="n">
        <f aca="false">IF(I$2&lt;=Inputs!$B$40,I37,0)+I46+I47+I48+I49</f>
        <v>0</v>
      </c>
      <c r="J51" s="19" t="n">
        <f aca="false">IF(J$2&lt;=Inputs!$B$40,J37,0)+J46+J47+J48+J49</f>
        <v>0</v>
      </c>
      <c r="K51" s="19" t="n">
        <f aca="false">IF(K$2&lt;=Inputs!$B$40,K37,0)+K46+K47+K48+K49</f>
        <v>0</v>
      </c>
      <c r="L51" s="19" t="n">
        <f aca="false">IF(L$2&lt;=Inputs!$B$40,L37,0)+L46+L47+L48+L49</f>
        <v>0</v>
      </c>
      <c r="M51" s="19" t="n">
        <f aca="false">IF(M$2&lt;=Inputs!$B$40,M37,0)+M46+M47+M48+M49</f>
        <v>0</v>
      </c>
      <c r="N51" s="19" t="n">
        <f aca="false">IF(N$2&lt;=Inputs!$B$40,N37,0)+0+0+N49</f>
        <v>0</v>
      </c>
    </row>
    <row r="52" customFormat="false" ht="15" hidden="false" customHeight="true" outlineLevel="0" collapsed="false">
      <c r="B52" s="1" t="s">
        <v>137</v>
      </c>
      <c r="C52" s="12" t="n">
        <f aca="false">-Inputs!$F$38</f>
        <v>-0</v>
      </c>
    </row>
    <row r="53" customFormat="false" ht="15" hidden="false" customHeight="true" outlineLevel="0" collapsed="false">
      <c r="B53" s="4" t="s">
        <v>138</v>
      </c>
    </row>
    <row r="54" customFormat="false" ht="15" hidden="false" customHeight="true" outlineLevel="0" collapsed="false">
      <c r="B54" s="1" t="s">
        <v>139</v>
      </c>
      <c r="C54" s="21" t="n">
        <f aca="false">IFERROR(IRR(C50:N50,0.1),"")</f>
        <v>0.0670869123117507</v>
      </c>
    </row>
    <row r="55" customFormat="false" ht="15" hidden="false" customHeight="true" outlineLevel="0" collapsed="false">
      <c r="B55" s="1" t="s">
        <v>140</v>
      </c>
      <c r="C55" s="26" t="n">
        <f aca="false">IFERROR(IRR(C51:N51,0.1),"")</f>
        <v>0.0624225552155447</v>
      </c>
    </row>
    <row r="56" customFormat="false" ht="15" hidden="false" customHeight="true" outlineLevel="0" collapsed="false">
      <c r="B56" s="1" t="s">
        <v>141</v>
      </c>
      <c r="C56" s="27" t="n">
        <f aca="false">IFERROR(1+SUM(C51:N51)/(-C51),"")</f>
        <v>1.32409252531659</v>
      </c>
    </row>
    <row r="57" customFormat="false" ht="15" hidden="false" customHeight="true" outlineLevel="0" collapsed="false">
      <c r="B57" s="1" t="s">
        <v>142</v>
      </c>
      <c r="C57" s="12" t="n">
        <f aca="false">SUM(C51:N51)</f>
        <v>318790.122931639</v>
      </c>
    </row>
    <row r="58" customFormat="false" ht="15" hidden="false" customHeight="true" outlineLevel="0" collapsed="false">
      <c r="B58" s="1" t="s">
        <v>143</v>
      </c>
      <c r="C58" s="21" t="n">
        <f aca="false">IFERROR(AVERAGEIFS(D37:N37,D2:N2,"&lt;="&amp;Inputs!$B$40)/Inputs!$B$54,"")</f>
        <v>0.0482326838471325</v>
      </c>
    </row>
    <row r="59" customFormat="false" ht="15" hidden="false" customHeight="true" outlineLevel="0" collapsed="false">
      <c r="B59" s="1" t="s">
        <v>144</v>
      </c>
      <c r="C59" s="28" t="n">
        <f aca="false">IFERROR(AVERAGEIFS(D25:N25,D2:N2,"&lt;="&amp;Inputs!$B$40)/AVERAGEIFS(D34:N34,D2:N2,"&lt;="&amp;Inputs!$B$40),"")</f>
        <v>1.34538619553319</v>
      </c>
    </row>
    <row r="61" customFormat="false" ht="15" hidden="false" customHeight="true" outlineLevel="0" collapsed="false">
      <c r="B61" s="4" t="s">
        <v>145</v>
      </c>
    </row>
    <row r="62" customFormat="false" ht="15" hidden="false" customHeight="true" outlineLevel="0" collapsed="false">
      <c r="B62" s="3" t="s">
        <v>146</v>
      </c>
      <c r="D62" s="29" t="n">
        <f aca="false">MIN(Inputs!$F$31,MAX(0,(D$2-Inputs!$F$36+1)*Inputs!$F$34))</f>
        <v>0</v>
      </c>
      <c r="E62" s="29" t="n">
        <f aca="false">MIN(Inputs!$F$31,MAX(0,(E$2-Inputs!$F$36+1)*Inputs!$F$34))</f>
        <v>0</v>
      </c>
      <c r="F62" s="29" t="n">
        <f aca="false">MIN(Inputs!$F$31,MAX(0,(F$2-Inputs!$F$36+1)*Inputs!$F$34))</f>
        <v>0</v>
      </c>
      <c r="G62" s="29" t="n">
        <f aca="false">MIN(Inputs!$F$31,MAX(0,(G$2-Inputs!$F$36+1)*Inputs!$F$34))</f>
        <v>0</v>
      </c>
      <c r="H62" s="29" t="n">
        <f aca="false">MIN(Inputs!$F$31,MAX(0,(H$2-Inputs!$F$36+1)*Inputs!$F$34))</f>
        <v>0</v>
      </c>
      <c r="I62" s="29" t="n">
        <f aca="false">MIN(Inputs!$F$31,MAX(0,(I$2-Inputs!$F$36+1)*Inputs!$F$34))</f>
        <v>0</v>
      </c>
      <c r="J62" s="29" t="n">
        <f aca="false">MIN(Inputs!$F$31,MAX(0,(J$2-Inputs!$F$36+1)*Inputs!$F$34))</f>
        <v>0</v>
      </c>
      <c r="K62" s="29" t="n">
        <f aca="false">MIN(Inputs!$F$31,MAX(0,(K$2-Inputs!$F$36+1)*Inputs!$F$34))</f>
        <v>0</v>
      </c>
      <c r="L62" s="29" t="n">
        <f aca="false">MIN(Inputs!$F$31,MAX(0,(L$2-Inputs!$F$36+1)*Inputs!$F$34))</f>
        <v>0</v>
      </c>
      <c r="M62" s="29" t="n">
        <f aca="false">MIN(Inputs!$F$31,MAX(0,(M$2-Inputs!$F$36+1)*Inputs!$F$34))</f>
        <v>0</v>
      </c>
      <c r="N62" s="29" t="n">
        <f aca="false">MIN(Inputs!$F$31,MAX(0,(N$2-Inputs!$F$36+1)*Inputs!$F$34))</f>
        <v>0</v>
      </c>
    </row>
    <row r="63" customFormat="false" ht="15" hidden="false" customHeight="true" outlineLevel="0" collapsed="false">
      <c r="B63" s="3" t="s">
        <v>147</v>
      </c>
      <c r="D63" s="23" t="n">
        <f aca="false">MIN(Inputs!$F$31,MAX(0,(D$2-Inputs!$F$36+1)*Inputs!$F$34))*Inputs!$F$33*12*(1+Inputs!$B$13)^(D$2-1)</f>
        <v>0</v>
      </c>
      <c r="E63" s="23" t="n">
        <f aca="false">MIN(Inputs!$F$31,MAX(0,(E$2-Inputs!$F$36+1)*Inputs!$F$34))*Inputs!$F$33*12*(1+Inputs!$B$13)^(E$2-1)</f>
        <v>0</v>
      </c>
      <c r="F63" s="23" t="n">
        <f aca="false">MIN(Inputs!$F$31,MAX(0,(F$2-Inputs!$F$36+1)*Inputs!$F$34))*Inputs!$F$33*12*(1+Inputs!$B$13)^(F$2-1)</f>
        <v>0</v>
      </c>
      <c r="G63" s="23" t="n">
        <f aca="false">MIN(Inputs!$F$31,MAX(0,(G$2-Inputs!$F$36+1)*Inputs!$F$34))*Inputs!$F$33*12*(1+Inputs!$B$13)^(G$2-1)</f>
        <v>0</v>
      </c>
      <c r="H63" s="23" t="n">
        <f aca="false">MIN(Inputs!$F$31,MAX(0,(H$2-Inputs!$F$36+1)*Inputs!$F$34))*Inputs!$F$33*12*(1+Inputs!$B$13)^(H$2-1)</f>
        <v>0</v>
      </c>
      <c r="I63" s="23" t="n">
        <f aca="false">MIN(Inputs!$F$31,MAX(0,(I$2-Inputs!$F$36+1)*Inputs!$F$34))*Inputs!$F$33*12*(1+Inputs!$B$13)^(I$2-1)</f>
        <v>0</v>
      </c>
      <c r="J63" s="23" t="n">
        <f aca="false">MIN(Inputs!$F$31,MAX(0,(J$2-Inputs!$F$36+1)*Inputs!$F$34))*Inputs!$F$33*12*(1+Inputs!$B$13)^(J$2-1)</f>
        <v>0</v>
      </c>
      <c r="K63" s="23" t="n">
        <f aca="false">MIN(Inputs!$F$31,MAX(0,(K$2-Inputs!$F$36+1)*Inputs!$F$34))*Inputs!$F$33*12*(1+Inputs!$B$13)^(K$2-1)</f>
        <v>0</v>
      </c>
      <c r="L63" s="23" t="n">
        <f aca="false">MIN(Inputs!$F$31,MAX(0,(L$2-Inputs!$F$36+1)*Inputs!$F$34))*Inputs!$F$33*12*(1+Inputs!$B$13)^(L$2-1)</f>
        <v>0</v>
      </c>
      <c r="M63" s="23" t="n">
        <f aca="false">MIN(Inputs!$F$31,MAX(0,(M$2-Inputs!$F$36+1)*Inputs!$F$34))*Inputs!$F$33*12*(1+Inputs!$B$13)^(M$2-1)</f>
        <v>0</v>
      </c>
      <c r="N63" s="23" t="n">
        <f aca="false">MIN(Inputs!$F$31,MAX(0,(N$2-Inputs!$F$36+1)*Inputs!$F$34))*Inputs!$F$33*12*(1+Inputs!$B$13)^(N$2-1)</f>
        <v>0</v>
      </c>
    </row>
    <row r="64" customFormat="false" ht="15" hidden="false" customHeight="true" outlineLevel="0" collapsed="false">
      <c r="B64" s="3" t="s">
        <v>148</v>
      </c>
      <c r="D64" s="23" t="n">
        <f aca="false">-(MIN(Inputs!$F$31,MAX(0,(D$2-Inputs!$F$36+1)*Inputs!$F$34))-MIN(Inputs!$F$31,MAX(0,(D$2-Inputs!$F$36)*Inputs!$F$34)))*Inputs!$F$35*Inputs!$H$11*(1+Inputs!$B$13)^(D$2-1)</f>
        <v>-0</v>
      </c>
      <c r="E64" s="23" t="n">
        <f aca="false">-(MIN(Inputs!$F$31,MAX(0,(E$2-Inputs!$F$36+1)*Inputs!$F$34))-MIN(Inputs!$F$31,MAX(0,(E$2-Inputs!$F$36)*Inputs!$F$34)))*Inputs!$F$35*Inputs!$H$11*(1+Inputs!$B$13)^(E$2-1)</f>
        <v>-0</v>
      </c>
      <c r="F64" s="23" t="n">
        <f aca="false">-(MIN(Inputs!$F$31,MAX(0,(F$2-Inputs!$F$36+1)*Inputs!$F$34))-MIN(Inputs!$F$31,MAX(0,(F$2-Inputs!$F$36)*Inputs!$F$34)))*Inputs!$F$35*Inputs!$H$11*(1+Inputs!$B$13)^(F$2-1)</f>
        <v>-0</v>
      </c>
      <c r="G64" s="23" t="n">
        <f aca="false">-(MIN(Inputs!$F$31,MAX(0,(G$2-Inputs!$F$36+1)*Inputs!$F$34))-MIN(Inputs!$F$31,MAX(0,(G$2-Inputs!$F$36)*Inputs!$F$34)))*Inputs!$F$35*Inputs!$H$11*(1+Inputs!$B$13)^(G$2-1)</f>
        <v>-0</v>
      </c>
      <c r="H64" s="23" t="n">
        <f aca="false">-(MIN(Inputs!$F$31,MAX(0,(H$2-Inputs!$F$36+1)*Inputs!$F$34))-MIN(Inputs!$F$31,MAX(0,(H$2-Inputs!$F$36)*Inputs!$F$34)))*Inputs!$F$35*Inputs!$H$11*(1+Inputs!$B$13)^(H$2-1)</f>
        <v>-0</v>
      </c>
      <c r="I64" s="23" t="n">
        <f aca="false">-(MIN(Inputs!$F$31,MAX(0,(I$2-Inputs!$F$36+1)*Inputs!$F$34))-MIN(Inputs!$F$31,MAX(0,(I$2-Inputs!$F$36)*Inputs!$F$34)))*Inputs!$F$35*Inputs!$H$11*(1+Inputs!$B$13)^(I$2-1)</f>
        <v>-0</v>
      </c>
      <c r="J64" s="23" t="n">
        <f aca="false">-(MIN(Inputs!$F$31,MAX(0,(J$2-Inputs!$F$36+1)*Inputs!$F$34))-MIN(Inputs!$F$31,MAX(0,(J$2-Inputs!$F$36)*Inputs!$F$34)))*Inputs!$F$35*Inputs!$H$11*(1+Inputs!$B$13)^(J$2-1)</f>
        <v>-0</v>
      </c>
      <c r="K64" s="23" t="n">
        <f aca="false">-(MIN(Inputs!$F$31,MAX(0,(K$2-Inputs!$F$36+1)*Inputs!$F$34))-MIN(Inputs!$F$31,MAX(0,(K$2-Inputs!$F$36)*Inputs!$F$34)))*Inputs!$F$35*Inputs!$H$11*(1+Inputs!$B$13)^(K$2-1)</f>
        <v>-0</v>
      </c>
      <c r="L64" s="23" t="n">
        <f aca="false">-(MIN(Inputs!$F$31,MAX(0,(L$2-Inputs!$F$36+1)*Inputs!$F$34))-MIN(Inputs!$F$31,MAX(0,(L$2-Inputs!$F$36)*Inputs!$F$34)))*Inputs!$F$35*Inputs!$H$11*(1+Inputs!$B$13)^(L$2-1)</f>
        <v>-0</v>
      </c>
      <c r="M64" s="23" t="n">
        <f aca="false">-(MIN(Inputs!$F$31,MAX(0,(M$2-Inputs!$F$36+1)*Inputs!$F$34))-MIN(Inputs!$F$31,MAX(0,(M$2-Inputs!$F$36)*Inputs!$F$34)))*Inputs!$F$35*Inputs!$H$11*(1+Inputs!$B$13)^(M$2-1)</f>
        <v>-0</v>
      </c>
      <c r="N64" s="23" t="n">
        <f aca="false">-(MIN(Inputs!$F$31,MAX(0,(N$2-Inputs!$F$36+1)*Inputs!$F$34))-MIN(Inputs!$F$31,MAX(0,(N$2-Inputs!$F$36)*Inputs!$F$34)))*Inputs!$F$35*Inputs!$H$11*(1+Inputs!$B$13)^(N$2-1)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0"/>
    <col collapsed="false" customWidth="true" hidden="false" outlineLevel="0" max="14" min="3" style="1" width="12"/>
  </cols>
  <sheetData>
    <row r="1" customFormat="false" ht="15" hidden="false" customHeight="true" outlineLevel="0" collapsed="false">
      <c r="A1" s="4" t="s">
        <v>149</v>
      </c>
    </row>
    <row r="2" customFormat="false" ht="15" hidden="false" customHeight="true" outlineLevel="0" collapsed="false">
      <c r="B2" s="1" t="s">
        <v>95</v>
      </c>
      <c r="C2" s="30" t="n">
        <f aca="false">Inputs!$B$55</f>
        <v>885275.30944506</v>
      </c>
    </row>
    <row r="3" customFormat="false" ht="15" hidden="false" customHeight="true" outlineLevel="0" collapsed="false">
      <c r="B3" s="1" t="s">
        <v>96</v>
      </c>
      <c r="C3" s="30" t="n">
        <f aca="false">Inputs!$B$56</f>
        <v>98363.9232716733</v>
      </c>
    </row>
    <row r="5" customFormat="false" ht="15" hidden="false" customHeight="true" outlineLevel="0" collapsed="false">
      <c r="B5" s="4" t="s">
        <v>99</v>
      </c>
      <c r="C5" s="4" t="n">
        <f aca="false">'Annual CF'!C2</f>
        <v>0</v>
      </c>
      <c r="D5" s="4" t="n">
        <f aca="false">'Annual CF'!D2</f>
        <v>1</v>
      </c>
      <c r="E5" s="4" t="n">
        <f aca="false">'Annual CF'!E2</f>
        <v>2</v>
      </c>
      <c r="F5" s="4" t="n">
        <f aca="false">'Annual CF'!F2</f>
        <v>3</v>
      </c>
      <c r="G5" s="4" t="n">
        <f aca="false">'Annual CF'!G2</f>
        <v>4</v>
      </c>
      <c r="H5" s="4" t="n">
        <f aca="false">'Annual CF'!H2</f>
        <v>5</v>
      </c>
      <c r="I5" s="4" t="n">
        <f aca="false">'Annual CF'!I2</f>
        <v>6</v>
      </c>
      <c r="J5" s="4" t="n">
        <f aca="false">'Annual CF'!J2</f>
        <v>7</v>
      </c>
      <c r="K5" s="4" t="n">
        <f aca="false">'Annual CF'!K2</f>
        <v>8</v>
      </c>
      <c r="L5" s="4" t="n">
        <f aca="false">'Annual CF'!L2</f>
        <v>9</v>
      </c>
      <c r="M5" s="4" t="n">
        <f aca="false">'Annual CF'!M2</f>
        <v>10</v>
      </c>
      <c r="N5" s="4" t="n">
        <f aca="false">'Annual CF'!N2</f>
        <v>11</v>
      </c>
    </row>
    <row r="6" customFormat="false" ht="15" hidden="false" customHeight="true" outlineLevel="0" collapsed="false">
      <c r="B6" s="4" t="s">
        <v>150</v>
      </c>
      <c r="D6" s="19" t="n">
        <f aca="false">'Annual CF'!D51</f>
        <v>40166.6030769232</v>
      </c>
      <c r="E6" s="19" t="n">
        <f aca="false">'Annual CF'!E51</f>
        <v>43750.5086769232</v>
      </c>
      <c r="F6" s="19" t="n">
        <f aca="false">'Annual CF'!F51</f>
        <v>47388.6623889232</v>
      </c>
      <c r="G6" s="19" t="n">
        <f aca="false">'Annual CF'!G51</f>
        <v>51081.7134251633</v>
      </c>
      <c r="H6" s="19" t="n">
        <f aca="false">'Annual CF'!H51</f>
        <v>1120041.86808044</v>
      </c>
      <c r="I6" s="19" t="n">
        <f aca="false">'Annual CF'!I51</f>
        <v>0</v>
      </c>
      <c r="J6" s="19" t="n">
        <f aca="false">'Annual CF'!J51</f>
        <v>0</v>
      </c>
      <c r="K6" s="19" t="n">
        <f aca="false">'Annual CF'!K51</f>
        <v>0</v>
      </c>
      <c r="L6" s="19" t="n">
        <f aca="false">'Annual CF'!L51</f>
        <v>0</v>
      </c>
      <c r="M6" s="19" t="n">
        <f aca="false">'Annual CF'!M51</f>
        <v>0</v>
      </c>
      <c r="N6" s="19" t="n">
        <f aca="false">'Annual CF'!N51</f>
        <v>0</v>
      </c>
    </row>
    <row r="8" customFormat="false" ht="15" hidden="false" customHeight="true" outlineLevel="0" collapsed="false">
      <c r="B8" s="4" t="s">
        <v>151</v>
      </c>
    </row>
    <row r="9" customFormat="false" ht="15" hidden="false" customHeight="true" outlineLevel="0" collapsed="false">
      <c r="B9" s="1" t="s">
        <v>152</v>
      </c>
      <c r="D9" s="12" t="n">
        <f aca="false">IF(D$5=1,0,C12)</f>
        <v>0</v>
      </c>
      <c r="E9" s="12" t="n">
        <f aca="false">IF(E$5=1,0,D12)</f>
        <v>30655.4216786816</v>
      </c>
      <c r="F9" s="12" t="n">
        <f aca="false">IF(F$5=1,0,E12)</f>
        <v>57726.9377573631</v>
      </c>
      <c r="G9" s="12" t="n">
        <f aca="false">IF(G$5=1,0,F12)</f>
        <v>81160.3001240447</v>
      </c>
      <c r="H9" s="12" t="n">
        <f aca="false">IF(H$5=1,0,G12)</f>
        <v>100900.611454486</v>
      </c>
      <c r="I9" s="12" t="n">
        <f aca="false">IF(I$5=1,0,H12)</f>
        <v>0</v>
      </c>
      <c r="J9" s="12" t="n">
        <f aca="false">IF(J$5=1,0,I12)</f>
        <v>0</v>
      </c>
      <c r="K9" s="12" t="n">
        <f aca="false">IF(K$5=1,0,J12)</f>
        <v>0</v>
      </c>
      <c r="L9" s="12" t="n">
        <f aca="false">IF(L$5=1,0,K12)</f>
        <v>0</v>
      </c>
      <c r="M9" s="12" t="n">
        <f aca="false">IF(M$5=1,0,L12)</f>
        <v>0</v>
      </c>
      <c r="N9" s="12" t="n">
        <f aca="false">IF(N$5=1,0,M12)</f>
        <v>0</v>
      </c>
    </row>
    <row r="10" customFormat="false" ht="15" hidden="false" customHeight="true" outlineLevel="0" collapsed="false">
      <c r="B10" s="1" t="s">
        <v>153</v>
      </c>
      <c r="D10" s="12" t="n">
        <f aca="false">IF(D$5&lt;=Inputs!$B$40,D15*Inputs!$B$47,0)</f>
        <v>70822.0247556048</v>
      </c>
      <c r="E10" s="12" t="n">
        <f aca="false">IF(E$5&lt;=Inputs!$B$40,E15*Inputs!$B$47,0)</f>
        <v>70822.0247556048</v>
      </c>
      <c r="F10" s="12" t="n">
        <f aca="false">IF(F$5&lt;=Inputs!$B$40,F15*Inputs!$B$47,0)</f>
        <v>70822.0247556048</v>
      </c>
      <c r="G10" s="12" t="n">
        <f aca="false">IF(G$5&lt;=Inputs!$B$40,G15*Inputs!$B$47,0)</f>
        <v>70822.0247556048</v>
      </c>
      <c r="H10" s="12" t="n">
        <f aca="false">IF(H$5&lt;=Inputs!$B$40,H15*Inputs!$B$47,0)</f>
        <v>70822.0247556048</v>
      </c>
      <c r="I10" s="12" t="n">
        <f aca="false">IF(I$5&lt;=Inputs!$B$40,I15*Inputs!$B$47,0)</f>
        <v>0</v>
      </c>
      <c r="J10" s="12" t="n">
        <f aca="false">IF(J$5&lt;=Inputs!$B$40,J15*Inputs!$B$47,0)</f>
        <v>0</v>
      </c>
      <c r="K10" s="12" t="n">
        <f aca="false">IF(K$5&lt;=Inputs!$B$40,K15*Inputs!$B$47,0)</f>
        <v>0</v>
      </c>
      <c r="L10" s="12" t="n">
        <f aca="false">IF(L$5&lt;=Inputs!$B$40,L15*Inputs!$B$47,0)</f>
        <v>0</v>
      </c>
      <c r="M10" s="12" t="n">
        <f aca="false">IF(M$5&lt;=Inputs!$B$40,M15*Inputs!$B$47,0)</f>
        <v>0</v>
      </c>
      <c r="N10" s="12" t="n">
        <f aca="false">IF(N$5&lt;=Inputs!$B$40,N15*Inputs!$B$47,0)</f>
        <v>0</v>
      </c>
    </row>
    <row r="11" customFormat="false" ht="15" hidden="false" customHeight="true" outlineLevel="0" collapsed="false">
      <c r="B11" s="1" t="s">
        <v>154</v>
      </c>
      <c r="D11" s="12" t="n">
        <f aca="false">MIN(MAX(D6,0),D9+D10)</f>
        <v>40166.6030769232</v>
      </c>
      <c r="E11" s="12" t="n">
        <f aca="false">MIN(MAX(E6,0),E9+E10)</f>
        <v>43750.5086769232</v>
      </c>
      <c r="F11" s="12" t="n">
        <f aca="false">MIN(MAX(F6,0),F9+F10)</f>
        <v>47388.6623889232</v>
      </c>
      <c r="G11" s="12" t="n">
        <f aca="false">MIN(MAX(G6,0),G9+G10)</f>
        <v>51081.7134251633</v>
      </c>
      <c r="H11" s="12" t="n">
        <f aca="false">MIN(MAX(H6,0),H9+H10)</f>
        <v>171722.636210091</v>
      </c>
      <c r="I11" s="12" t="n">
        <f aca="false">MIN(MAX(I6,0),I9+I10)</f>
        <v>0</v>
      </c>
      <c r="J11" s="12" t="n">
        <f aca="false">MIN(MAX(J6,0),J9+J10)</f>
        <v>0</v>
      </c>
      <c r="K11" s="12" t="n">
        <f aca="false">MIN(MAX(K6,0),K9+K10)</f>
        <v>0</v>
      </c>
      <c r="L11" s="12" t="n">
        <f aca="false">MIN(MAX(L6,0),L9+L10)</f>
        <v>0</v>
      </c>
      <c r="M11" s="12" t="n">
        <f aca="false">MIN(MAX(M6,0),M9+M10)</f>
        <v>0</v>
      </c>
      <c r="N11" s="12" t="n">
        <f aca="false">MIN(MAX(N6,0),N9+N10)</f>
        <v>0</v>
      </c>
    </row>
    <row r="12" customFormat="false" ht="15" hidden="false" customHeight="true" outlineLevel="0" collapsed="false">
      <c r="B12" s="1" t="s">
        <v>155</v>
      </c>
      <c r="D12" s="12" t="n">
        <f aca="false">D9+D10-D11</f>
        <v>30655.4216786816</v>
      </c>
      <c r="E12" s="12" t="n">
        <f aca="false">E9+E10-E11</f>
        <v>57726.9377573631</v>
      </c>
      <c r="F12" s="12" t="n">
        <f aca="false">F9+F10-F11</f>
        <v>81160.3001240447</v>
      </c>
      <c r="G12" s="12" t="n">
        <f aca="false">G9+G10-G11</f>
        <v>100900.611454486</v>
      </c>
      <c r="H12" s="12" t="n">
        <f aca="false">H9+H10-H11</f>
        <v>0</v>
      </c>
      <c r="I12" s="12" t="n">
        <f aca="false">I9+I10-I11</f>
        <v>0</v>
      </c>
      <c r="J12" s="12" t="n">
        <f aca="false">J9+J10-J11</f>
        <v>0</v>
      </c>
      <c r="K12" s="12" t="n">
        <f aca="false">K9+K10-K11</f>
        <v>0</v>
      </c>
      <c r="L12" s="12" t="n">
        <f aca="false">L9+L10-L11</f>
        <v>0</v>
      </c>
      <c r="M12" s="12" t="n">
        <f aca="false">M9+M10-M11</f>
        <v>0</v>
      </c>
      <c r="N12" s="12" t="n">
        <f aca="false">N9+N10-N11</f>
        <v>0</v>
      </c>
    </row>
    <row r="14" customFormat="false" ht="15" hidden="false" customHeight="true" outlineLevel="0" collapsed="false">
      <c r="B14" s="4" t="s">
        <v>156</v>
      </c>
    </row>
    <row r="15" customFormat="false" ht="15" hidden="false" customHeight="true" outlineLevel="0" collapsed="false">
      <c r="B15" s="1" t="s">
        <v>157</v>
      </c>
      <c r="D15" s="12" t="n">
        <f aca="false">IF(D$5=1,$C$2,C17)</f>
        <v>885275.30944506</v>
      </c>
      <c r="E15" s="12" t="n">
        <f aca="false">IF(E$5=1,$C$2,D17)</f>
        <v>885275.30944506</v>
      </c>
      <c r="F15" s="12" t="n">
        <f aca="false">IF(F$5=1,$C$2,E17)</f>
        <v>885275.30944506</v>
      </c>
      <c r="G15" s="12" t="n">
        <f aca="false">IF(G$5=1,$C$2,F17)</f>
        <v>885275.30944506</v>
      </c>
      <c r="H15" s="12" t="n">
        <f aca="false">IF(H$5=1,$C$2,G17)</f>
        <v>885275.30944506</v>
      </c>
      <c r="I15" s="12" t="n">
        <f aca="false">IF(I$5=1,$C$2,H17)</f>
        <v>0</v>
      </c>
      <c r="J15" s="12" t="n">
        <f aca="false">IF(J$5=1,$C$2,I17)</f>
        <v>0</v>
      </c>
      <c r="K15" s="12" t="n">
        <f aca="false">IF(K$5=1,$C$2,J17)</f>
        <v>0</v>
      </c>
      <c r="L15" s="12" t="n">
        <f aca="false">IF(L$5=1,$C$2,K17)</f>
        <v>0</v>
      </c>
      <c r="M15" s="12" t="n">
        <f aca="false">IF(M$5=1,$C$2,L17)</f>
        <v>0</v>
      </c>
      <c r="N15" s="12" t="n">
        <f aca="false">IF(N$5=1,$C$2,M17)</f>
        <v>0</v>
      </c>
    </row>
    <row r="16" customFormat="false" ht="15" hidden="false" customHeight="true" outlineLevel="0" collapsed="false">
      <c r="B16" s="1" t="s">
        <v>158</v>
      </c>
      <c r="D16" s="12" t="n">
        <f aca="false">MIN(MAX(D6-D11,0),D15)</f>
        <v>0</v>
      </c>
      <c r="E16" s="12" t="n">
        <f aca="false">MIN(MAX(E6-E11,0),E15)</f>
        <v>0</v>
      </c>
      <c r="F16" s="12" t="n">
        <f aca="false">MIN(MAX(F6-F11,0),F15)</f>
        <v>0</v>
      </c>
      <c r="G16" s="12" t="n">
        <f aca="false">MIN(MAX(G6-G11,0),G15)</f>
        <v>0</v>
      </c>
      <c r="H16" s="12" t="n">
        <f aca="false">MIN(MAX(H6-H11,0),H15)</f>
        <v>885275.30944506</v>
      </c>
      <c r="I16" s="12" t="n">
        <f aca="false">MIN(MAX(I6-I11,0),I15)</f>
        <v>0</v>
      </c>
      <c r="J16" s="12" t="n">
        <f aca="false">MIN(MAX(J6-J11,0),J15)</f>
        <v>0</v>
      </c>
      <c r="K16" s="12" t="n">
        <f aca="false">MIN(MAX(K6-K11,0),K15)</f>
        <v>0</v>
      </c>
      <c r="L16" s="12" t="n">
        <f aca="false">MIN(MAX(L6-L11,0),L15)</f>
        <v>0</v>
      </c>
      <c r="M16" s="12" t="n">
        <f aca="false">MIN(MAX(M6-M11,0),M15)</f>
        <v>0</v>
      </c>
      <c r="N16" s="12" t="n">
        <f aca="false">MIN(MAX(N6-N11,0),N15)</f>
        <v>0</v>
      </c>
    </row>
    <row r="17" customFormat="false" ht="15" hidden="false" customHeight="true" outlineLevel="0" collapsed="false">
      <c r="B17" s="1" t="s">
        <v>159</v>
      </c>
      <c r="D17" s="12" t="n">
        <f aca="false">D15-D16</f>
        <v>885275.30944506</v>
      </c>
      <c r="E17" s="12" t="n">
        <f aca="false">E15-E16</f>
        <v>885275.30944506</v>
      </c>
      <c r="F17" s="12" t="n">
        <f aca="false">F15-F16</f>
        <v>885275.30944506</v>
      </c>
      <c r="G17" s="12" t="n">
        <f aca="false">G15-G16</f>
        <v>885275.30944506</v>
      </c>
      <c r="H17" s="12" t="n">
        <f aca="false">H15-H16</f>
        <v>0</v>
      </c>
      <c r="I17" s="12" t="n">
        <f aca="false">I15-I16</f>
        <v>0</v>
      </c>
      <c r="J17" s="12" t="n">
        <f aca="false">J15-J16</f>
        <v>0</v>
      </c>
      <c r="K17" s="12" t="n">
        <f aca="false">K15-K16</f>
        <v>0</v>
      </c>
      <c r="L17" s="12" t="n">
        <f aca="false">L15-L16</f>
        <v>0</v>
      </c>
      <c r="M17" s="12" t="n">
        <f aca="false">M15-M16</f>
        <v>0</v>
      </c>
      <c r="N17" s="12" t="n">
        <f aca="false">N15-N16</f>
        <v>0</v>
      </c>
    </row>
    <row r="18" customFormat="false" ht="15" hidden="false" customHeight="true" outlineLevel="0" collapsed="false">
      <c r="B18" s="1" t="s">
        <v>160</v>
      </c>
      <c r="D18" s="12" t="n">
        <f aca="false">IF(D$5=1,$C$3,C20)</f>
        <v>98363.9232716733</v>
      </c>
      <c r="E18" s="12" t="n">
        <f aca="false">IF(E$5=1,$C$3,D20)</f>
        <v>98363.9232716733</v>
      </c>
      <c r="F18" s="12" t="n">
        <f aca="false">IF(F$5=1,$C$3,E20)</f>
        <v>98363.9232716733</v>
      </c>
      <c r="G18" s="12" t="n">
        <f aca="false">IF(G$5=1,$C$3,F20)</f>
        <v>98363.9232716733</v>
      </c>
      <c r="H18" s="12" t="n">
        <f aca="false">IF(H$5=1,$C$3,G20)</f>
        <v>98363.9232716733</v>
      </c>
      <c r="I18" s="12" t="n">
        <f aca="false">IF(I$5=1,$C$3,H20)</f>
        <v>35320.0008463846</v>
      </c>
      <c r="J18" s="12" t="n">
        <f aca="false">IF(J$5=1,$C$3,I20)</f>
        <v>35320.0008463846</v>
      </c>
      <c r="K18" s="12" t="n">
        <f aca="false">IF(K$5=1,$C$3,J20)</f>
        <v>35320.0008463846</v>
      </c>
      <c r="L18" s="12" t="n">
        <f aca="false">IF(L$5=1,$C$3,K20)</f>
        <v>35320.0008463846</v>
      </c>
      <c r="M18" s="12" t="n">
        <f aca="false">IF(M$5=1,$C$3,L20)</f>
        <v>35320.0008463846</v>
      </c>
      <c r="N18" s="12" t="n">
        <f aca="false">IF(N$5=1,$C$3,M20)</f>
        <v>35320.0008463846</v>
      </c>
    </row>
    <row r="19" customFormat="false" ht="15" hidden="false" customHeight="true" outlineLevel="0" collapsed="false">
      <c r="B19" s="1" t="s">
        <v>161</v>
      </c>
      <c r="D19" s="12" t="n">
        <f aca="false">MIN(MAX(D6-D11-D16,0),D18)</f>
        <v>0</v>
      </c>
      <c r="E19" s="12" t="n">
        <f aca="false">MIN(MAX(E6-E11-E16,0),E18)</f>
        <v>0</v>
      </c>
      <c r="F19" s="12" t="n">
        <f aca="false">MIN(MAX(F6-F11-F16,0),F18)</f>
        <v>0</v>
      </c>
      <c r="G19" s="12" t="n">
        <f aca="false">MIN(MAX(G6-G11-G16,0),G18)</f>
        <v>0</v>
      </c>
      <c r="H19" s="12" t="n">
        <f aca="false">MIN(MAX(H6-H11-H16,0),H18)</f>
        <v>63043.9224252887</v>
      </c>
      <c r="I19" s="12" t="n">
        <f aca="false">MIN(MAX(I6-I11-I16,0),I18)</f>
        <v>0</v>
      </c>
      <c r="J19" s="12" t="n">
        <f aca="false">MIN(MAX(J6-J11-J16,0),J18)</f>
        <v>0</v>
      </c>
      <c r="K19" s="12" t="n">
        <f aca="false">MIN(MAX(K6-K11-K16,0),K18)</f>
        <v>0</v>
      </c>
      <c r="L19" s="12" t="n">
        <f aca="false">MIN(MAX(L6-L11-L16,0),L18)</f>
        <v>0</v>
      </c>
      <c r="M19" s="12" t="n">
        <f aca="false">MIN(MAX(M6-M11-M16,0),M18)</f>
        <v>0</v>
      </c>
      <c r="N19" s="12" t="n">
        <f aca="false">MIN(MAX(N6-N11-N16,0),N18)</f>
        <v>0</v>
      </c>
    </row>
    <row r="20" customFormat="false" ht="15" hidden="false" customHeight="true" outlineLevel="0" collapsed="false">
      <c r="B20" s="1" t="s">
        <v>162</v>
      </c>
      <c r="D20" s="12" t="n">
        <f aca="false">D18-D19</f>
        <v>98363.9232716733</v>
      </c>
      <c r="E20" s="12" t="n">
        <f aca="false">E18-E19</f>
        <v>98363.9232716733</v>
      </c>
      <c r="F20" s="12" t="n">
        <f aca="false">F18-F19</f>
        <v>98363.9232716733</v>
      </c>
      <c r="G20" s="12" t="n">
        <f aca="false">G18-G19</f>
        <v>98363.9232716733</v>
      </c>
      <c r="H20" s="12" t="n">
        <f aca="false">H18-H19</f>
        <v>35320.0008463846</v>
      </c>
      <c r="I20" s="12" t="n">
        <f aca="false">I18-I19</f>
        <v>35320.0008463846</v>
      </c>
      <c r="J20" s="12" t="n">
        <f aca="false">J18-J19</f>
        <v>35320.0008463846</v>
      </c>
      <c r="K20" s="12" t="n">
        <f aca="false">K18-K19</f>
        <v>35320.0008463846</v>
      </c>
      <c r="L20" s="12" t="n">
        <f aca="false">L18-L19</f>
        <v>35320.0008463846</v>
      </c>
      <c r="M20" s="12" t="n">
        <f aca="false">M18-M19</f>
        <v>35320.0008463846</v>
      </c>
      <c r="N20" s="12" t="n">
        <f aca="false">N18-N19</f>
        <v>35320.0008463846</v>
      </c>
    </row>
    <row r="22" customFormat="false" ht="15" hidden="false" customHeight="true" outlineLevel="0" collapsed="false">
      <c r="B22" s="4" t="s">
        <v>163</v>
      </c>
    </row>
    <row r="23" customFormat="false" ht="15" hidden="false" customHeight="true" outlineLevel="0" collapsed="false">
      <c r="B23" s="1" t="s">
        <v>164</v>
      </c>
      <c r="D23" s="12" t="n">
        <f aca="false">MAX(D6-D11-D16-D19,0)</f>
        <v>0</v>
      </c>
      <c r="E23" s="12" t="n">
        <f aca="false">MAX(E6-E11-E16-E19,0)</f>
        <v>0</v>
      </c>
      <c r="F23" s="12" t="n">
        <f aca="false">MAX(F6-F11-F16-F19,0)</f>
        <v>0</v>
      </c>
      <c r="G23" s="12" t="n">
        <f aca="false">MAX(G6-G11-G16-G19,0)</f>
        <v>0</v>
      </c>
      <c r="H23" s="12" t="n">
        <f aca="false">MAX(H6-H11-H16-H19,0)</f>
        <v>0</v>
      </c>
      <c r="I23" s="12" t="n">
        <f aca="false">MAX(I6-I11-I16-I19,0)</f>
        <v>0</v>
      </c>
      <c r="J23" s="12" t="n">
        <f aca="false">MAX(J6-J11-J16-J19,0)</f>
        <v>0</v>
      </c>
      <c r="K23" s="12" t="n">
        <f aca="false">MAX(K6-K11-K16-K19,0)</f>
        <v>0</v>
      </c>
      <c r="L23" s="12" t="n">
        <f aca="false">MAX(L6-L11-L16-L19,0)</f>
        <v>0</v>
      </c>
      <c r="M23" s="12" t="n">
        <f aca="false">MAX(M6-M11-M16-M19,0)</f>
        <v>0</v>
      </c>
      <c r="N23" s="12" t="n">
        <f aca="false">MAX(N6-N11-N16-N19,0)</f>
        <v>0</v>
      </c>
    </row>
    <row r="24" customFormat="false" ht="15" hidden="false" customHeight="true" outlineLevel="0" collapsed="false">
      <c r="B24" s="1" t="s">
        <v>165</v>
      </c>
      <c r="D24" s="12" t="n">
        <f aca="false">D23*Inputs!$B$48</f>
        <v>0</v>
      </c>
      <c r="E24" s="12" t="n">
        <f aca="false">E23*Inputs!$B$48</f>
        <v>0</v>
      </c>
      <c r="F24" s="12" t="n">
        <f aca="false">F23*Inputs!$B$48</f>
        <v>0</v>
      </c>
      <c r="G24" s="12" t="n">
        <f aca="false">G23*Inputs!$B$48</f>
        <v>0</v>
      </c>
      <c r="H24" s="12" t="n">
        <f aca="false">H23*Inputs!$B$48</f>
        <v>0</v>
      </c>
      <c r="I24" s="12" t="n">
        <f aca="false">I23*Inputs!$B$48</f>
        <v>0</v>
      </c>
      <c r="J24" s="12" t="n">
        <f aca="false">J23*Inputs!$B$48</f>
        <v>0</v>
      </c>
      <c r="K24" s="12" t="n">
        <f aca="false">K23*Inputs!$B$48</f>
        <v>0</v>
      </c>
      <c r="L24" s="12" t="n">
        <f aca="false">L23*Inputs!$B$48</f>
        <v>0</v>
      </c>
      <c r="M24" s="12" t="n">
        <f aca="false">M23*Inputs!$B$48</f>
        <v>0</v>
      </c>
      <c r="N24" s="12" t="n">
        <f aca="false">N23*Inputs!$B$48</f>
        <v>0</v>
      </c>
    </row>
    <row r="25" customFormat="false" ht="15" hidden="false" customHeight="true" outlineLevel="0" collapsed="false">
      <c r="B25" s="1" t="s">
        <v>166</v>
      </c>
      <c r="D25" s="12" t="n">
        <f aca="false">D23*Inputs!$B$49</f>
        <v>0</v>
      </c>
      <c r="E25" s="12" t="n">
        <f aca="false">E23*Inputs!$B$49</f>
        <v>0</v>
      </c>
      <c r="F25" s="12" t="n">
        <f aca="false">F23*Inputs!$B$49</f>
        <v>0</v>
      </c>
      <c r="G25" s="12" t="n">
        <f aca="false">G23*Inputs!$B$49</f>
        <v>0</v>
      </c>
      <c r="H25" s="12" t="n">
        <f aca="false">H23*Inputs!$B$49</f>
        <v>0</v>
      </c>
      <c r="I25" s="12" t="n">
        <f aca="false">I23*Inputs!$B$49</f>
        <v>0</v>
      </c>
      <c r="J25" s="12" t="n">
        <f aca="false">J23*Inputs!$B$49</f>
        <v>0</v>
      </c>
      <c r="K25" s="12" t="n">
        <f aca="false">K23*Inputs!$B$49</f>
        <v>0</v>
      </c>
      <c r="L25" s="12" t="n">
        <f aca="false">L23*Inputs!$B$49</f>
        <v>0</v>
      </c>
      <c r="M25" s="12" t="n">
        <f aca="false">M23*Inputs!$B$49</f>
        <v>0</v>
      </c>
      <c r="N25" s="12" t="n">
        <f aca="false">N23*Inputs!$B$49</f>
        <v>0</v>
      </c>
    </row>
    <row r="27" customFormat="false" ht="15" hidden="false" customHeight="true" outlineLevel="0" collapsed="false">
      <c r="B27" s="4" t="s">
        <v>167</v>
      </c>
      <c r="C27" s="12" t="n">
        <f aca="false">-$C$2</f>
        <v>-885275.30944506</v>
      </c>
      <c r="D27" s="12" t="n">
        <f aca="false">D11+D16+D24</f>
        <v>40166.6030769232</v>
      </c>
      <c r="E27" s="12" t="n">
        <f aca="false">E11+E16+E24</f>
        <v>43750.5086769232</v>
      </c>
      <c r="F27" s="12" t="n">
        <f aca="false">F11+F16+F24</f>
        <v>47388.6623889232</v>
      </c>
      <c r="G27" s="12" t="n">
        <f aca="false">G11+G16+G24</f>
        <v>51081.7134251633</v>
      </c>
      <c r="H27" s="12" t="n">
        <f aca="false">H11+H16+H24</f>
        <v>1056997.94565515</v>
      </c>
      <c r="I27" s="12" t="n">
        <f aca="false">I11+I16+I24</f>
        <v>0</v>
      </c>
      <c r="J27" s="12" t="n">
        <f aca="false">J11+J16+J24</f>
        <v>0</v>
      </c>
      <c r="K27" s="12" t="n">
        <f aca="false">K11+K16+K24</f>
        <v>0</v>
      </c>
      <c r="L27" s="12" t="n">
        <f aca="false">L11+L16+L24</f>
        <v>0</v>
      </c>
      <c r="M27" s="12" t="n">
        <f aca="false">M11+M16+M24</f>
        <v>0</v>
      </c>
      <c r="N27" s="12" t="n">
        <f aca="false">N11+N16+N24</f>
        <v>0</v>
      </c>
    </row>
    <row r="28" customFormat="false" ht="15" hidden="false" customHeight="true" outlineLevel="0" collapsed="false">
      <c r="B28" s="4" t="s">
        <v>168</v>
      </c>
      <c r="C28" s="12" t="n">
        <f aca="false">-$C$3</f>
        <v>-98363.9232716733</v>
      </c>
      <c r="D28" s="12" t="n">
        <f aca="false">D19+D25</f>
        <v>0</v>
      </c>
      <c r="E28" s="12" t="n">
        <f aca="false">E19+E25</f>
        <v>0</v>
      </c>
      <c r="F28" s="12" t="n">
        <f aca="false">F19+F25</f>
        <v>0</v>
      </c>
      <c r="G28" s="12" t="n">
        <f aca="false">G19+G25</f>
        <v>0</v>
      </c>
      <c r="H28" s="12" t="n">
        <f aca="false">H19+H25</f>
        <v>63043.9224252887</v>
      </c>
      <c r="I28" s="12" t="n">
        <f aca="false">I19+I25</f>
        <v>0</v>
      </c>
      <c r="J28" s="12" t="n">
        <f aca="false">J19+J25</f>
        <v>0</v>
      </c>
      <c r="K28" s="12" t="n">
        <f aca="false">K19+K25</f>
        <v>0</v>
      </c>
      <c r="L28" s="12" t="n">
        <f aca="false">L19+L25</f>
        <v>0</v>
      </c>
      <c r="M28" s="12" t="n">
        <f aca="false">M19+M25</f>
        <v>0</v>
      </c>
      <c r="N28" s="12" t="n">
        <f aca="false">N19+N25</f>
        <v>0</v>
      </c>
    </row>
    <row r="30" customFormat="false" ht="15" hidden="false" customHeight="true" outlineLevel="0" collapsed="false">
      <c r="B30" s="1" t="s">
        <v>169</v>
      </c>
      <c r="C30" s="26" t="n">
        <f aca="false">IFERROR(IRR(C27:N27,0.1),"")</f>
        <v>0.0756906663857846</v>
      </c>
    </row>
    <row r="31" customFormat="false" ht="15" hidden="false" customHeight="true" outlineLevel="0" collapsed="false">
      <c r="B31" s="1" t="s">
        <v>170</v>
      </c>
      <c r="C31" s="27" t="n">
        <f aca="false">IFERROR(1+SUM(C27:N27)/$C$2,"")</f>
        <v>1.4</v>
      </c>
    </row>
    <row r="32" customFormat="false" ht="15" hidden="false" customHeight="true" outlineLevel="0" collapsed="false">
      <c r="B32" s="1" t="s">
        <v>171</v>
      </c>
      <c r="C32" s="12" t="n">
        <f aca="false">SUM(C27:N27)</f>
        <v>354110.123778024</v>
      </c>
    </row>
    <row r="33" customFormat="false" ht="15" hidden="false" customHeight="true" outlineLevel="0" collapsed="false">
      <c r="B33" s="1" t="s">
        <v>172</v>
      </c>
      <c r="C33" s="21" t="n">
        <f aca="false">IFERROR(IRR(C28:N28,0.1),"")</f>
        <v>-0.085125597098968</v>
      </c>
    </row>
    <row r="34" customFormat="false" ht="15" hidden="false" customHeight="true" outlineLevel="0" collapsed="false">
      <c r="B34" s="1" t="s">
        <v>173</v>
      </c>
      <c r="C34" s="27" t="n">
        <f aca="false">IFERROR(1+SUM(C28:N28)/$C$3,"")</f>
        <v>0.640925253165904</v>
      </c>
    </row>
    <row r="35" customFormat="false" ht="15" hidden="false" customHeight="true" outlineLevel="0" collapsed="false">
      <c r="B35" s="1" t="s">
        <v>174</v>
      </c>
      <c r="C35" s="12" t="n">
        <f aca="false">SUM(C28:N28)</f>
        <v>-35320.0008463846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14"/>
  </cols>
  <sheetData>
    <row r="1" customFormat="false" ht="15" hidden="false" customHeight="true" outlineLevel="0" collapsed="false">
      <c r="A1" s="4" t="s">
        <v>175</v>
      </c>
    </row>
    <row r="3" customFormat="false" ht="15" hidden="false" customHeight="true" outlineLevel="0" collapsed="false">
      <c r="A3" s="1" t="s">
        <v>176</v>
      </c>
      <c r="B3" s="12" t="n">
        <f aca="false">INDEX('Annual CF'!C25:N25,MATCH(Inputs!$B$40+1,'Annual CF'!C2:N2,0))</f>
        <v>246100.690019028</v>
      </c>
    </row>
    <row r="4" customFormat="false" ht="15" hidden="false" customHeight="true" outlineLevel="0" collapsed="false">
      <c r="A4" s="1" t="s">
        <v>177</v>
      </c>
      <c r="B4" s="12" t="n">
        <f aca="false">INDEX('Annual CF'!C35:N35,MATCH(Inputs!$B$40,'Annual CF'!C2:N2,0))</f>
        <v>1905761.3052252</v>
      </c>
    </row>
    <row r="5" customFormat="false" ht="15" hidden="false" customHeight="true" outlineLevel="0" collapsed="false">
      <c r="A5" s="1" t="s">
        <v>178</v>
      </c>
      <c r="B5" s="12" t="n">
        <f aca="false">SUMIFS('Annual CF'!D37:N37,'Annual CF'!D2:N2,"&lt;="&amp;Inputs!$B$40)</f>
        <v>237217.800656311</v>
      </c>
    </row>
    <row r="6" customFormat="false" ht="15" hidden="false" customHeight="true" outlineLevel="0" collapsed="false">
      <c r="A6" s="1" t="s">
        <v>179</v>
      </c>
      <c r="B6" s="12" t="n">
        <f aca="false">Inputs!$B$54</f>
        <v>983639.232716733</v>
      </c>
    </row>
    <row r="8" customFormat="false" ht="15" hidden="false" customHeight="true" outlineLevel="0" collapsed="false">
      <c r="A8" s="6" t="s">
        <v>180</v>
      </c>
      <c r="B8" s="6" t="s">
        <v>181</v>
      </c>
      <c r="C8" s="6" t="s">
        <v>182</v>
      </c>
      <c r="D8" s="6" t="s">
        <v>142</v>
      </c>
      <c r="E8" s="6" t="s">
        <v>141</v>
      </c>
    </row>
    <row r="9" customFormat="false" ht="15" hidden="false" customHeight="true" outlineLevel="0" collapsed="false">
      <c r="A9" s="16" t="n">
        <v>0.05</v>
      </c>
      <c r="B9" s="12" t="n">
        <f aca="false">IFERROR($B$3/A9,0)</f>
        <v>4922013.80038055</v>
      </c>
      <c r="C9" s="12" t="n">
        <f aca="false">B9*(1-Inputs!$B$42)-$B$4</f>
        <v>2868592.08114394</v>
      </c>
      <c r="D9" s="12" t="n">
        <f aca="false">C9+$B$5-$B$6</f>
        <v>2122170.64908352</v>
      </c>
      <c r="E9" s="27" t="n">
        <f aca="false">IFERROR((C9+$B$5)/$B$6,0)</f>
        <v>3.15746848895225</v>
      </c>
    </row>
    <row r="10" customFormat="false" ht="15" hidden="false" customHeight="true" outlineLevel="0" collapsed="false">
      <c r="A10" s="16" t="n">
        <v>0.0525</v>
      </c>
      <c r="B10" s="12" t="n">
        <f aca="false">IFERROR($B$3/A10,0)</f>
        <v>4687632.19083862</v>
      </c>
      <c r="C10" s="12" t="n">
        <f aca="false">B10*(1-Inputs!$B$42)-$B$4</f>
        <v>2641241.91988827</v>
      </c>
      <c r="D10" s="12" t="n">
        <f aca="false">C10+$B$5-$B$6</f>
        <v>1894820.48782784</v>
      </c>
      <c r="E10" s="27" t="n">
        <f aca="false">IFERROR((C10+$B$5)/$B$6,0)</f>
        <v>2.92633683651932</v>
      </c>
    </row>
    <row r="11" customFormat="false" ht="15" hidden="false" customHeight="true" outlineLevel="0" collapsed="false">
      <c r="A11" s="16" t="n">
        <v>0.055</v>
      </c>
      <c r="B11" s="12" t="n">
        <f aca="false">IFERROR($B$3/A11,0)</f>
        <v>4474558.00034596</v>
      </c>
      <c r="C11" s="12" t="n">
        <f aca="false">B11*(1-Inputs!$B$42)-$B$4</f>
        <v>2434559.95511038</v>
      </c>
      <c r="D11" s="12" t="n">
        <f aca="false">C11+$B$5-$B$6</f>
        <v>1688138.52304996</v>
      </c>
      <c r="E11" s="27" t="n">
        <f aca="false">IFERROR((C11+$B$5)/$B$6,0)</f>
        <v>2.71621715248939</v>
      </c>
    </row>
    <row r="12" customFormat="false" ht="15" hidden="false" customHeight="true" outlineLevel="0" collapsed="false">
      <c r="A12" s="16" t="n">
        <v>0.0575</v>
      </c>
      <c r="B12" s="12" t="n">
        <f aca="false">IFERROR($B$3/A12,0)</f>
        <v>4280012.00033092</v>
      </c>
      <c r="C12" s="12" t="n">
        <f aca="false">B12*(1-Inputs!$B$42)-$B$4</f>
        <v>2245850.33509579</v>
      </c>
      <c r="D12" s="12" t="n">
        <f aca="false">C12+$B$5-$B$6</f>
        <v>1499428.90303537</v>
      </c>
      <c r="E12" s="27" t="n">
        <f aca="false">IFERROR((C12+$B$5)/$B$6,0)</f>
        <v>2.52436874533162</v>
      </c>
    </row>
    <row r="13" customFormat="false" ht="15" hidden="false" customHeight="true" outlineLevel="0" collapsed="false">
      <c r="A13" s="16" t="n">
        <v>0.06</v>
      </c>
      <c r="B13" s="12" t="n">
        <f aca="false">IFERROR($B$3/A13,0)</f>
        <v>4101678.1669838</v>
      </c>
      <c r="C13" s="12" t="n">
        <f aca="false">B13*(1-Inputs!$B$42)-$B$4</f>
        <v>2072866.51674908</v>
      </c>
      <c r="D13" s="12" t="n">
        <f aca="false">C13+$B$5-$B$6</f>
        <v>1326445.08468866</v>
      </c>
      <c r="E13" s="27" t="n">
        <f aca="false">IFERROR((C13+$B$5)/$B$6,0)</f>
        <v>2.34850770543701</v>
      </c>
    </row>
    <row r="14" customFormat="false" ht="15" hidden="false" customHeight="true" outlineLevel="0" collapsed="false">
      <c r="A14" s="16" t="n">
        <v>0.0625</v>
      </c>
      <c r="B14" s="12" t="n">
        <f aca="false">IFERROR($B$3/A14,0)</f>
        <v>3937611.04030444</v>
      </c>
      <c r="C14" s="12" t="n">
        <f aca="false">B14*(1-Inputs!$B$42)-$B$4</f>
        <v>1913721.40387011</v>
      </c>
      <c r="D14" s="12" t="n">
        <f aca="false">C14+$B$5-$B$6</f>
        <v>1167299.97180969</v>
      </c>
      <c r="E14" s="27" t="n">
        <f aca="false">IFERROR((C14+$B$5)/$B$6,0)</f>
        <v>2.18671554873396</v>
      </c>
    </row>
    <row r="15" customFormat="false" ht="15" hidden="false" customHeight="true" outlineLevel="0" collapsed="false">
      <c r="A15" s="16" t="n">
        <v>0.065</v>
      </c>
      <c r="B15" s="12" t="n">
        <f aca="false">IFERROR($B$3/A15,0)</f>
        <v>3786164.4618312</v>
      </c>
      <c r="C15" s="12" t="n">
        <f aca="false">B15*(1-Inputs!$B$42)-$B$4</f>
        <v>1766818.22275106</v>
      </c>
      <c r="D15" s="12" t="n">
        <f aca="false">C15+$B$5-$B$6</f>
        <v>1020396.79069064</v>
      </c>
      <c r="E15" s="27" t="n">
        <f aca="false">IFERROR((C15+$B$5)/$B$6,0)</f>
        <v>2.03736894254653</v>
      </c>
    </row>
    <row r="16" customFormat="false" ht="15" hidden="false" customHeight="true" outlineLevel="0" collapsed="false">
      <c r="A16" s="16" t="n">
        <v>0.0675</v>
      </c>
      <c r="B16" s="12" t="n">
        <f aca="false">IFERROR($B$3/A16,0)</f>
        <v>3645936.14843004</v>
      </c>
      <c r="C16" s="12" t="n">
        <f aca="false">B16*(1-Inputs!$B$42)-$B$4</f>
        <v>1630796.75875194</v>
      </c>
      <c r="D16" s="12" t="n">
        <f aca="false">C16+$B$5-$B$6</f>
        <v>884375.326691517</v>
      </c>
      <c r="E16" s="27" t="n">
        <f aca="false">IFERROR((C16+$B$5)/$B$6,0)</f>
        <v>1.89908504792854</v>
      </c>
    </row>
    <row r="17" customFormat="false" ht="15" hidden="false" customHeight="true" outlineLevel="0" collapsed="false">
      <c r="A17" s="16" t="n">
        <v>0.07</v>
      </c>
      <c r="B17" s="12" t="n">
        <f aca="false">IFERROR($B$3/A17,0)</f>
        <v>3515724.14312897</v>
      </c>
      <c r="C17" s="12" t="n">
        <f aca="false">B17*(1-Inputs!$B$42)-$B$4</f>
        <v>1504491.1136099</v>
      </c>
      <c r="D17" s="12" t="n">
        <f aca="false">C17+$B$5-$B$6</f>
        <v>758069.681549477</v>
      </c>
      <c r="E17" s="27" t="n">
        <f aca="false">IFERROR((C17+$B$5)/$B$6,0)</f>
        <v>1.77067857435469</v>
      </c>
    </row>
    <row r="18" customFormat="false" ht="15" hidden="false" customHeight="true" outlineLevel="0" collapsed="false">
      <c r="A18" s="16" t="n">
        <v>0.0725</v>
      </c>
      <c r="B18" s="12" t="n">
        <f aca="false">IFERROR($B$3/A18,0)</f>
        <v>3394492.27612452</v>
      </c>
      <c r="C18" s="12" t="n">
        <f aca="false">B18*(1-Inputs!$B$42)-$B$4</f>
        <v>1386896.20261559</v>
      </c>
      <c r="D18" s="12" t="n">
        <f aca="false">C18+$B$5-$B$6</f>
        <v>640474.770555164</v>
      </c>
      <c r="E18" s="27" t="n">
        <f aca="false">IFERROR((C18+$B$5)/$B$6,0)</f>
        <v>1.65112771964801</v>
      </c>
    </row>
    <row r="19" customFormat="false" ht="15" hidden="false" customHeight="true" outlineLevel="0" collapsed="false">
      <c r="A19" s="16" t="n">
        <v>0.075</v>
      </c>
      <c r="B19" s="12" t="n">
        <f aca="false">IFERROR($B$3/A19,0)</f>
        <v>3281342.53358704</v>
      </c>
      <c r="C19" s="12" t="n">
        <f aca="false">B19*(1-Inputs!$B$42)-$B$4</f>
        <v>1277140.95235423</v>
      </c>
      <c r="D19" s="12" t="n">
        <f aca="false">C19+$B$5-$B$6</f>
        <v>530719.520293804</v>
      </c>
      <c r="E19" s="27" t="n">
        <f aca="false">IFERROR((C19+$B$5)/$B$6,0)</f>
        <v>1.53954692192177</v>
      </c>
    </row>
    <row r="20" customFormat="false" ht="15" hidden="false" customHeight="true" outlineLevel="0" collapsed="false">
      <c r="A20" s="16" t="n">
        <v>0.0775</v>
      </c>
      <c r="B20" s="12" t="n">
        <f aca="false">IFERROR($B$3/A20,0)</f>
        <v>3175492.77443907</v>
      </c>
      <c r="C20" s="12" t="n">
        <f aca="false">B20*(1-Inputs!$B$42)-$B$4</f>
        <v>1174466.6859807</v>
      </c>
      <c r="D20" s="12" t="n">
        <f aca="false">C20+$B$5-$B$6</f>
        <v>428045.253920274</v>
      </c>
      <c r="E20" s="27" t="n">
        <f aca="false">IFERROR((C20+$B$5)/$B$6,0)</f>
        <v>1.43516488533916</v>
      </c>
    </row>
    <row r="21" customFormat="false" ht="15" hidden="false" customHeight="true" outlineLevel="0" collapsed="false">
      <c r="A21" s="16" t="n">
        <v>0.08</v>
      </c>
      <c r="B21" s="12" t="n">
        <f aca="false">IFERROR($B$3/A21,0)</f>
        <v>3076258.62523785</v>
      </c>
      <c r="C21" s="12" t="n">
        <f aca="false">B21*(1-Inputs!$B$42)-$B$4</f>
        <v>1078209.56125551</v>
      </c>
      <c r="D21" s="12" t="n">
        <f aca="false">C21+$B$5-$B$6</f>
        <v>331788.12919509</v>
      </c>
      <c r="E21" s="27" t="n">
        <f aca="false">IFERROR((C21+$B$5)/$B$6,0)</f>
        <v>1.33730672604296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4" min="2" style="1" width="45"/>
  </cols>
  <sheetData>
    <row r="1" customFormat="false" ht="15" hidden="false" customHeight="true" outlineLevel="0" collapsed="false">
      <c r="A1" s="4" t="s">
        <v>183</v>
      </c>
    </row>
    <row r="3" customFormat="false" ht="15" hidden="false" customHeight="true" outlineLevel="0" collapsed="false">
      <c r="A3" s="1" t="s">
        <v>184</v>
      </c>
    </row>
    <row r="4" customFormat="false" ht="15" hidden="false" customHeight="true" outlineLevel="0" collapsed="false">
      <c r="A4" s="1" t="s">
        <v>185</v>
      </c>
      <c r="B4" s="1" t="s">
        <v>186</v>
      </c>
      <c r="C4" s="1" t="s">
        <v>187</v>
      </c>
      <c r="D4" s="1" t="s">
        <v>188</v>
      </c>
    </row>
    <row r="5" customFormat="false" ht="15" hidden="false" customHeight="true" outlineLevel="0" collapsed="false">
      <c r="A5" s="1" t="s">
        <v>109</v>
      </c>
      <c r="B5" s="12" t="n">
        <v>-1661.03</v>
      </c>
      <c r="C5" s="12" t="n">
        <v>-1476.9</v>
      </c>
      <c r="D5" s="12" t="n">
        <v>-1568.96</v>
      </c>
    </row>
    <row r="6" customFormat="false" ht="15" hidden="false" customHeight="true" outlineLevel="0" collapsed="false">
      <c r="A6" s="1" t="s">
        <v>44</v>
      </c>
      <c r="B6" s="12" t="n">
        <v>-476.09</v>
      </c>
      <c r="C6" s="12" t="n">
        <v>-400.82</v>
      </c>
      <c r="D6" s="12" t="n">
        <v>-438.45</v>
      </c>
    </row>
    <row r="7" customFormat="false" ht="15" hidden="false" customHeight="true" outlineLevel="0" collapsed="false">
      <c r="A7" s="1" t="s">
        <v>46</v>
      </c>
      <c r="B7" s="12" t="n">
        <v>-362.42</v>
      </c>
      <c r="C7" s="12" t="n">
        <v>-395.13</v>
      </c>
      <c r="D7" s="12" t="n">
        <v>-378.78</v>
      </c>
    </row>
    <row r="8" customFormat="false" ht="15" hidden="false" customHeight="true" outlineLevel="0" collapsed="false">
      <c r="A8" s="1" t="s">
        <v>48</v>
      </c>
      <c r="B8" s="12" t="n">
        <v>-572.19</v>
      </c>
      <c r="C8" s="12" t="n">
        <v>-372.59</v>
      </c>
      <c r="D8" s="12" t="n">
        <v>-472.39</v>
      </c>
    </row>
    <row r="9" customFormat="false" ht="15" hidden="false" customHeight="true" outlineLevel="0" collapsed="false">
      <c r="A9" s="1" t="s">
        <v>51</v>
      </c>
      <c r="B9" s="12" t="n">
        <v>-641.47</v>
      </c>
      <c r="C9" s="12" t="n">
        <v>-742.2</v>
      </c>
      <c r="D9" s="12" t="n">
        <v>-691.84</v>
      </c>
    </row>
    <row r="10" customFormat="false" ht="15" hidden="false" customHeight="true" outlineLevel="0" collapsed="false">
      <c r="A10" s="1" t="s">
        <v>53</v>
      </c>
      <c r="B10" s="12" t="n">
        <v>-105.04</v>
      </c>
      <c r="C10" s="12" t="n">
        <v>-85.33</v>
      </c>
      <c r="D10" s="12" t="n">
        <v>-95.19</v>
      </c>
    </row>
    <row r="11" customFormat="false" ht="15" hidden="false" customHeight="true" outlineLevel="0" collapsed="false">
      <c r="A11" s="1" t="s">
        <v>55</v>
      </c>
      <c r="B11" s="12" t="n">
        <v>-1094.69</v>
      </c>
      <c r="C11" s="12" t="n">
        <v>-1233.33</v>
      </c>
      <c r="D11" s="12" t="n">
        <v>-1164.01</v>
      </c>
    </row>
    <row r="13" customFormat="false" ht="15" hidden="false" customHeight="true" outlineLevel="0" collapsed="false">
      <c r="A13" s="1" t="s">
        <v>189</v>
      </c>
    </row>
    <row r="14" customFormat="false" ht="15" hidden="false" customHeight="true" outlineLevel="0" collapsed="false">
      <c r="A14" s="1" t="s">
        <v>190</v>
      </c>
      <c r="B14" s="1" t="s">
        <v>191</v>
      </c>
      <c r="C14" s="1" t="s">
        <v>192</v>
      </c>
      <c r="D14" s="1" t="s">
        <v>193</v>
      </c>
    </row>
    <row r="15" customFormat="false" ht="15" hidden="false" customHeight="true" outlineLevel="0" collapsed="false">
      <c r="A15" s="1" t="s">
        <v>194</v>
      </c>
      <c r="B15" s="1" t="s">
        <v>195</v>
      </c>
      <c r="C15" s="1" t="s">
        <v>196</v>
      </c>
      <c r="D15" s="1" t="s">
        <v>197</v>
      </c>
    </row>
    <row r="16" customFormat="false" ht="15" hidden="false" customHeight="true" outlineLevel="0" collapsed="false">
      <c r="A16" s="1" t="s">
        <v>198</v>
      </c>
      <c r="B16" s="1" t="s">
        <v>199</v>
      </c>
      <c r="C16" s="1" t="s">
        <v>200</v>
      </c>
      <c r="D16" s="1" t="s">
        <v>201</v>
      </c>
    </row>
    <row r="17" customFormat="false" ht="15" hidden="false" customHeight="true" outlineLevel="0" collapsed="false">
      <c r="A17" s="1" t="s">
        <v>202</v>
      </c>
      <c r="B17" s="1" t="s">
        <v>203</v>
      </c>
      <c r="C17" s="1" t="s">
        <v>204</v>
      </c>
      <c r="D17" s="1" t="s">
        <v>205</v>
      </c>
    </row>
    <row r="18" customFormat="false" ht="15" hidden="false" customHeight="true" outlineLevel="0" collapsed="false">
      <c r="A18" s="1" t="s">
        <v>206</v>
      </c>
      <c r="B18" s="1" t="s">
        <v>207</v>
      </c>
      <c r="C18" s="1" t="s">
        <v>208</v>
      </c>
      <c r="D18" s="1" t="s">
        <v>209</v>
      </c>
    </row>
    <row r="19" customFormat="false" ht="15" hidden="false" customHeight="true" outlineLevel="0" collapsed="false">
      <c r="A19" s="1" t="s">
        <v>210</v>
      </c>
      <c r="B19" s="1" t="s">
        <v>211</v>
      </c>
      <c r="C19" s="1" t="s">
        <v>212</v>
      </c>
      <c r="D19" s="1" t="s">
        <v>213</v>
      </c>
    </row>
    <row r="21" customFormat="false" ht="15" hidden="false" customHeight="true" outlineLevel="0" collapsed="false">
      <c r="A21" s="1" t="s">
        <v>214</v>
      </c>
    </row>
    <row r="22" customFormat="false" ht="15" hidden="false" customHeight="true" outlineLevel="0" collapsed="false">
      <c r="A22" s="1" t="s">
        <v>215</v>
      </c>
      <c r="B22" s="1" t="s">
        <v>216</v>
      </c>
    </row>
    <row r="23" customFormat="false" ht="15" hidden="false" customHeight="true" outlineLevel="0" collapsed="false">
      <c r="A23" s="1" t="s">
        <v>217</v>
      </c>
      <c r="B23" s="1" t="s">
        <v>218</v>
      </c>
    </row>
    <row r="24" customFormat="false" ht="15" hidden="false" customHeight="true" outlineLevel="0" collapsed="false">
      <c r="A24" s="1" t="s">
        <v>219</v>
      </c>
      <c r="B24" s="1" t="s">
        <v>220</v>
      </c>
    </row>
    <row r="25" customFormat="false" ht="15" hidden="false" customHeight="true" outlineLevel="0" collapsed="false">
      <c r="A25" s="1" t="s">
        <v>221</v>
      </c>
      <c r="B25" s="1" t="s">
        <v>222</v>
      </c>
    </row>
    <row r="26" customFormat="false" ht="15" hidden="false" customHeight="true" outlineLevel="0" collapsed="false">
      <c r="A26" s="1" t="s">
        <v>223</v>
      </c>
      <c r="B26" s="1" t="s">
        <v>224</v>
      </c>
      <c r="C26" s="1" t="s">
        <v>225</v>
      </c>
    </row>
    <row r="27" customFormat="false" ht="15" hidden="false" customHeight="true" outlineLevel="0" collapsed="false">
      <c r="A27" s="1" t="s">
        <v>226</v>
      </c>
      <c r="B27" s="1" t="s">
        <v>227</v>
      </c>
    </row>
    <row r="28" customFormat="false" ht="15" hidden="false" customHeight="true" outlineLevel="0" collapsed="false">
      <c r="A28" s="1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0"/>
  </cols>
  <sheetData>
    <row r="1" customFormat="false" ht="15" hidden="false" customHeight="true" outlineLevel="0" collapsed="false">
      <c r="A1" s="4" t="s">
        <v>229</v>
      </c>
      <c r="B1" s="4" t="s">
        <v>230</v>
      </c>
    </row>
    <row r="2" customFormat="false" ht="15" hidden="false" customHeight="true" outlineLevel="0" collapsed="false">
      <c r="A2" s="1" t="s">
        <v>231</v>
      </c>
      <c r="B2" s="1" t="str">
        <f aca="false">IF(ABS(Inputs!$B$52+Inputs!$B$54-(Inputs!$B$2+Inputs!$B$2*Inputs!$B$3+Inputs!$B$52*Inputs!$B$4+Inputs!$F$38))&lt;0.01,"OK","ERROR")</f>
        <v>OK</v>
      </c>
    </row>
    <row r="3" customFormat="false" ht="15" hidden="false" customHeight="true" outlineLevel="0" collapsed="false">
      <c r="A3" s="1" t="s">
        <v>232</v>
      </c>
      <c r="B3" s="1" t="str">
        <f aca="false">IF('Annual CF'!D38&gt;=Inputs!$B$33-0.005,"OK","CHECK")</f>
        <v>OK</v>
      </c>
    </row>
    <row r="4" customFormat="false" ht="15" hidden="false" customHeight="true" outlineLevel="0" collapsed="false">
      <c r="A4" s="1" t="s">
        <v>233</v>
      </c>
      <c r="B4" s="1" t="str">
        <f aca="false">IF(AND(Inputs!$B$40&gt;=1,Inputs!$B$40&lt;=10),"OK","ERROR")</f>
        <v>OK</v>
      </c>
    </row>
    <row r="5" customFormat="false" ht="15" hidden="false" customHeight="true" outlineLevel="0" collapsed="false">
      <c r="A5" s="1" t="s">
        <v>234</v>
      </c>
      <c r="B5" s="1" t="str">
        <f aca="false">IF(ABS(SUM(Waterfall!D27:N27)+SUM(Waterfall!D28:N28)-SUMIFS('Annual CF'!D51:N51,'Annual CF'!D2:N2,"&gt;=1"))&lt;1,"OK","ERROR")</f>
        <v>OK</v>
      </c>
    </row>
    <row r="6" customFormat="false" ht="15" hidden="false" customHeight="true" outlineLevel="0" collapsed="false">
      <c r="A6" s="1" t="s">
        <v>235</v>
      </c>
      <c r="B6" s="1" t="str">
        <f aca="false">IF(INDEX('Annual CF'!C35:N35,MATCH(Inputs!$B$40,'Annual CF'!C2:N2,0))&gt;=0,"OK","ERROR")</f>
        <v>OK</v>
      </c>
    </row>
    <row r="7" customFormat="false" ht="15" hidden="false" customHeight="true" outlineLevel="0" collapsed="false">
      <c r="A7" s="1" t="s">
        <v>236</v>
      </c>
      <c r="B7" s="1" t="str">
        <f aca="false">IF('Annual CF'!D40&gt;=1.15,"OK","CHECK")</f>
        <v>OK</v>
      </c>
    </row>
    <row r="8" customFormat="false" ht="15" hidden="false" customHeight="true" outlineLevel="0" collapsed="false">
      <c r="A8" s="1" t="s">
        <v>237</v>
      </c>
      <c r="B8" s="1" t="str">
        <f aca="false">IF(Inputs!$B$36=0,"OK","CHECK")</f>
        <v>OK</v>
      </c>
    </row>
    <row r="9" customFormat="false" ht="15" hidden="false" customHeight="true" outlineLevel="0" collapsed="false">
      <c r="A9" s="1" t="s">
        <v>238</v>
      </c>
      <c r="B9" s="1" t="str">
        <f aca="false">IF(Inputs!$B$41&gt;=Inputs!$B$57-0.0001,"OK","CHECK")</f>
        <v>OK</v>
      </c>
    </row>
    <row r="10" customFormat="false" ht="15" hidden="false" customHeight="true" outlineLevel="0" collapsed="false">
      <c r="A10" s="1" t="s">
        <v>239</v>
      </c>
      <c r="B10" s="1" t="str">
        <f aca="false">IF(OR(Inputs!$F$14=0,AND(Inputs!$F$14&gt;=1,Inputs!$F$14&lt;Inputs!$B$40)),"OK","CHECK")</f>
        <v>OK</v>
      </c>
    </row>
    <row r="11" customFormat="false" ht="15" hidden="false" customHeight="true" outlineLevel="0" collapsed="false">
      <c r="A11" s="1" t="s">
        <v>240</v>
      </c>
      <c r="B11" s="1" t="str">
        <f aca="false">IF(OR(Inputs!$F$14=0,Inputs!$F$24&lt;=Inputs!$F$23*Inputs!$F$16+1),"OK","CHECK")</f>
        <v>OK</v>
      </c>
    </row>
    <row r="12" customFormat="false" ht="15" hidden="false" customHeight="true" outlineLevel="0" collapsed="false">
      <c r="A12" s="1" t="s">
        <v>241</v>
      </c>
      <c r="B12" s="1" t="str">
        <f aca="false">IF(Inputs!$F$31&lt;=Inputs!$B$5,"OK","ERROR")</f>
        <v>OK</v>
      </c>
    </row>
    <row r="13" customFormat="false" ht="15" hidden="false" customHeight="true" outlineLevel="0" collapsed="false">
      <c r="A13" s="1" t="s">
        <v>242</v>
      </c>
      <c r="B13" s="1" t="str">
        <f aca="false">IF(OR(Inputs!$F$31=0,Inputs!$F$36+Inputs!$F$39-1&lt;=Inputs!$B$40),"OK","CHECK")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2026-08-02T01:12:43Z</dcterms:created>
  <dc:creator>openpyxl</dc:creator>
  <dc:description/>
  <dc:language>en-US</dc:language>
  <cp:lastModifiedBy/>
  <dcterms:modified xsi:type="dcterms:W3CDTF">2026-08-09T14:42:46Z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