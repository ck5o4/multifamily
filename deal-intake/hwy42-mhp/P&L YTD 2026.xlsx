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ropbox\a Properties Listings\Hwy 42 Trailer Park\Private Docs\"/>
    </mc:Choice>
  </mc:AlternateContent>
  <xr:revisionPtr revIDLastSave="0" documentId="13_ncr:1_{043974D0-E301-4B12-93EF-B7D334031EF3}" xr6:coauthVersionLast="47" xr6:coauthVersionMax="47" xr10:uidLastSave="{00000000-0000-0000-0000-000000000000}"/>
  <bookViews>
    <workbookView xWindow="28815" yWindow="600" windowWidth="28770" windowHeight="14880" activeTab="1" xr2:uid="{0289F6DD-7A08-437E-B3FB-E2FFF5250A2C}"/>
  </bookViews>
  <sheets>
    <sheet name="Summary" sheetId="1" r:id="rId1"/>
    <sheet name="Inc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7" i="1"/>
  <c r="M35" i="2"/>
  <c r="L35" i="2"/>
  <c r="K35" i="2"/>
  <c r="J35" i="2"/>
  <c r="I35" i="2"/>
  <c r="H35" i="2"/>
  <c r="G35" i="2"/>
  <c r="F35" i="2"/>
  <c r="L3" i="1" l="1"/>
  <c r="L11" i="1" s="1"/>
  <c r="N4" i="1" l="1"/>
  <c r="N5" i="1"/>
  <c r="N6" i="1"/>
  <c r="N8" i="1"/>
  <c r="K3" i="1"/>
  <c r="K11" i="1" s="1"/>
  <c r="J3" i="1"/>
  <c r="J11" i="1" s="1"/>
  <c r="I3" i="1"/>
  <c r="I11" i="1" s="1"/>
  <c r="H3" i="1"/>
  <c r="H11" i="1" s="1"/>
  <c r="G3" i="1"/>
  <c r="G11" i="1" s="1"/>
  <c r="F3" i="1"/>
  <c r="F11" i="1" s="1"/>
  <c r="E35" i="2"/>
  <c r="E3" i="1" s="1"/>
  <c r="E11" i="1" s="1"/>
  <c r="D35" i="2"/>
  <c r="D3" i="1" s="1"/>
  <c r="D11" i="1" s="1"/>
  <c r="M3" i="1" l="1"/>
  <c r="M11" i="1" s="1"/>
  <c r="C35" i="2"/>
  <c r="C3" i="1" s="1"/>
  <c r="C11" i="1" s="1"/>
  <c r="B35" i="2" l="1"/>
  <c r="B3" i="1" l="1"/>
  <c r="O35" i="2"/>
  <c r="N3" i="1" l="1"/>
  <c r="B11" i="1"/>
  <c r="N11" i="1" s="1"/>
</calcChain>
</file>

<file path=xl/sharedStrings.xml><?xml version="1.0" encoding="utf-8"?>
<sst xmlns="http://schemas.openxmlformats.org/spreadsheetml/2006/main" count="40" uniqueCount="27">
  <si>
    <t>OLD GALVEZ MHP</t>
  </si>
  <si>
    <t>Income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</si>
  <si>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</si>
  <si>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</si>
  <si>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</si>
  <si>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</si>
  <si>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</si>
  <si>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</si>
  <si>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</si>
  <si>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</si>
  <si>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</si>
  <si>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</si>
  <si>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2025 YTD</t>
  </si>
  <si>
    <t>Maintenance</t>
  </si>
  <si>
    <t>Unit</t>
  </si>
  <si>
    <t>OLD GALVEZ MHP rent income</t>
  </si>
  <si>
    <t>Net</t>
  </si>
  <si>
    <t>Electricity</t>
  </si>
  <si>
    <t>Trash</t>
  </si>
  <si>
    <t>Lawn Care</t>
  </si>
  <si>
    <t>Waste Water Sol</t>
  </si>
  <si>
    <t xml:space="preserve">Insurance </t>
  </si>
  <si>
    <t>NOV</t>
  </si>
  <si>
    <t>DEC</t>
  </si>
  <si>
    <t>TOTAL</t>
  </si>
  <si>
    <t>TOTALS</t>
  </si>
  <si>
    <t>2 month elec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</si>
</sst>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0" borderId="0" xfId="1" applyFont="1" applyFill="1"/>
    <xf numFmtId="44" fontId="2" fillId="0" borderId="0" xfId="1" applyFont="1" applyFill="1"/>
    <xf numFmtId="44" fontId="3" fillId="0" borderId="0" xfId="1" applyFont="1" applyFill="1"/>
    <xf numFmtId="0" fontId="0" fillId="0" borderId="0" xfId="0" applyAlignment="1">
      <alignment horizontal="right"/>
    </xf>
    <xf numFmtId="44" fontId="1" fillId="0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0ED7-161A-4419-9E4F-F395BEBC8361}">
  <dimension ref="A1:N15"/>
  <sheetViews>
    <sheetView zoomScale="75" zoomScaleNormal="75" workbookViewId="0">
      <selection activeCell="R31" sqref="R31:S31"/>
    </sheetView>
  </sheetViews>
  <sheetFormatPr defaultRowHeight="15" x14ac:dyDescent="0.25"/>
  <cols>
    <col min="1" max="1" width="16.85546875" customWidth="1"/>
    <col min="2" max="2" width="13.140625" customWidth="1"/>
    <col min="3" max="3" width="12.5703125" customWidth="1"/>
    <col min="4" max="4" width="13.42578125" customWidth="1"/>
    <col min="5" max="5" width="12.42578125" customWidth="1"/>
    <col min="6" max="6" width="16.140625" customWidth="1"/>
    <col min="7" max="7" width="14.5703125" customWidth="1"/>
    <col min="8" max="8" width="12.28515625" customWidth="1"/>
    <col min="9" max="9" width="13.140625" customWidth="1"/>
    <col min="10" max="10" width="11.85546875" customWidth="1"/>
    <col min="11" max="13" width="13" customWidth="1"/>
    <col min="14" max="14" width="13.85546875" bestFit="1" customWidth="1"/>
  </cols>
  <sheetData>
    <row r="1" spans="1:14" x14ac:dyDescent="0.25">
      <c r="A1" t="s">
        <v>0</v>
      </c>
      <c r="C1" t="s">
        <v>12</v>
      </c>
    </row>
    <row r="2" spans="1:14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22</v>
      </c>
      <c r="M2" t="s">
        <v>23</v>
      </c>
      <c r="N2" s="6" t="s">
        <v>25</v>
      </c>
    </row>
    <row r="3" spans="1:14" x14ac:dyDescent="0.25">
      <c r="A3" t="s">
        <v>1</v>
      </c>
      <c r="B3" s="1">
        <f>Income!B35</f>
        <v>29690</v>
      </c>
      <c r="C3" s="1">
        <f>Income!C35</f>
        <v>29541.5</v>
      </c>
      <c r="D3" s="1">
        <f>Income!D35</f>
        <v>29627</v>
      </c>
      <c r="E3" s="1">
        <f>Income!E35</f>
        <v>35720.83</v>
      </c>
      <c r="F3" s="1">
        <f>Income!F35</f>
        <v>29155.64</v>
      </c>
      <c r="G3" s="1">
        <f>Income!G35</f>
        <v>31457</v>
      </c>
      <c r="H3" s="1">
        <f>Income!H35</f>
        <v>0</v>
      </c>
      <c r="I3" s="1">
        <f>Income!I35</f>
        <v>0</v>
      </c>
      <c r="J3" s="1">
        <f>Income!J35</f>
        <v>0</v>
      </c>
      <c r="K3" s="1">
        <f>Income!K35</f>
        <v>0</v>
      </c>
      <c r="L3" s="1">
        <f>Income!L35</f>
        <v>0</v>
      </c>
      <c r="M3" s="1">
        <f>Income!M35</f>
        <v>0</v>
      </c>
      <c r="N3" s="2">
        <f t="shared" ref="N3:N9" si="0">SUM(B3:M3)</f>
        <v>185191.97</v>
      </c>
    </row>
    <row r="4" spans="1:14" x14ac:dyDescent="0.25">
      <c r="A4" t="s">
        <v>13</v>
      </c>
      <c r="B4" s="1">
        <v>4175</v>
      </c>
      <c r="C4" s="1">
        <v>1681.87</v>
      </c>
      <c r="D4" s="1">
        <v>1973</v>
      </c>
      <c r="E4" s="1">
        <v>2062</v>
      </c>
      <c r="F4" s="1">
        <v>2382.36</v>
      </c>
      <c r="G4" s="1">
        <v>1746.07</v>
      </c>
      <c r="H4" s="1"/>
      <c r="I4" s="1"/>
      <c r="J4" s="1"/>
      <c r="K4" s="1"/>
      <c r="L4" s="1"/>
      <c r="M4" s="1"/>
      <c r="N4" s="2">
        <f t="shared" si="0"/>
        <v>14020.3</v>
      </c>
    </row>
    <row r="5" spans="1:14" x14ac:dyDescent="0.25">
      <c r="A5" t="s">
        <v>17</v>
      </c>
      <c r="B5" s="1">
        <v>677.87</v>
      </c>
      <c r="C5" s="1">
        <v>566.03</v>
      </c>
      <c r="D5" s="1"/>
      <c r="E5" s="1">
        <v>607.37</v>
      </c>
      <c r="F5" s="1">
        <v>1081.47</v>
      </c>
      <c r="G5" s="1">
        <v>580.28</v>
      </c>
      <c r="H5" s="1"/>
      <c r="I5" s="1"/>
      <c r="J5" s="1"/>
      <c r="K5" s="1"/>
      <c r="L5" s="1"/>
      <c r="M5" s="1"/>
      <c r="N5" s="2">
        <f t="shared" si="0"/>
        <v>3513.0199999999995</v>
      </c>
    </row>
    <row r="6" spans="1:14" x14ac:dyDescent="0.25">
      <c r="A6" t="s">
        <v>21</v>
      </c>
      <c r="B6" s="1">
        <v>2125</v>
      </c>
      <c r="C6" s="1">
        <v>2125</v>
      </c>
      <c r="D6" s="1">
        <v>2125</v>
      </c>
      <c r="E6" s="1">
        <v>2125</v>
      </c>
      <c r="F6" s="1">
        <v>2125</v>
      </c>
      <c r="G6" s="1">
        <v>2125</v>
      </c>
      <c r="H6" s="1"/>
      <c r="I6" s="1"/>
      <c r="J6" s="1"/>
      <c r="K6" s="1"/>
      <c r="L6" s="1"/>
      <c r="M6" s="1"/>
      <c r="N6" s="2">
        <f t="shared" si="0"/>
        <v>12750</v>
      </c>
    </row>
    <row r="7" spans="1:14" x14ac:dyDescent="0.25">
      <c r="A7" t="s">
        <v>18</v>
      </c>
      <c r="B7" s="1">
        <v>328</v>
      </c>
      <c r="C7" s="1">
        <v>328</v>
      </c>
      <c r="D7" s="1">
        <v>328</v>
      </c>
      <c r="E7" s="1">
        <v>328</v>
      </c>
      <c r="F7" s="1">
        <v>328</v>
      </c>
      <c r="G7" s="1">
        <v>503</v>
      </c>
      <c r="H7" s="1"/>
      <c r="I7" s="1"/>
      <c r="J7" s="1"/>
      <c r="K7" s="1"/>
      <c r="L7" s="1"/>
      <c r="M7" s="1"/>
      <c r="N7" s="2">
        <f t="shared" si="0"/>
        <v>2143</v>
      </c>
    </row>
    <row r="8" spans="1:14" x14ac:dyDescent="0.25">
      <c r="A8" t="s">
        <v>19</v>
      </c>
      <c r="B8" s="1">
        <v>0</v>
      </c>
      <c r="C8" s="1"/>
      <c r="D8" s="1"/>
      <c r="E8" s="1"/>
      <c r="F8" s="1">
        <v>600</v>
      </c>
      <c r="G8" s="1">
        <v>600</v>
      </c>
      <c r="H8" s="1"/>
      <c r="I8" s="1"/>
      <c r="J8" s="1"/>
      <c r="K8" s="1"/>
      <c r="L8" s="1"/>
      <c r="M8" s="1"/>
      <c r="N8" s="2">
        <f t="shared" si="0"/>
        <v>1200</v>
      </c>
    </row>
    <row r="9" spans="1:14" x14ac:dyDescent="0.25">
      <c r="A9" t="s">
        <v>20</v>
      </c>
      <c r="B9" s="1">
        <v>250</v>
      </c>
      <c r="C9" s="1">
        <v>250</v>
      </c>
      <c r="D9" s="1">
        <v>250</v>
      </c>
      <c r="E9" s="1">
        <v>250</v>
      </c>
      <c r="F9" s="1">
        <v>250</v>
      </c>
      <c r="G9" s="1">
        <v>250</v>
      </c>
      <c r="H9" s="1"/>
      <c r="I9" s="1"/>
      <c r="J9" s="1"/>
      <c r="K9" s="1"/>
      <c r="L9" s="1"/>
      <c r="M9" s="1"/>
      <c r="N9" s="2">
        <f t="shared" si="0"/>
        <v>1500</v>
      </c>
    </row>
    <row r="10" spans="1:14" x14ac:dyDescent="0.25">
      <c r="N10" s="2"/>
    </row>
    <row r="11" spans="1:14" x14ac:dyDescent="0.25">
      <c r="A11" t="s">
        <v>16</v>
      </c>
      <c r="B11" s="2">
        <f t="shared" ref="B11:M11" si="1">B3-B4-B5-B6-B7-B8-B9</f>
        <v>22134.13</v>
      </c>
      <c r="C11" s="2">
        <f t="shared" si="1"/>
        <v>24590.600000000002</v>
      </c>
      <c r="D11" s="2">
        <f t="shared" si="1"/>
        <v>24951</v>
      </c>
      <c r="E11" s="2">
        <f t="shared" si="1"/>
        <v>30348.46</v>
      </c>
      <c r="F11" s="2">
        <f t="shared" si="1"/>
        <v>22388.809999999998</v>
      </c>
      <c r="G11" s="2">
        <f t="shared" si="1"/>
        <v>25652.65</v>
      </c>
      <c r="H11" s="2">
        <f t="shared" si="1"/>
        <v>0</v>
      </c>
      <c r="I11" s="2">
        <f t="shared" si="1"/>
        <v>0</v>
      </c>
      <c r="J11" s="2">
        <f t="shared" si="1"/>
        <v>0</v>
      </c>
      <c r="K11" s="2">
        <f t="shared" si="1"/>
        <v>0</v>
      </c>
      <c r="L11" s="2">
        <f t="shared" si="1"/>
        <v>0</v>
      </c>
      <c r="M11" s="2">
        <f t="shared" si="1"/>
        <v>0</v>
      </c>
      <c r="N11" s="2">
        <f>SUM(B11:M11)</f>
        <v>150065.65</v>
      </c>
    </row>
    <row r="13" spans="1:14" x14ac:dyDescent="0.25">
      <c r="F13" t="s">
        <v>26</v>
      </c>
      <c r="N13" s="2"/>
    </row>
    <row r="15" spans="1:14" x14ac:dyDescent="0.25">
      <c r="N15" s="2"/>
    </row>
  </sheetData>
  <pageMargins left="0.7" right="0.7" top="0.75" bottom="0.75" header="0.3" footer="0.3"/>
  <headerFooter>
    <oddFooter>&amp;C_x000D_&amp;1#&amp;"Calibri"&amp;10&amp;K000000 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9EF5-9A54-4A4A-8B16-E7BC3617319B}">
  <dimension ref="A1:P47"/>
  <sheetViews>
    <sheetView tabSelected="1" zoomScale="75" zoomScaleNormal="75" workbookViewId="0">
      <selection activeCell="J42" sqref="J42"/>
    </sheetView>
  </sheetViews>
  <sheetFormatPr defaultRowHeight="15" x14ac:dyDescent="0.25"/>
  <cols>
    <col min="1" max="1" width="27.85546875" customWidth="1"/>
    <col min="2" max="2" width="12.5703125" customWidth="1"/>
    <col min="3" max="3" width="13.7109375" customWidth="1"/>
    <col min="4" max="4" width="12.42578125" customWidth="1"/>
    <col min="5" max="5" width="12.7109375" bestFit="1" customWidth="1"/>
    <col min="6" max="6" width="13.5703125" customWidth="1"/>
    <col min="7" max="7" width="12.42578125" customWidth="1"/>
    <col min="8" max="8" width="12" customWidth="1"/>
    <col min="9" max="9" width="12.85546875" customWidth="1"/>
    <col min="10" max="10" width="13.140625" customWidth="1"/>
    <col min="11" max="11" width="13" customWidth="1"/>
    <col min="12" max="12" width="12.28515625" customWidth="1"/>
    <col min="13" max="13" width="12.42578125" customWidth="1"/>
    <col min="15" max="15" width="13.85546875" bestFit="1" customWidth="1"/>
  </cols>
  <sheetData>
    <row r="1" spans="1:13" x14ac:dyDescent="0.25">
      <c r="A1" t="s">
        <v>15</v>
      </c>
      <c r="C1" t="s">
        <v>12</v>
      </c>
    </row>
    <row r="2" spans="1:13" x14ac:dyDescent="0.25">
      <c r="A2" t="s">
        <v>14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22</v>
      </c>
      <c r="M2" t="s">
        <v>23</v>
      </c>
    </row>
    <row r="3" spans="1:13" x14ac:dyDescent="0.25">
      <c r="A3">
        <v>1</v>
      </c>
      <c r="B3" s="3">
        <v>1300</v>
      </c>
      <c r="C3" s="3">
        <v>1300</v>
      </c>
      <c r="D3" s="3">
        <v>1300</v>
      </c>
      <c r="E3" s="3">
        <v>1300</v>
      </c>
      <c r="F3" s="3">
        <v>1174.19</v>
      </c>
      <c r="G3" s="3">
        <v>1300</v>
      </c>
    </row>
    <row r="4" spans="1:13" x14ac:dyDescent="0.25">
      <c r="A4">
        <v>2</v>
      </c>
      <c r="B4" s="3">
        <v>1300</v>
      </c>
      <c r="C4" s="3">
        <v>1300</v>
      </c>
      <c r="D4" s="3">
        <v>1300</v>
      </c>
      <c r="E4" s="3">
        <v>1300</v>
      </c>
      <c r="F4" s="7">
        <v>1300</v>
      </c>
      <c r="G4" s="3">
        <v>1300</v>
      </c>
    </row>
    <row r="5" spans="1:13" x14ac:dyDescent="0.25">
      <c r="A5">
        <v>3</v>
      </c>
      <c r="B5" s="3">
        <v>1300</v>
      </c>
      <c r="C5" s="3">
        <v>1300</v>
      </c>
      <c r="D5" s="3">
        <v>1300</v>
      </c>
      <c r="E5" s="3">
        <v>1300</v>
      </c>
      <c r="F5" s="7">
        <v>1300</v>
      </c>
      <c r="G5" s="3">
        <v>1300</v>
      </c>
    </row>
    <row r="6" spans="1:13" x14ac:dyDescent="0.25">
      <c r="A6">
        <v>4</v>
      </c>
      <c r="B6" s="3">
        <v>425</v>
      </c>
      <c r="C6" s="3">
        <v>425</v>
      </c>
      <c r="D6" s="3">
        <v>425</v>
      </c>
      <c r="E6" s="3">
        <v>425</v>
      </c>
      <c r="F6" s="7">
        <v>425</v>
      </c>
      <c r="G6" s="7">
        <v>425</v>
      </c>
    </row>
    <row r="7" spans="1:13" x14ac:dyDescent="0.25">
      <c r="A7">
        <v>5</v>
      </c>
      <c r="B7" s="3">
        <v>1250</v>
      </c>
      <c r="C7" s="3"/>
      <c r="D7" s="3">
        <v>1300</v>
      </c>
      <c r="E7" s="3">
        <v>1300</v>
      </c>
      <c r="F7" s="7">
        <v>1300</v>
      </c>
      <c r="G7" s="7">
        <v>1300</v>
      </c>
    </row>
    <row r="8" spans="1:13" x14ac:dyDescent="0.25">
      <c r="A8">
        <v>6</v>
      </c>
      <c r="B8" s="5">
        <v>1005</v>
      </c>
      <c r="C8" s="5">
        <v>1640</v>
      </c>
      <c r="D8" s="5">
        <v>810</v>
      </c>
      <c r="E8" s="5">
        <v>2135</v>
      </c>
      <c r="F8" s="7">
        <v>1665</v>
      </c>
      <c r="G8" s="7">
        <v>905</v>
      </c>
    </row>
    <row r="9" spans="1:13" x14ac:dyDescent="0.25">
      <c r="A9">
        <v>7</v>
      </c>
      <c r="B9" s="3"/>
      <c r="C9" s="3"/>
      <c r="D9" s="3"/>
      <c r="E9" s="3">
        <v>693.33</v>
      </c>
      <c r="F9" s="7">
        <v>1300</v>
      </c>
      <c r="G9" s="7">
        <v>1300</v>
      </c>
    </row>
    <row r="10" spans="1:13" x14ac:dyDescent="0.25">
      <c r="A10">
        <v>8</v>
      </c>
      <c r="B10" s="3">
        <v>1400</v>
      </c>
      <c r="C10" s="3">
        <v>1300</v>
      </c>
      <c r="D10" s="3">
        <v>1000</v>
      </c>
      <c r="E10" s="3">
        <v>1202.5</v>
      </c>
      <c r="F10" s="7">
        <v>1350</v>
      </c>
      <c r="G10" s="7">
        <v>1827</v>
      </c>
    </row>
    <row r="11" spans="1:13" x14ac:dyDescent="0.25">
      <c r="A11">
        <v>9</v>
      </c>
      <c r="B11" s="3">
        <v>425</v>
      </c>
      <c r="C11" s="3">
        <v>425</v>
      </c>
      <c r="D11" s="3">
        <v>425</v>
      </c>
      <c r="E11" s="3">
        <v>425</v>
      </c>
      <c r="F11" s="7">
        <v>425</v>
      </c>
      <c r="G11" s="3">
        <v>425</v>
      </c>
    </row>
    <row r="12" spans="1:13" x14ac:dyDescent="0.25">
      <c r="A12">
        <v>10</v>
      </c>
      <c r="B12" s="3"/>
      <c r="C12" s="3"/>
      <c r="D12" s="3">
        <v>1300</v>
      </c>
      <c r="E12" s="3">
        <v>2600</v>
      </c>
      <c r="F12" s="7"/>
      <c r="G12" s="3">
        <v>1300</v>
      </c>
    </row>
    <row r="13" spans="1:13" x14ac:dyDescent="0.25">
      <c r="A13">
        <v>11</v>
      </c>
      <c r="B13" s="3">
        <v>1300</v>
      </c>
      <c r="C13" s="3">
        <v>1300</v>
      </c>
      <c r="D13" s="3">
        <v>1300</v>
      </c>
      <c r="E13" s="3">
        <v>1300</v>
      </c>
      <c r="F13" s="7">
        <v>1300</v>
      </c>
      <c r="G13" s="3">
        <v>1300</v>
      </c>
    </row>
    <row r="14" spans="1:13" x14ac:dyDescent="0.25">
      <c r="A14">
        <v>12</v>
      </c>
      <c r="B14" s="3">
        <v>1250</v>
      </c>
      <c r="C14" s="3">
        <v>1250</v>
      </c>
      <c r="D14" s="3">
        <v>1240</v>
      </c>
      <c r="E14" s="3">
        <v>1240</v>
      </c>
      <c r="F14" s="7">
        <v>1250</v>
      </c>
      <c r="G14" s="3">
        <v>1250</v>
      </c>
    </row>
    <row r="15" spans="1:13" x14ac:dyDescent="0.25">
      <c r="A15">
        <v>13</v>
      </c>
      <c r="B15" s="3">
        <v>1140</v>
      </c>
      <c r="C15" s="3">
        <v>1451</v>
      </c>
      <c r="D15" s="3">
        <v>1300</v>
      </c>
      <c r="E15" s="3"/>
      <c r="F15" s="7">
        <v>796.77</v>
      </c>
      <c r="G15" s="3">
        <v>1300</v>
      </c>
    </row>
    <row r="16" spans="1:13" x14ac:dyDescent="0.25">
      <c r="A16">
        <v>14</v>
      </c>
      <c r="B16" s="3">
        <v>1250</v>
      </c>
      <c r="C16" s="3">
        <v>1205.3599999999999</v>
      </c>
      <c r="D16" s="3">
        <v>1250</v>
      </c>
      <c r="E16" s="3">
        <v>1250</v>
      </c>
      <c r="F16" s="7">
        <v>1250</v>
      </c>
      <c r="G16" s="3">
        <v>1250</v>
      </c>
    </row>
    <row r="17" spans="1:7" x14ac:dyDescent="0.25">
      <c r="A17">
        <v>15</v>
      </c>
      <c r="B17" s="3">
        <v>425</v>
      </c>
      <c r="C17" s="3">
        <v>425</v>
      </c>
      <c r="D17" s="3">
        <v>425</v>
      </c>
      <c r="E17" s="3">
        <v>425</v>
      </c>
      <c r="F17" s="7">
        <v>425</v>
      </c>
      <c r="G17" s="3">
        <v>425</v>
      </c>
    </row>
    <row r="18" spans="1:7" x14ac:dyDescent="0.25">
      <c r="A18">
        <v>16</v>
      </c>
      <c r="B18" s="3">
        <v>1300</v>
      </c>
      <c r="C18" s="3">
        <v>1300</v>
      </c>
      <c r="D18" s="3"/>
      <c r="E18" s="3">
        <v>890</v>
      </c>
      <c r="F18" s="7"/>
      <c r="G18" s="3"/>
    </row>
    <row r="19" spans="1:7" x14ac:dyDescent="0.25">
      <c r="A19">
        <v>17</v>
      </c>
      <c r="B19" s="3">
        <v>850</v>
      </c>
      <c r="C19" s="3">
        <v>1750</v>
      </c>
      <c r="D19" s="3">
        <v>1300</v>
      </c>
      <c r="E19" s="3">
        <v>1235</v>
      </c>
      <c r="F19" s="7">
        <v>1135</v>
      </c>
      <c r="G19" s="3">
        <v>1140</v>
      </c>
    </row>
    <row r="20" spans="1:7" x14ac:dyDescent="0.25">
      <c r="A20">
        <v>18</v>
      </c>
      <c r="B20" s="3">
        <v>1650</v>
      </c>
      <c r="C20" s="3">
        <v>1250</v>
      </c>
      <c r="D20" s="3">
        <v>850</v>
      </c>
      <c r="E20" s="3">
        <v>1650</v>
      </c>
      <c r="F20" s="7">
        <v>1250</v>
      </c>
      <c r="G20" s="3">
        <v>800</v>
      </c>
    </row>
    <row r="21" spans="1:7" x14ac:dyDescent="0.25">
      <c r="A21">
        <v>19</v>
      </c>
      <c r="B21" s="4"/>
      <c r="C21" s="5">
        <v>1240</v>
      </c>
      <c r="D21" s="5">
        <v>1300</v>
      </c>
      <c r="E21" s="3">
        <v>2253.33</v>
      </c>
      <c r="F21" s="7"/>
      <c r="G21" s="5">
        <v>1300</v>
      </c>
    </row>
    <row r="22" spans="1:7" x14ac:dyDescent="0.25">
      <c r="A22">
        <v>20</v>
      </c>
      <c r="B22" s="3">
        <v>1250</v>
      </c>
      <c r="C22" s="3"/>
      <c r="D22" s="3"/>
      <c r="E22" s="3">
        <v>996.67</v>
      </c>
      <c r="F22" s="7">
        <v>209.68</v>
      </c>
      <c r="G22" s="3">
        <v>1300</v>
      </c>
    </row>
    <row r="23" spans="1:7" x14ac:dyDescent="0.25">
      <c r="A23">
        <v>21</v>
      </c>
      <c r="B23" s="3">
        <v>1250</v>
      </c>
      <c r="C23" s="3"/>
      <c r="D23" s="3"/>
      <c r="E23" s="3">
        <v>600</v>
      </c>
      <c r="F23" s="7"/>
      <c r="G23" s="3"/>
    </row>
    <row r="24" spans="1:7" x14ac:dyDescent="0.25">
      <c r="A24">
        <v>22</v>
      </c>
      <c r="B24" s="3">
        <v>1100</v>
      </c>
      <c r="C24" s="3">
        <v>1048</v>
      </c>
      <c r="D24" s="3">
        <v>1452</v>
      </c>
      <c r="E24" s="3">
        <v>1250</v>
      </c>
      <c r="F24" s="7">
        <v>1250</v>
      </c>
      <c r="G24" s="3">
        <v>1250</v>
      </c>
    </row>
    <row r="25" spans="1:7" x14ac:dyDescent="0.25">
      <c r="A25">
        <v>23</v>
      </c>
      <c r="B25" s="3"/>
      <c r="C25" s="3">
        <v>510.71</v>
      </c>
      <c r="D25" s="3">
        <v>1300</v>
      </c>
      <c r="E25" s="3">
        <v>1300</v>
      </c>
      <c r="F25" s="7">
        <v>1300</v>
      </c>
      <c r="G25" s="3">
        <v>1600</v>
      </c>
    </row>
    <row r="26" spans="1:7" x14ac:dyDescent="0.25">
      <c r="A26">
        <v>24</v>
      </c>
      <c r="B26" s="3">
        <v>1300</v>
      </c>
      <c r="C26" s="3">
        <v>1300</v>
      </c>
      <c r="D26" s="3">
        <v>1300</v>
      </c>
      <c r="E26" s="3">
        <v>1300</v>
      </c>
      <c r="F26" s="3">
        <v>1300</v>
      </c>
      <c r="G26" s="3">
        <v>1300</v>
      </c>
    </row>
    <row r="27" spans="1:7" x14ac:dyDescent="0.25">
      <c r="A27">
        <v>25</v>
      </c>
      <c r="B27" s="3">
        <v>1070</v>
      </c>
      <c r="C27" s="3">
        <v>1300</v>
      </c>
      <c r="D27" s="3">
        <v>1300</v>
      </c>
      <c r="E27" s="3">
        <v>1200</v>
      </c>
      <c r="F27" s="3">
        <v>1300</v>
      </c>
      <c r="G27" s="3">
        <v>100</v>
      </c>
    </row>
    <row r="28" spans="1:7" x14ac:dyDescent="0.25">
      <c r="A28">
        <v>26</v>
      </c>
      <c r="B28" s="3">
        <v>1300</v>
      </c>
      <c r="C28" s="3">
        <v>1300</v>
      </c>
      <c r="D28" s="3">
        <v>1300</v>
      </c>
      <c r="E28" s="3">
        <v>1300</v>
      </c>
      <c r="F28" s="3">
        <v>1300</v>
      </c>
      <c r="G28" s="3">
        <v>910</v>
      </c>
    </row>
    <row r="29" spans="1:7" x14ac:dyDescent="0.25">
      <c r="A29">
        <v>27</v>
      </c>
      <c r="B29" s="3">
        <v>1300</v>
      </c>
      <c r="C29" s="3">
        <v>1300</v>
      </c>
      <c r="D29" s="3">
        <v>1300</v>
      </c>
      <c r="E29" s="3">
        <v>1300</v>
      </c>
      <c r="F29" s="3">
        <v>1300</v>
      </c>
      <c r="G29" s="3">
        <v>1300</v>
      </c>
    </row>
    <row r="30" spans="1:7" x14ac:dyDescent="0.25">
      <c r="A30">
        <v>28</v>
      </c>
      <c r="B30" s="3">
        <v>1300</v>
      </c>
      <c r="C30" s="3">
        <v>1300</v>
      </c>
      <c r="D30" s="3">
        <v>1300</v>
      </c>
      <c r="E30" s="3">
        <v>1300</v>
      </c>
      <c r="F30" s="3">
        <v>1300</v>
      </c>
      <c r="G30" s="3">
        <v>1300</v>
      </c>
    </row>
    <row r="31" spans="1:7" x14ac:dyDescent="0.25">
      <c r="A31">
        <v>29</v>
      </c>
      <c r="B31" s="3">
        <v>1300</v>
      </c>
      <c r="C31" s="3">
        <v>1300</v>
      </c>
      <c r="D31" s="3">
        <v>1250</v>
      </c>
      <c r="E31" s="3">
        <v>1250</v>
      </c>
      <c r="F31" s="3">
        <v>1250</v>
      </c>
      <c r="G31" s="3">
        <v>1250</v>
      </c>
    </row>
    <row r="32" spans="1:7" x14ac:dyDescent="0.25">
      <c r="A32">
        <v>30</v>
      </c>
      <c r="B32" s="3">
        <v>950</v>
      </c>
      <c r="C32" s="3">
        <v>1321.43</v>
      </c>
      <c r="D32" s="3">
        <v>1000</v>
      </c>
      <c r="E32" s="3">
        <v>1000</v>
      </c>
      <c r="F32" s="3">
        <v>1000</v>
      </c>
      <c r="G32" s="3">
        <v>1000</v>
      </c>
    </row>
    <row r="33" spans="2:16" x14ac:dyDescent="0.25">
      <c r="B33" s="1"/>
    </row>
    <row r="34" spans="2:16" x14ac:dyDescent="0.25">
      <c r="B34" s="1"/>
    </row>
    <row r="35" spans="2:16" x14ac:dyDescent="0.25">
      <c r="B35" s="1">
        <f t="shared" ref="B35:M35" si="0">SUM(B3:B34)</f>
        <v>29690</v>
      </c>
      <c r="C35" s="1">
        <f t="shared" si="0"/>
        <v>29541.5</v>
      </c>
      <c r="D35" s="1">
        <f t="shared" si="0"/>
        <v>29627</v>
      </c>
      <c r="E35" s="1">
        <f t="shared" si="0"/>
        <v>35720.83</v>
      </c>
      <c r="F35" s="1">
        <f t="shared" si="0"/>
        <v>29155.64</v>
      </c>
      <c r="G35" s="1">
        <f t="shared" si="0"/>
        <v>31457</v>
      </c>
      <c r="H35" s="1">
        <f t="shared" si="0"/>
        <v>0</v>
      </c>
      <c r="I35" s="1">
        <f t="shared" si="0"/>
        <v>0</v>
      </c>
      <c r="J35" s="1">
        <f t="shared" si="0"/>
        <v>0</v>
      </c>
      <c r="K35" s="1">
        <f t="shared" si="0"/>
        <v>0</v>
      </c>
      <c r="L35" s="1">
        <f t="shared" si="0"/>
        <v>0</v>
      </c>
      <c r="M35" s="1">
        <f t="shared" si="0"/>
        <v>0</v>
      </c>
      <c r="O35" s="2">
        <f>SUM(B35:N35)</f>
        <v>185191.97</v>
      </c>
      <c r="P35" t="s">
        <v>24</v>
      </c>
    </row>
    <row r="36" spans="2:16" x14ac:dyDescent="0.25">
      <c r="B36" s="1"/>
    </row>
    <row r="37" spans="2:16" x14ac:dyDescent="0.25">
      <c r="B37" s="1"/>
    </row>
    <row r="38" spans="2:16" x14ac:dyDescent="0.25">
      <c r="B38" s="1"/>
    </row>
    <row r="39" spans="2:16" x14ac:dyDescent="0.25">
      <c r="B39" s="1"/>
    </row>
    <row r="40" spans="2:16" x14ac:dyDescent="0.25">
      <c r="B40" s="1"/>
    </row>
    <row r="41" spans="2:16" x14ac:dyDescent="0.25">
      <c r="B41" s="1"/>
    </row>
    <row r="42" spans="2:16" x14ac:dyDescent="0.25">
      <c r="B42" s="1"/>
    </row>
    <row r="47" spans="2:16" x14ac:dyDescent="0.25">
      <c r="B47" s="2"/>
    </row>
  </sheetData>
  <pageMargins left="0.7" right="0.7" top="0.75" bottom="0.75" header="0.3" footer="0.3"/>
  <headerFooter>
    <oddFooter>&amp;C_x000D_&amp;1#&amp;"Calibri"&amp;10&amp;K000000 Classified as Business</oddFooter>
  </headerFooter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Shaw</dc:creator>
  <cp:lastModifiedBy>David Vercher</cp:lastModifiedBy>
  <dcterms:created xsi:type="dcterms:W3CDTF">2025-11-06T14:22:06Z</dcterms:created>
  <dcterms:modified xsi:type="dcterms:W3CDTF">2026-08-02T14:09:26Z</dcterms:modified>
</cp:coreProperties>
</file>