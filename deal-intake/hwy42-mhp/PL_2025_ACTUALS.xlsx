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ropbox\a Properties Listings\Hwy 42 Trailer Park\Private Docs\"/>
    </mc:Choice>
  </mc:AlternateContent>
  <xr:revisionPtr revIDLastSave="0" documentId="13_ncr:1_{3830C831-5202-4688-BD02-BAD8F3346834}" xr6:coauthVersionLast="47" xr6:coauthVersionMax="47" xr10:uidLastSave="{00000000-0000-0000-0000-000000000000}"/>
  <bookViews>
    <workbookView xWindow="-120" yWindow="-120" windowWidth="29040" windowHeight="15720" activeTab="1" xr2:uid="{0289F6DD-7A08-437E-B3FB-E2FFF5250A2C}"/>
  </bookViews>
  <sheets>
    <sheet name="Summary" sheetId="1" r:id="rId1"/>
    <sheet name="Inc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2" l="1"/>
  <c r="B54" i="2"/>
  <c r="L36" i="2"/>
  <c r="L3" i="1" s="1"/>
  <c r="L14" i="1" s="1"/>
  <c r="M36" i="2" l="1"/>
  <c r="N4" i="1"/>
  <c r="N5" i="1"/>
  <c r="N6" i="1"/>
  <c r="N9" i="1"/>
  <c r="N7" i="1"/>
  <c r="N8" i="1"/>
  <c r="K36" i="2"/>
  <c r="K3" i="1" s="1"/>
  <c r="K14" i="1" s="1"/>
  <c r="J36" i="2"/>
  <c r="J3" i="1" s="1"/>
  <c r="J14" i="1" s="1"/>
  <c r="I36" i="2"/>
  <c r="I3" i="1" s="1"/>
  <c r="I14" i="1" s="1"/>
  <c r="H36" i="2"/>
  <c r="H3" i="1" s="1"/>
  <c r="H14" i="1" s="1"/>
  <c r="G36" i="2"/>
  <c r="G3" i="1" s="1"/>
  <c r="G14" i="1" s="1"/>
  <c r="F36" i="2"/>
  <c r="F3" i="1" s="1"/>
  <c r="F14" i="1" s="1"/>
  <c r="E36" i="2"/>
  <c r="E3" i="1" s="1"/>
  <c r="E14" i="1" s="1"/>
  <c r="D36" i="2"/>
  <c r="D3" i="1" s="1"/>
  <c r="D14" i="1" s="1"/>
  <c r="M3" i="1" l="1"/>
  <c r="M14" i="1" s="1"/>
  <c r="C36" i="2"/>
  <c r="C3" i="1" s="1"/>
  <c r="C14" i="1" s="1"/>
  <c r="B36" i="2" l="1"/>
  <c r="B3" i="1" l="1"/>
  <c r="O36" i="2"/>
  <c r="B14" i="1" l="1"/>
  <c r="N14" i="1" s="1"/>
  <c r="N3" i="1"/>
</calcChain>
</file>

<file path=xl/sharedStrings.xml><?xml version="1.0" encoding="utf-8"?>
<sst xmlns="http://schemas.openxmlformats.org/spreadsheetml/2006/main" count="78" uniqueCount="49">
  <si>
    <t>OLD GALVEZ MHP</t>
  </si>
  <si>
    <t>Income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</si>
  <si>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</si>
  <si>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</si>
  <si>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</si>
  <si>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</si>
  <si>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</si>
  <si>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</si>
  <si>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</si>
  <si>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</si>
  <si>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</si>
  <si>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</si>
  <si>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2025 YTD</t>
  </si>
  <si>
    <t>Maintenance</t>
  </si>
  <si>
    <t>Unit</t>
  </si>
  <si>
    <t>OLD GALVEZ MHP rent income</t>
  </si>
  <si>
    <t>Net</t>
  </si>
  <si>
    <t>Electricity</t>
  </si>
  <si>
    <t>Trash</t>
  </si>
  <si>
    <t>Lawn Care</t>
  </si>
  <si>
    <t>Waste Water Sol</t>
  </si>
  <si>
    <t xml:space="preserve">Insurance </t>
  </si>
  <si>
    <t>air bnb (2,5,19, &amp;20)</t>
  </si>
  <si>
    <t>NOV</t>
  </si>
  <si>
    <t>DEC</t>
  </si>
  <si>
    <t>TOTAL</t>
  </si>
  <si>
    <t>TOTALS</t>
  </si>
  <si>
    <t>Management</t>
  </si>
  <si>
    <t>Property Tax</t>
  </si>
  <si>
    <t>Air B&amp;B terminated August 2025</t>
  </si>
  <si>
    <t>2025 Expenses</t>
  </si>
  <si>
    <t>Lot Rent</t>
  </si>
  <si>
    <t>Beds</t>
  </si>
  <si>
    <t>Year Model</t>
  </si>
  <si>
    <t>Baths</t>
  </si>
  <si>
    <t>2026 Scheduled Gross  Income</t>
  </si>
  <si>
    <t>Mnagement @ 7%</t>
  </si>
  <si>
    <t>City Water</t>
  </si>
  <si>
    <t>Maintenance @5%</t>
  </si>
  <si>
    <t>Hazard &amp; Liability  Ins</t>
  </si>
  <si>
    <t>Flood Ins</t>
  </si>
  <si>
    <t>Electric</t>
  </si>
  <si>
    <t>Treatment plant power only 2026. 2025 included Air B&amp;B rentals</t>
  </si>
  <si>
    <t>Private Sewer Treatment Plant</t>
  </si>
  <si>
    <t>2026 Actual Gross  Income</t>
  </si>
  <si>
    <t>Adjusted for 2026 No Air B&amp;B</t>
  </si>
  <si>
    <t>Scheduled NOI</t>
  </si>
  <si>
    <t>Actual NOI</t>
  </si>
  <si>
    <t>Actual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</si>
</sst>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0" borderId="0" xfId="1" applyFont="1" applyFill="1"/>
    <xf numFmtId="44" fontId="2" fillId="0" borderId="0" xfId="1" applyFont="1" applyFill="1"/>
    <xf numFmtId="44" fontId="3" fillId="0" borderId="0" xfId="1" applyFont="1" applyFill="1"/>
    <xf numFmtId="0" fontId="0" fillId="0" borderId="0" xfId="0" applyAlignment="1">
      <alignment horizontal="right"/>
    </xf>
    <xf numFmtId="44" fontId="1" fillId="0" borderId="0" xfId="1" applyFont="1" applyFill="1"/>
    <xf numFmtId="0" fontId="2" fillId="0" borderId="0" xfId="0" applyFont="1"/>
    <xf numFmtId="44" fontId="2" fillId="0" borderId="0" xfId="1" applyFont="1"/>
    <xf numFmtId="44" fontId="2" fillId="0" borderId="0" xfId="0" applyNumberFormat="1" applyFont="1"/>
    <xf numFmtId="0" fontId="0" fillId="0" borderId="0" xfId="1" applyNumberFormat="1" applyFont="1" applyFill="1"/>
    <xf numFmtId="164" fontId="0" fillId="0" borderId="0" xfId="0" applyNumberFormat="1"/>
    <xf numFmtId="0" fontId="3" fillId="0" borderId="0" xfId="0" applyFont="1"/>
    <xf numFmtId="164" fontId="3" fillId="0" borderId="0" xfId="1" applyNumberFormat="1" applyFont="1"/>
    <xf numFmtId="164" fontId="3" fillId="0" borderId="0" xfId="0" applyNumberFormat="1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0ED7-161A-4419-9E4F-F395BEBC8361}">
  <dimension ref="A1:N18"/>
  <sheetViews>
    <sheetView zoomScale="75" zoomScaleNormal="75" workbookViewId="0">
      <selection activeCell="S30" sqref="S30"/>
    </sheetView>
  </sheetViews>
  <sheetFormatPr defaultRowHeight="15" x14ac:dyDescent="0.25"/>
  <cols>
    <col min="1" max="1" width="16.85546875" customWidth="1"/>
    <col min="2" max="2" width="13.140625" customWidth="1"/>
    <col min="3" max="3" width="12.5703125" customWidth="1"/>
    <col min="4" max="4" width="13.42578125" customWidth="1"/>
    <col min="5" max="5" width="12.42578125" customWidth="1"/>
    <col min="6" max="6" width="12.85546875" customWidth="1"/>
    <col min="7" max="7" width="14.5703125" customWidth="1"/>
    <col min="8" max="8" width="12.28515625" customWidth="1"/>
    <col min="9" max="9" width="13.140625" customWidth="1"/>
    <col min="10" max="10" width="12.7109375" bestFit="1" customWidth="1"/>
    <col min="11" max="13" width="13" customWidth="1"/>
    <col min="14" max="14" width="13.85546875" bestFit="1" customWidth="1"/>
  </cols>
  <sheetData>
    <row r="1" spans="1:14" x14ac:dyDescent="0.25">
      <c r="A1" t="s">
        <v>0</v>
      </c>
      <c r="C1" t="s">
        <v>12</v>
      </c>
    </row>
    <row r="2" spans="1:14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23</v>
      </c>
      <c r="M2" t="s">
        <v>24</v>
      </c>
      <c r="N2" s="6" t="s">
        <v>26</v>
      </c>
    </row>
    <row r="3" spans="1:14" x14ac:dyDescent="0.25">
      <c r="A3" t="s">
        <v>1</v>
      </c>
      <c r="B3" s="1">
        <f>Income!B36</f>
        <v>33130.660000000003</v>
      </c>
      <c r="C3" s="1">
        <f>Income!C36</f>
        <v>30289.75</v>
      </c>
      <c r="D3" s="1">
        <f>Income!D36</f>
        <v>35149.550000000003</v>
      </c>
      <c r="E3" s="1">
        <f>Income!E36</f>
        <v>32338.09</v>
      </c>
      <c r="F3" s="1">
        <f>Income!F36</f>
        <v>30018.6</v>
      </c>
      <c r="G3" s="1">
        <f>Income!G36</f>
        <v>27991.57</v>
      </c>
      <c r="H3" s="1">
        <f>Income!H36</f>
        <v>26863.47</v>
      </c>
      <c r="I3" s="1">
        <f>Income!I36</f>
        <v>23916.91</v>
      </c>
      <c r="J3" s="1">
        <f>Income!J36</f>
        <v>24922.5</v>
      </c>
      <c r="K3" s="1">
        <f>Income!K36</f>
        <v>25963.129999999997</v>
      </c>
      <c r="L3" s="1">
        <f>Income!L36</f>
        <v>30563</v>
      </c>
      <c r="M3" s="1">
        <f>Income!M36</f>
        <v>30592.5</v>
      </c>
      <c r="N3" s="2">
        <f t="shared" ref="N3:N9" si="0">SUM(B3:M3)</f>
        <v>351739.73</v>
      </c>
    </row>
    <row r="4" spans="1:14" x14ac:dyDescent="0.25">
      <c r="A4" t="s">
        <v>13</v>
      </c>
      <c r="B4" s="1">
        <v>1329</v>
      </c>
      <c r="C4" s="1">
        <v>3527</v>
      </c>
      <c r="D4" s="1">
        <v>2860</v>
      </c>
      <c r="E4" s="1">
        <v>2062</v>
      </c>
      <c r="F4" s="1">
        <v>4518</v>
      </c>
      <c r="G4" s="1">
        <v>3606</v>
      </c>
      <c r="H4" s="1">
        <v>3133</v>
      </c>
      <c r="I4" s="1">
        <v>1843</v>
      </c>
      <c r="J4" s="1">
        <v>3483</v>
      </c>
      <c r="K4" s="1">
        <v>3020</v>
      </c>
      <c r="L4" s="1">
        <v>2744</v>
      </c>
      <c r="M4" s="1">
        <v>763.77</v>
      </c>
      <c r="N4" s="2">
        <f t="shared" si="0"/>
        <v>32888.769999999997</v>
      </c>
    </row>
    <row r="5" spans="1:14" x14ac:dyDescent="0.25">
      <c r="A5" t="s">
        <v>17</v>
      </c>
      <c r="B5" s="1">
        <v>536.87</v>
      </c>
      <c r="C5" s="1">
        <v>489.89</v>
      </c>
      <c r="D5" s="1">
        <v>509.3</v>
      </c>
      <c r="E5" s="1">
        <v>652</v>
      </c>
      <c r="F5" s="1">
        <v>510.24</v>
      </c>
      <c r="G5" s="1">
        <v>501.05</v>
      </c>
      <c r="H5" s="1">
        <v>516.16999999999996</v>
      </c>
      <c r="I5" s="1">
        <v>524.52</v>
      </c>
      <c r="J5" s="1">
        <v>496.66</v>
      </c>
      <c r="K5" s="1">
        <v>489.89</v>
      </c>
      <c r="L5" s="1">
        <v>480</v>
      </c>
      <c r="M5" s="1">
        <v>469.52</v>
      </c>
      <c r="N5" s="2">
        <f t="shared" si="0"/>
        <v>6176.1100000000006</v>
      </c>
    </row>
    <row r="6" spans="1:14" x14ac:dyDescent="0.25">
      <c r="A6" t="s">
        <v>21</v>
      </c>
      <c r="B6" s="1">
        <v>1577.73</v>
      </c>
      <c r="C6" s="1">
        <v>1577.73</v>
      </c>
      <c r="D6" s="1">
        <v>1577.73</v>
      </c>
      <c r="E6" s="1">
        <v>1577.73</v>
      </c>
      <c r="F6" s="1">
        <v>1577.73</v>
      </c>
      <c r="G6" s="1">
        <v>1577.73</v>
      </c>
      <c r="H6" s="1">
        <v>1577.73</v>
      </c>
      <c r="I6" s="1">
        <v>1577.73</v>
      </c>
      <c r="J6" s="1">
        <v>1577.73</v>
      </c>
      <c r="K6" s="1">
        <v>1577.73</v>
      </c>
      <c r="L6" s="1">
        <v>1577.73</v>
      </c>
      <c r="M6" s="1">
        <v>1577.73</v>
      </c>
      <c r="N6" s="2">
        <f t="shared" si="0"/>
        <v>18932.759999999998</v>
      </c>
    </row>
    <row r="7" spans="1:14" x14ac:dyDescent="0.25">
      <c r="A7" t="s">
        <v>18</v>
      </c>
      <c r="B7" s="1">
        <v>328</v>
      </c>
      <c r="C7" s="1">
        <v>328</v>
      </c>
      <c r="D7" s="1">
        <v>328</v>
      </c>
      <c r="E7" s="1">
        <v>328</v>
      </c>
      <c r="F7" s="1">
        <v>328</v>
      </c>
      <c r="G7" s="1">
        <v>328</v>
      </c>
      <c r="H7" s="1">
        <v>328</v>
      </c>
      <c r="I7" s="1">
        <v>328</v>
      </c>
      <c r="J7" s="1">
        <v>328</v>
      </c>
      <c r="K7" s="1">
        <v>328</v>
      </c>
      <c r="L7" s="1">
        <v>328</v>
      </c>
      <c r="M7" s="1">
        <v>328</v>
      </c>
      <c r="N7" s="2">
        <f t="shared" si="0"/>
        <v>3936</v>
      </c>
    </row>
    <row r="8" spans="1:14" x14ac:dyDescent="0.25">
      <c r="A8" t="s">
        <v>19</v>
      </c>
      <c r="B8" s="1">
        <v>0</v>
      </c>
      <c r="C8" s="1"/>
      <c r="D8" s="1"/>
      <c r="E8" s="1">
        <v>300</v>
      </c>
      <c r="F8" s="1">
        <v>300</v>
      </c>
      <c r="G8" s="1">
        <v>300</v>
      </c>
      <c r="H8" s="1">
        <v>300</v>
      </c>
      <c r="I8" s="1">
        <v>300</v>
      </c>
      <c r="J8" s="1">
        <v>300</v>
      </c>
      <c r="K8" s="1">
        <v>300</v>
      </c>
      <c r="L8" s="1"/>
      <c r="M8" s="1"/>
      <c r="N8" s="2">
        <f t="shared" si="0"/>
        <v>2100</v>
      </c>
    </row>
    <row r="9" spans="1:14" x14ac:dyDescent="0.25">
      <c r="A9" t="s">
        <v>20</v>
      </c>
      <c r="B9" s="1">
        <v>250</v>
      </c>
      <c r="C9" s="1">
        <v>250</v>
      </c>
      <c r="D9" s="1">
        <v>250</v>
      </c>
      <c r="E9" s="1">
        <v>250</v>
      </c>
      <c r="F9" s="1">
        <v>250</v>
      </c>
      <c r="G9" s="1">
        <v>250</v>
      </c>
      <c r="H9" s="1">
        <v>250</v>
      </c>
      <c r="I9" s="1">
        <v>250</v>
      </c>
      <c r="J9" s="1">
        <v>250</v>
      </c>
      <c r="K9" s="1">
        <v>250</v>
      </c>
      <c r="L9" s="1">
        <v>250</v>
      </c>
      <c r="M9" s="1">
        <v>250</v>
      </c>
      <c r="N9" s="2">
        <f t="shared" si="0"/>
        <v>3000</v>
      </c>
    </row>
    <row r="10" spans="1:14" x14ac:dyDescent="0.25">
      <c r="A10" t="s">
        <v>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4" x14ac:dyDescent="0.25">
      <c r="A11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4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4" x14ac:dyDescent="0.25">
      <c r="N13" s="2"/>
    </row>
    <row r="14" spans="1:14" x14ac:dyDescent="0.25">
      <c r="A14" t="s">
        <v>16</v>
      </c>
      <c r="B14" s="2">
        <f t="shared" ref="B14:M14" si="1">B3-B4-B5-B6-B7-B8-B9</f>
        <v>29109.060000000005</v>
      </c>
      <c r="C14" s="2">
        <f t="shared" si="1"/>
        <v>24117.13</v>
      </c>
      <c r="D14" s="2">
        <f t="shared" si="1"/>
        <v>29624.520000000004</v>
      </c>
      <c r="E14" s="2">
        <f t="shared" si="1"/>
        <v>27168.36</v>
      </c>
      <c r="F14" s="2">
        <f t="shared" si="1"/>
        <v>22534.629999999997</v>
      </c>
      <c r="G14" s="2">
        <f t="shared" si="1"/>
        <v>21428.79</v>
      </c>
      <c r="H14" s="2">
        <f t="shared" si="1"/>
        <v>20758.570000000003</v>
      </c>
      <c r="I14" s="2">
        <f t="shared" si="1"/>
        <v>19093.66</v>
      </c>
      <c r="J14" s="2">
        <f t="shared" si="1"/>
        <v>18487.11</v>
      </c>
      <c r="K14" s="2">
        <f t="shared" si="1"/>
        <v>19997.509999999998</v>
      </c>
      <c r="L14" s="2">
        <f t="shared" si="1"/>
        <v>25183.27</v>
      </c>
      <c r="M14" s="2">
        <f t="shared" si="1"/>
        <v>27203.48</v>
      </c>
      <c r="N14" s="2">
        <f>SUM(B14:M14)</f>
        <v>284706.09000000003</v>
      </c>
    </row>
    <row r="16" spans="1:14" x14ac:dyDescent="0.25">
      <c r="N16" s="2"/>
    </row>
    <row r="18" spans="14:14" x14ac:dyDescent="0.25">
      <c r="N18" s="2"/>
    </row>
  </sheetData>
  <pageMargins left="0.7" right="0.7" top="0.75" bottom="0.75" header="0.3" footer="0.3"/>
  <headerFooter>
    <oddFooter>&amp;C_x000D_&amp;1#&amp;"Calibri"&amp;10&amp;K000000 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9EF5-9A54-4A4A-8B16-E7BC3617319B}">
  <dimension ref="A1:Q74"/>
  <sheetViews>
    <sheetView tabSelected="1" topLeftCell="A28" zoomScale="75" zoomScaleNormal="75" workbookViewId="0">
      <selection activeCell="S67" sqref="S67"/>
    </sheetView>
  </sheetViews>
  <sheetFormatPr defaultRowHeight="15" x14ac:dyDescent="0.25"/>
  <cols>
    <col min="1" max="1" width="27.85546875" customWidth="1"/>
    <col min="2" max="2" width="13.85546875" bestFit="1" customWidth="1"/>
    <col min="3" max="3" width="13.7109375" customWidth="1"/>
    <col min="4" max="4" width="12.42578125" customWidth="1"/>
    <col min="5" max="5" width="12.7109375" bestFit="1" customWidth="1"/>
    <col min="6" max="6" width="13.5703125" customWidth="1"/>
    <col min="7" max="7" width="12.42578125" customWidth="1"/>
    <col min="8" max="8" width="12.7109375" bestFit="1" customWidth="1"/>
    <col min="9" max="9" width="12.85546875" customWidth="1"/>
    <col min="10" max="10" width="13.140625" customWidth="1"/>
    <col min="11" max="11" width="13" customWidth="1"/>
    <col min="12" max="12" width="12.28515625" customWidth="1"/>
    <col min="13" max="13" width="12.42578125" customWidth="1"/>
    <col min="15" max="15" width="28.85546875" bestFit="1" customWidth="1"/>
    <col min="17" max="17" width="11.5703125" bestFit="1" customWidth="1"/>
  </cols>
  <sheetData>
    <row r="1" spans="1:17" x14ac:dyDescent="0.25">
      <c r="A1" t="s">
        <v>15</v>
      </c>
      <c r="C1" t="s">
        <v>12</v>
      </c>
    </row>
    <row r="2" spans="1:17" x14ac:dyDescent="0.25">
      <c r="A2" t="s">
        <v>14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23</v>
      </c>
      <c r="M2" t="s">
        <v>24</v>
      </c>
      <c r="O2" t="s">
        <v>32</v>
      </c>
      <c r="P2" t="s">
        <v>34</v>
      </c>
      <c r="Q2" t="s">
        <v>33</v>
      </c>
    </row>
    <row r="3" spans="1:17" x14ac:dyDescent="0.25">
      <c r="A3">
        <v>1</v>
      </c>
      <c r="B3" s="1">
        <v>1250</v>
      </c>
      <c r="C3" s="1">
        <v>1250</v>
      </c>
      <c r="D3" s="1">
        <v>1300</v>
      </c>
      <c r="E3" s="3">
        <v>1250</v>
      </c>
      <c r="F3" s="3">
        <v>1250</v>
      </c>
      <c r="G3" s="3">
        <v>1250</v>
      </c>
      <c r="H3" s="3"/>
      <c r="I3" s="3"/>
      <c r="J3" s="3">
        <v>1300</v>
      </c>
      <c r="K3" s="3">
        <v>1300</v>
      </c>
      <c r="L3" s="7">
        <v>1300</v>
      </c>
      <c r="M3" s="3">
        <v>1300</v>
      </c>
      <c r="O3" s="11">
        <v>3</v>
      </c>
      <c r="P3" s="11">
        <v>2</v>
      </c>
      <c r="Q3" s="11">
        <v>2018</v>
      </c>
    </row>
    <row r="4" spans="1:17" x14ac:dyDescent="0.25">
      <c r="A4">
        <v>2</v>
      </c>
      <c r="B4" s="1">
        <v>1250</v>
      </c>
      <c r="C4" s="1"/>
      <c r="D4" s="1"/>
      <c r="E4" s="3"/>
      <c r="F4" s="3"/>
      <c r="G4" s="3">
        <v>1593.58</v>
      </c>
      <c r="H4" s="3">
        <v>1300</v>
      </c>
      <c r="I4" s="3">
        <v>1300</v>
      </c>
      <c r="J4" s="3">
        <v>1300</v>
      </c>
      <c r="K4" s="3">
        <v>1300</v>
      </c>
      <c r="L4" s="7">
        <v>1300</v>
      </c>
      <c r="M4" s="3">
        <v>1300</v>
      </c>
      <c r="O4" s="11">
        <v>3</v>
      </c>
      <c r="P4" s="11">
        <v>2</v>
      </c>
      <c r="Q4" s="11">
        <v>2018</v>
      </c>
    </row>
    <row r="5" spans="1:17" x14ac:dyDescent="0.25">
      <c r="A5">
        <v>3</v>
      </c>
      <c r="B5" s="1">
        <v>1250</v>
      </c>
      <c r="C5" s="1">
        <v>1250</v>
      </c>
      <c r="D5" s="1">
        <v>1300</v>
      </c>
      <c r="E5" s="3">
        <v>1300</v>
      </c>
      <c r="F5" s="3">
        <v>1300</v>
      </c>
      <c r="G5" s="3">
        <v>900</v>
      </c>
      <c r="H5" s="3">
        <v>1290</v>
      </c>
      <c r="I5" s="3">
        <v>950</v>
      </c>
      <c r="J5" s="3">
        <v>0</v>
      </c>
      <c r="K5" s="3"/>
      <c r="L5" s="7"/>
      <c r="M5" s="3">
        <v>1300</v>
      </c>
      <c r="O5" s="11">
        <v>3</v>
      </c>
      <c r="P5" s="11">
        <v>2</v>
      </c>
      <c r="Q5" s="11">
        <v>2018</v>
      </c>
    </row>
    <row r="6" spans="1:17" x14ac:dyDescent="0.25">
      <c r="A6">
        <v>4</v>
      </c>
      <c r="B6" s="1">
        <v>350</v>
      </c>
      <c r="C6" s="1">
        <v>350</v>
      </c>
      <c r="D6" s="1">
        <v>425</v>
      </c>
      <c r="E6" s="3">
        <v>425</v>
      </c>
      <c r="F6" s="3">
        <v>425</v>
      </c>
      <c r="G6" s="3">
        <v>425</v>
      </c>
      <c r="H6" s="3">
        <v>425</v>
      </c>
      <c r="I6" s="3">
        <v>425</v>
      </c>
      <c r="J6" s="3">
        <v>425</v>
      </c>
      <c r="K6" s="3">
        <v>425</v>
      </c>
      <c r="L6" s="7">
        <v>425</v>
      </c>
      <c r="M6" s="3">
        <v>425</v>
      </c>
      <c r="O6" t="s">
        <v>31</v>
      </c>
      <c r="P6" s="11"/>
      <c r="Q6" s="11"/>
    </row>
    <row r="7" spans="1:17" x14ac:dyDescent="0.25">
      <c r="A7">
        <v>5</v>
      </c>
      <c r="B7" s="1"/>
      <c r="C7" s="1"/>
      <c r="D7" s="1"/>
      <c r="E7" s="3"/>
      <c r="F7" s="3"/>
      <c r="G7" s="3"/>
      <c r="H7" s="3"/>
      <c r="I7" s="3">
        <v>419.35</v>
      </c>
      <c r="J7" s="3">
        <v>1300</v>
      </c>
      <c r="K7" s="3">
        <v>750</v>
      </c>
      <c r="L7" s="7"/>
      <c r="M7" s="3"/>
      <c r="O7" s="11">
        <v>3</v>
      </c>
      <c r="P7" s="11">
        <v>2</v>
      </c>
      <c r="Q7" s="11">
        <v>2018</v>
      </c>
    </row>
    <row r="8" spans="1:17" x14ac:dyDescent="0.25">
      <c r="A8">
        <v>6</v>
      </c>
      <c r="B8" s="1">
        <v>1250</v>
      </c>
      <c r="C8" s="1">
        <v>1250</v>
      </c>
      <c r="D8" s="1">
        <v>1250</v>
      </c>
      <c r="E8" s="5">
        <v>1250</v>
      </c>
      <c r="F8" s="3">
        <v>1250</v>
      </c>
      <c r="G8" s="5">
        <v>1250</v>
      </c>
      <c r="H8" s="5">
        <v>1250</v>
      </c>
      <c r="I8" s="4"/>
      <c r="J8" s="5">
        <v>1250</v>
      </c>
      <c r="K8" s="5">
        <v>1250</v>
      </c>
      <c r="L8" s="7">
        <v>1250</v>
      </c>
      <c r="M8" s="3">
        <v>675</v>
      </c>
      <c r="O8" s="11">
        <v>3</v>
      </c>
      <c r="P8" s="11">
        <v>2</v>
      </c>
      <c r="Q8" s="11">
        <v>2018</v>
      </c>
    </row>
    <row r="9" spans="1:17" x14ac:dyDescent="0.25">
      <c r="A9">
        <v>7</v>
      </c>
      <c r="B9" s="1">
        <v>1250</v>
      </c>
      <c r="C9" s="1">
        <v>1250</v>
      </c>
      <c r="D9" s="1">
        <v>1250</v>
      </c>
      <c r="E9" s="3">
        <v>1250</v>
      </c>
      <c r="F9" s="3">
        <v>950</v>
      </c>
      <c r="G9" s="3"/>
      <c r="H9" s="3"/>
      <c r="I9" s="3"/>
      <c r="J9" s="3"/>
      <c r="K9" s="3"/>
      <c r="L9" s="7"/>
      <c r="M9" s="3"/>
      <c r="O9" s="11">
        <v>3</v>
      </c>
      <c r="P9" s="11">
        <v>2</v>
      </c>
      <c r="Q9" s="11">
        <v>2018</v>
      </c>
    </row>
    <row r="10" spans="1:17" x14ac:dyDescent="0.25">
      <c r="A10">
        <v>8</v>
      </c>
      <c r="B10" s="1">
        <v>950</v>
      </c>
      <c r="C10" s="1">
        <v>1250</v>
      </c>
      <c r="D10" s="1">
        <v>1300</v>
      </c>
      <c r="E10" s="3">
        <v>1250</v>
      </c>
      <c r="F10" s="3">
        <v>1250</v>
      </c>
      <c r="G10" s="3">
        <v>1300</v>
      </c>
      <c r="H10" s="3">
        <v>1300</v>
      </c>
      <c r="I10" s="3">
        <v>1300</v>
      </c>
      <c r="J10" s="3">
        <v>1250</v>
      </c>
      <c r="K10" s="3">
        <v>1300</v>
      </c>
      <c r="L10" s="7">
        <v>1300</v>
      </c>
      <c r="M10" s="3">
        <v>1142.5</v>
      </c>
      <c r="O10" s="11">
        <v>3</v>
      </c>
      <c r="P10" s="11">
        <v>2</v>
      </c>
      <c r="Q10" s="11">
        <v>2018</v>
      </c>
    </row>
    <row r="11" spans="1:17" x14ac:dyDescent="0.25">
      <c r="A11">
        <v>9</v>
      </c>
      <c r="B11" s="1">
        <v>350</v>
      </c>
      <c r="C11" s="1">
        <v>350</v>
      </c>
      <c r="D11" s="1">
        <v>425</v>
      </c>
      <c r="E11" s="1">
        <v>425</v>
      </c>
      <c r="F11" s="3">
        <v>425</v>
      </c>
      <c r="G11" s="3">
        <v>425</v>
      </c>
      <c r="H11" s="3"/>
      <c r="I11" s="3">
        <v>425</v>
      </c>
      <c r="J11" s="3">
        <v>425</v>
      </c>
      <c r="K11" s="3">
        <v>425</v>
      </c>
      <c r="L11" s="7">
        <v>425</v>
      </c>
      <c r="M11" s="3">
        <v>425</v>
      </c>
      <c r="O11" t="s">
        <v>31</v>
      </c>
      <c r="P11" s="11"/>
      <c r="Q11" s="11"/>
    </row>
    <row r="12" spans="1:17" x14ac:dyDescent="0.25">
      <c r="A12">
        <v>10</v>
      </c>
      <c r="B12" s="1">
        <v>1250</v>
      </c>
      <c r="C12" s="1">
        <v>1250</v>
      </c>
      <c r="D12" s="1"/>
      <c r="E12" s="3">
        <v>1120</v>
      </c>
      <c r="F12" s="3"/>
      <c r="G12" s="3"/>
      <c r="H12" s="3">
        <v>587.16</v>
      </c>
      <c r="I12" s="3">
        <v>1300</v>
      </c>
      <c r="J12" s="3"/>
      <c r="K12" s="3">
        <v>629.03</v>
      </c>
      <c r="L12" s="7">
        <v>1300</v>
      </c>
      <c r="M12" s="3">
        <v>1300</v>
      </c>
      <c r="O12" s="11">
        <v>3</v>
      </c>
      <c r="P12" s="11">
        <v>2</v>
      </c>
      <c r="Q12" s="11">
        <v>2018</v>
      </c>
    </row>
    <row r="13" spans="1:17" x14ac:dyDescent="0.25">
      <c r="A13">
        <v>11</v>
      </c>
      <c r="B13" s="1">
        <v>1050</v>
      </c>
      <c r="C13" s="1">
        <v>1250</v>
      </c>
      <c r="D13" s="1"/>
      <c r="E13" s="3">
        <v>1250</v>
      </c>
      <c r="F13" s="3"/>
      <c r="G13" s="3"/>
      <c r="H13" s="3"/>
      <c r="I13" s="3"/>
      <c r="J13" s="3">
        <v>1300</v>
      </c>
      <c r="K13" s="3">
        <v>1300</v>
      </c>
      <c r="L13" s="7">
        <v>1300</v>
      </c>
      <c r="M13" s="3">
        <v>1300</v>
      </c>
      <c r="O13" s="11">
        <v>3</v>
      </c>
      <c r="P13" s="11">
        <v>2</v>
      </c>
      <c r="Q13" s="11">
        <v>2018</v>
      </c>
    </row>
    <row r="14" spans="1:17" x14ac:dyDescent="0.25">
      <c r="A14">
        <v>12</v>
      </c>
      <c r="B14" s="1">
        <v>1250</v>
      </c>
      <c r="C14" s="1">
        <v>1250</v>
      </c>
      <c r="D14" s="1">
        <v>1250</v>
      </c>
      <c r="E14" s="3">
        <v>1250</v>
      </c>
      <c r="F14" s="3">
        <v>1250</v>
      </c>
      <c r="G14" s="3">
        <v>1240</v>
      </c>
      <c r="H14" s="3">
        <v>1250</v>
      </c>
      <c r="I14" s="3"/>
      <c r="J14" s="3">
        <v>1250</v>
      </c>
      <c r="K14" s="3">
        <v>1200</v>
      </c>
      <c r="L14" s="7">
        <v>1250</v>
      </c>
      <c r="M14" s="3">
        <v>1200</v>
      </c>
      <c r="O14" s="11">
        <v>3</v>
      </c>
      <c r="P14" s="11">
        <v>2</v>
      </c>
      <c r="Q14" s="11">
        <v>2018</v>
      </c>
    </row>
    <row r="15" spans="1:17" x14ac:dyDescent="0.25">
      <c r="A15">
        <v>13</v>
      </c>
      <c r="B15" s="1">
        <v>1250</v>
      </c>
      <c r="C15" s="1">
        <v>1300</v>
      </c>
      <c r="D15" s="3">
        <v>975</v>
      </c>
      <c r="E15" s="3"/>
      <c r="F15" s="3">
        <v>500</v>
      </c>
      <c r="G15" s="3"/>
      <c r="H15" s="3"/>
      <c r="I15" s="3">
        <v>1300</v>
      </c>
      <c r="J15" s="3">
        <v>1300</v>
      </c>
      <c r="K15" s="3">
        <v>1300</v>
      </c>
      <c r="L15" s="7">
        <v>1300</v>
      </c>
      <c r="M15" s="3">
        <v>1140</v>
      </c>
      <c r="O15" s="11">
        <v>3</v>
      </c>
      <c r="P15" s="11">
        <v>2</v>
      </c>
      <c r="Q15" s="11">
        <v>2018</v>
      </c>
    </row>
    <row r="16" spans="1:17" x14ac:dyDescent="0.25">
      <c r="A16">
        <v>14</v>
      </c>
      <c r="B16" s="1">
        <v>300</v>
      </c>
      <c r="C16" s="1">
        <v>1250</v>
      </c>
      <c r="D16" s="1">
        <v>1250</v>
      </c>
      <c r="E16" s="3">
        <v>1250</v>
      </c>
      <c r="F16" s="3">
        <v>1250</v>
      </c>
      <c r="G16" s="3">
        <v>1250</v>
      </c>
      <c r="H16" s="3">
        <v>1250</v>
      </c>
      <c r="I16" s="3">
        <v>1250</v>
      </c>
      <c r="J16" s="3">
        <v>1250</v>
      </c>
      <c r="K16" s="3">
        <v>1250</v>
      </c>
      <c r="L16" s="7">
        <v>1250</v>
      </c>
      <c r="M16" s="3">
        <v>1250</v>
      </c>
      <c r="O16" s="11">
        <v>3</v>
      </c>
      <c r="P16" s="11">
        <v>2</v>
      </c>
      <c r="Q16" s="11">
        <v>2018</v>
      </c>
    </row>
    <row r="17" spans="1:17" x14ac:dyDescent="0.25">
      <c r="A17">
        <v>15</v>
      </c>
      <c r="B17" s="1">
        <v>350</v>
      </c>
      <c r="C17" s="1">
        <v>350</v>
      </c>
      <c r="D17" s="1">
        <v>425</v>
      </c>
      <c r="E17" s="3">
        <v>425</v>
      </c>
      <c r="F17" s="3">
        <v>425</v>
      </c>
      <c r="G17" s="3">
        <v>425</v>
      </c>
      <c r="H17" s="3">
        <v>425</v>
      </c>
      <c r="I17" s="3">
        <v>425</v>
      </c>
      <c r="J17" s="3">
        <v>425</v>
      </c>
      <c r="K17" s="3">
        <v>425</v>
      </c>
      <c r="L17" s="7">
        <v>425</v>
      </c>
      <c r="M17" s="3">
        <v>425</v>
      </c>
      <c r="O17" t="s">
        <v>31</v>
      </c>
      <c r="P17" s="11"/>
      <c r="Q17" s="11"/>
    </row>
    <row r="18" spans="1:17" x14ac:dyDescent="0.25">
      <c r="A18">
        <v>16</v>
      </c>
      <c r="B18" s="1">
        <v>1250</v>
      </c>
      <c r="C18" s="1">
        <v>1250</v>
      </c>
      <c r="D18" s="1">
        <v>1250</v>
      </c>
      <c r="E18" s="3">
        <v>1250</v>
      </c>
      <c r="F18" s="3">
        <v>1250</v>
      </c>
      <c r="G18" s="3">
        <v>1250</v>
      </c>
      <c r="H18" s="3"/>
      <c r="I18" s="3"/>
      <c r="J18" s="3">
        <v>1300</v>
      </c>
      <c r="K18" s="3">
        <v>1300</v>
      </c>
      <c r="L18" s="7">
        <v>1300</v>
      </c>
      <c r="M18" s="3">
        <v>1300</v>
      </c>
      <c r="O18" s="11">
        <v>3</v>
      </c>
      <c r="P18" s="11">
        <v>2</v>
      </c>
      <c r="Q18" s="11">
        <v>2018</v>
      </c>
    </row>
    <row r="19" spans="1:17" x14ac:dyDescent="0.25">
      <c r="A19">
        <v>17</v>
      </c>
      <c r="B19" s="1"/>
      <c r="C19" s="1"/>
      <c r="D19" s="1">
        <v>1300</v>
      </c>
      <c r="E19" s="3">
        <v>1654</v>
      </c>
      <c r="F19" s="3">
        <v>859</v>
      </c>
      <c r="G19" s="3">
        <v>1841</v>
      </c>
      <c r="H19" s="3">
        <v>1350</v>
      </c>
      <c r="I19" s="3">
        <v>1200</v>
      </c>
      <c r="J19" s="5">
        <v>1300</v>
      </c>
      <c r="K19" s="3">
        <v>1300</v>
      </c>
      <c r="L19" s="7">
        <v>875</v>
      </c>
      <c r="M19" s="3">
        <v>1725</v>
      </c>
      <c r="O19" s="11">
        <v>3</v>
      </c>
      <c r="P19" s="11">
        <v>2</v>
      </c>
      <c r="Q19" s="11">
        <v>2018</v>
      </c>
    </row>
    <row r="20" spans="1:17" x14ac:dyDescent="0.25">
      <c r="A20">
        <v>18</v>
      </c>
      <c r="B20" s="1">
        <v>800</v>
      </c>
      <c r="C20" s="1">
        <v>900</v>
      </c>
      <c r="D20" s="1">
        <v>1550</v>
      </c>
      <c r="E20" s="3">
        <v>1250</v>
      </c>
      <c r="F20" s="3">
        <v>950</v>
      </c>
      <c r="G20" s="3">
        <v>1650</v>
      </c>
      <c r="H20" s="3">
        <v>950</v>
      </c>
      <c r="I20" s="3">
        <v>1550</v>
      </c>
      <c r="J20" s="3">
        <v>800</v>
      </c>
      <c r="K20" s="3">
        <v>1250</v>
      </c>
      <c r="L20" s="7">
        <v>1250</v>
      </c>
      <c r="M20" s="3">
        <v>850</v>
      </c>
      <c r="O20" s="11">
        <v>3</v>
      </c>
      <c r="P20" s="11">
        <v>2</v>
      </c>
      <c r="Q20" s="11">
        <v>2018</v>
      </c>
    </row>
    <row r="21" spans="1:17" x14ac:dyDescent="0.25">
      <c r="A21">
        <v>19</v>
      </c>
      <c r="B21" s="1"/>
      <c r="C21" s="1"/>
      <c r="D21" s="1"/>
      <c r="E21" s="3"/>
      <c r="F21" s="3"/>
      <c r="G21" s="3"/>
      <c r="H21" s="3">
        <v>970</v>
      </c>
      <c r="I21" s="3">
        <v>1200</v>
      </c>
      <c r="J21" s="3">
        <v>1000</v>
      </c>
      <c r="K21" s="3"/>
      <c r="L21" s="7">
        <v>1083</v>
      </c>
      <c r="M21" s="3">
        <v>205</v>
      </c>
      <c r="O21" s="11">
        <v>3</v>
      </c>
      <c r="P21" s="11">
        <v>2</v>
      </c>
      <c r="Q21" s="11">
        <v>2018</v>
      </c>
    </row>
    <row r="22" spans="1:17" x14ac:dyDescent="0.25">
      <c r="A22">
        <v>20</v>
      </c>
      <c r="B22" s="1"/>
      <c r="C22" s="1"/>
      <c r="D22" s="1"/>
      <c r="E22" s="3"/>
      <c r="F22" s="3"/>
      <c r="G22" s="3">
        <v>1083.33</v>
      </c>
      <c r="H22" s="3">
        <v>1350</v>
      </c>
      <c r="I22" s="3">
        <v>1300</v>
      </c>
      <c r="J22" s="3">
        <v>1300</v>
      </c>
      <c r="K22" s="3">
        <v>1300</v>
      </c>
      <c r="L22" s="7">
        <v>1300</v>
      </c>
      <c r="M22" s="3">
        <v>1300</v>
      </c>
      <c r="O22" s="11">
        <v>3</v>
      </c>
      <c r="P22" s="11">
        <v>2</v>
      </c>
      <c r="Q22" s="11">
        <v>2018</v>
      </c>
    </row>
    <row r="23" spans="1:17" x14ac:dyDescent="0.25">
      <c r="A23">
        <v>21</v>
      </c>
      <c r="B23" s="1">
        <v>1250</v>
      </c>
      <c r="C23" s="1">
        <v>1250</v>
      </c>
      <c r="D23" s="1">
        <v>1250</v>
      </c>
      <c r="E23" s="3">
        <v>1250</v>
      </c>
      <c r="F23" s="3">
        <v>1250</v>
      </c>
      <c r="G23" s="3">
        <v>1250</v>
      </c>
      <c r="H23" s="3">
        <v>1250</v>
      </c>
      <c r="I23" s="3">
        <v>1250</v>
      </c>
      <c r="J23" s="3">
        <v>1250</v>
      </c>
      <c r="K23" s="3">
        <v>1250</v>
      </c>
      <c r="L23" s="7">
        <v>1250</v>
      </c>
      <c r="M23" s="3">
        <v>1250</v>
      </c>
      <c r="O23" s="11">
        <v>3</v>
      </c>
      <c r="P23" s="11">
        <v>2</v>
      </c>
      <c r="Q23" s="11">
        <v>2018</v>
      </c>
    </row>
    <row r="24" spans="1:17" x14ac:dyDescent="0.25">
      <c r="A24">
        <v>22</v>
      </c>
      <c r="B24" s="1"/>
      <c r="C24" s="1"/>
      <c r="D24" s="1">
        <v>1250</v>
      </c>
      <c r="E24" s="3">
        <v>1250</v>
      </c>
      <c r="F24" s="3">
        <v>1300</v>
      </c>
      <c r="G24" s="3">
        <v>434.98</v>
      </c>
      <c r="H24" s="5">
        <v>1947</v>
      </c>
      <c r="I24" s="3">
        <v>1152.56</v>
      </c>
      <c r="J24" s="5">
        <v>1250</v>
      </c>
      <c r="K24" s="3">
        <v>1250</v>
      </c>
      <c r="L24" s="7">
        <v>1250</v>
      </c>
      <c r="M24" s="3">
        <v>1250</v>
      </c>
      <c r="O24" s="11">
        <v>3</v>
      </c>
      <c r="P24" s="11">
        <v>2</v>
      </c>
      <c r="Q24" s="11">
        <v>2018</v>
      </c>
    </row>
    <row r="25" spans="1:17" x14ac:dyDescent="0.25">
      <c r="A25">
        <v>23</v>
      </c>
      <c r="B25" s="1">
        <v>1250</v>
      </c>
      <c r="C25" s="1">
        <v>1234</v>
      </c>
      <c r="D25" s="1">
        <v>1316</v>
      </c>
      <c r="E25" s="3">
        <v>1042</v>
      </c>
      <c r="F25" s="3">
        <v>1108</v>
      </c>
      <c r="G25" s="3">
        <v>1425</v>
      </c>
      <c r="H25" s="3"/>
      <c r="I25" s="3"/>
      <c r="J25" s="3"/>
      <c r="K25" s="3"/>
      <c r="L25" s="7">
        <v>1300</v>
      </c>
      <c r="M25" s="3">
        <v>1300</v>
      </c>
      <c r="O25" s="11">
        <v>3</v>
      </c>
      <c r="P25" s="11">
        <v>2</v>
      </c>
      <c r="Q25" s="11">
        <v>2018</v>
      </c>
    </row>
    <row r="26" spans="1:17" x14ac:dyDescent="0.25">
      <c r="A26">
        <v>24</v>
      </c>
      <c r="B26" s="1">
        <v>1250</v>
      </c>
      <c r="C26" s="1">
        <v>1250</v>
      </c>
      <c r="D26" s="1">
        <v>1250</v>
      </c>
      <c r="E26" s="3">
        <v>1250</v>
      </c>
      <c r="F26" s="3">
        <v>1250</v>
      </c>
      <c r="G26" s="3">
        <v>1250</v>
      </c>
      <c r="H26" s="3">
        <v>1250</v>
      </c>
      <c r="I26" s="3">
        <v>1250</v>
      </c>
      <c r="J26" s="3"/>
      <c r="K26" s="3">
        <v>630</v>
      </c>
      <c r="L26" s="7">
        <v>1300</v>
      </c>
      <c r="M26" s="3">
        <v>1300</v>
      </c>
      <c r="O26" s="11">
        <v>3</v>
      </c>
      <c r="P26" s="11">
        <v>2</v>
      </c>
      <c r="Q26" s="11">
        <v>2018</v>
      </c>
    </row>
    <row r="27" spans="1:17" x14ac:dyDescent="0.25">
      <c r="A27">
        <v>25</v>
      </c>
      <c r="B27" s="1">
        <v>1250</v>
      </c>
      <c r="C27" s="1">
        <v>1200</v>
      </c>
      <c r="D27" s="1">
        <v>1250</v>
      </c>
      <c r="E27" s="3">
        <v>1250</v>
      </c>
      <c r="F27" s="3">
        <v>800</v>
      </c>
      <c r="G27" s="3">
        <v>750</v>
      </c>
      <c r="H27" s="3">
        <v>1600</v>
      </c>
      <c r="I27" s="3">
        <v>620</v>
      </c>
      <c r="J27" s="5">
        <v>397.5</v>
      </c>
      <c r="K27" s="3">
        <v>650</v>
      </c>
      <c r="L27" s="7">
        <v>1200</v>
      </c>
      <c r="M27" s="3">
        <v>830</v>
      </c>
      <c r="O27" s="11">
        <v>3</v>
      </c>
      <c r="P27" s="11">
        <v>2</v>
      </c>
      <c r="Q27" s="11">
        <v>2018</v>
      </c>
    </row>
    <row r="28" spans="1:17" x14ac:dyDescent="0.25">
      <c r="A28">
        <v>26</v>
      </c>
      <c r="B28" s="1">
        <v>1250</v>
      </c>
      <c r="C28" s="1">
        <v>1250</v>
      </c>
      <c r="D28" s="1">
        <v>1250</v>
      </c>
      <c r="E28" s="3">
        <v>500</v>
      </c>
      <c r="F28" s="3">
        <v>1300</v>
      </c>
      <c r="G28" s="3">
        <v>1300</v>
      </c>
      <c r="H28" s="3">
        <v>1300</v>
      </c>
      <c r="I28" s="3">
        <v>1300</v>
      </c>
      <c r="J28" s="3">
        <v>1300</v>
      </c>
      <c r="K28" s="3">
        <v>1300</v>
      </c>
      <c r="L28" s="7">
        <v>1300</v>
      </c>
      <c r="M28" s="3">
        <v>1250</v>
      </c>
      <c r="O28" s="11">
        <v>3</v>
      </c>
      <c r="P28" s="11">
        <v>2</v>
      </c>
      <c r="Q28" s="11">
        <v>2018</v>
      </c>
    </row>
    <row r="29" spans="1:17" x14ac:dyDescent="0.25">
      <c r="A29">
        <v>27</v>
      </c>
      <c r="B29" s="1">
        <v>1250</v>
      </c>
      <c r="C29" s="1">
        <v>1250</v>
      </c>
      <c r="D29" s="1">
        <v>1250</v>
      </c>
      <c r="E29" s="3">
        <v>1250</v>
      </c>
      <c r="F29" s="3">
        <v>1250</v>
      </c>
      <c r="G29" s="3">
        <v>1300</v>
      </c>
      <c r="H29" s="3"/>
      <c r="I29" s="3">
        <v>1300</v>
      </c>
      <c r="J29" s="3"/>
      <c r="K29" s="3"/>
      <c r="L29" s="7">
        <v>780</v>
      </c>
      <c r="M29" s="3">
        <v>1300</v>
      </c>
      <c r="O29" s="11">
        <v>3</v>
      </c>
      <c r="P29" s="11">
        <v>2</v>
      </c>
      <c r="Q29" s="11">
        <v>2018</v>
      </c>
    </row>
    <row r="30" spans="1:17" x14ac:dyDescent="0.25">
      <c r="A30">
        <v>28</v>
      </c>
      <c r="B30" s="1">
        <v>1250</v>
      </c>
      <c r="C30" s="1">
        <v>550</v>
      </c>
      <c r="D30" s="1">
        <v>1300</v>
      </c>
      <c r="E30" s="3">
        <v>1300</v>
      </c>
      <c r="F30" s="3">
        <v>1300</v>
      </c>
      <c r="G30" s="3"/>
      <c r="H30" s="3">
        <v>1300</v>
      </c>
      <c r="I30" s="3">
        <v>400</v>
      </c>
      <c r="J30" s="3"/>
      <c r="K30" s="3">
        <v>629.1</v>
      </c>
      <c r="L30" s="7">
        <v>1300</v>
      </c>
      <c r="M30" s="3">
        <v>1300</v>
      </c>
      <c r="O30" s="11">
        <v>3</v>
      </c>
      <c r="P30" s="11">
        <v>2</v>
      </c>
      <c r="Q30" s="11">
        <v>2018</v>
      </c>
    </row>
    <row r="31" spans="1:17" x14ac:dyDescent="0.25">
      <c r="A31">
        <v>29</v>
      </c>
      <c r="B31" s="1">
        <v>1250</v>
      </c>
      <c r="C31" s="1">
        <v>1250</v>
      </c>
      <c r="D31" s="1">
        <v>1300</v>
      </c>
      <c r="E31" s="3">
        <v>1300</v>
      </c>
      <c r="F31" s="3">
        <v>1300</v>
      </c>
      <c r="G31" s="3">
        <v>1300</v>
      </c>
      <c r="H31" s="3">
        <v>1300</v>
      </c>
      <c r="I31" s="3">
        <v>1350</v>
      </c>
      <c r="J31" s="3">
        <v>1300</v>
      </c>
      <c r="K31" s="3">
        <v>1300</v>
      </c>
      <c r="L31" s="7">
        <v>1300</v>
      </c>
      <c r="M31" s="3">
        <v>1300</v>
      </c>
      <c r="O31" s="11">
        <v>3</v>
      </c>
      <c r="P31" s="11">
        <v>2</v>
      </c>
      <c r="Q31" s="11">
        <v>2018</v>
      </c>
    </row>
    <row r="32" spans="1:17" x14ac:dyDescent="0.25">
      <c r="A32">
        <v>30</v>
      </c>
      <c r="B32" s="1">
        <v>950</v>
      </c>
      <c r="C32" s="1">
        <v>950</v>
      </c>
      <c r="D32" s="1">
        <v>950</v>
      </c>
      <c r="E32" s="3">
        <v>950</v>
      </c>
      <c r="F32" s="5">
        <v>950</v>
      </c>
      <c r="G32" s="3">
        <v>950</v>
      </c>
      <c r="H32" s="3">
        <v>950</v>
      </c>
      <c r="I32" s="3">
        <v>950</v>
      </c>
      <c r="J32" s="3">
        <v>950</v>
      </c>
      <c r="K32" s="3">
        <v>950</v>
      </c>
      <c r="L32" s="7">
        <v>950</v>
      </c>
      <c r="M32" s="3">
        <v>950</v>
      </c>
      <c r="O32" s="11">
        <v>2</v>
      </c>
      <c r="P32" s="11">
        <v>1</v>
      </c>
      <c r="Q32" s="11">
        <v>2018</v>
      </c>
    </row>
    <row r="33" spans="1:16" x14ac:dyDescent="0.25">
      <c r="B33" s="1"/>
    </row>
    <row r="34" spans="1:16" x14ac:dyDescent="0.25">
      <c r="A34" s="8" t="s">
        <v>22</v>
      </c>
      <c r="B34" s="9">
        <v>6780.66</v>
      </c>
      <c r="C34" s="9">
        <v>4355.75</v>
      </c>
      <c r="D34" s="9">
        <v>7533.55</v>
      </c>
      <c r="E34" s="4">
        <v>4397.09</v>
      </c>
      <c r="F34" s="4">
        <v>4876.6000000000004</v>
      </c>
      <c r="G34" s="4">
        <v>2148.6799999999998</v>
      </c>
      <c r="H34" s="4">
        <v>2269.31</v>
      </c>
      <c r="I34" s="4">
        <v>0</v>
      </c>
      <c r="J34" s="4">
        <v>0</v>
      </c>
      <c r="K34" s="4">
        <v>0</v>
      </c>
      <c r="L34" s="8"/>
      <c r="M34" s="8"/>
      <c r="O34" t="s">
        <v>29</v>
      </c>
    </row>
    <row r="35" spans="1:16" x14ac:dyDescent="0.25">
      <c r="B35" s="1"/>
    </row>
    <row r="36" spans="1:16" x14ac:dyDescent="0.25">
      <c r="B36" s="1">
        <f t="shared" ref="B36:M36" si="0">SUM(B3:B35)</f>
        <v>33130.660000000003</v>
      </c>
      <c r="C36" s="1">
        <f t="shared" si="0"/>
        <v>30289.75</v>
      </c>
      <c r="D36" s="1">
        <f t="shared" si="0"/>
        <v>35149.550000000003</v>
      </c>
      <c r="E36" s="1">
        <f t="shared" si="0"/>
        <v>32338.09</v>
      </c>
      <c r="F36" s="1">
        <f t="shared" si="0"/>
        <v>30018.6</v>
      </c>
      <c r="G36" s="1">
        <f t="shared" si="0"/>
        <v>27991.57</v>
      </c>
      <c r="H36" s="1">
        <f t="shared" si="0"/>
        <v>26863.47</v>
      </c>
      <c r="I36" s="1">
        <f t="shared" si="0"/>
        <v>23916.91</v>
      </c>
      <c r="J36" s="1">
        <f t="shared" si="0"/>
        <v>24922.5</v>
      </c>
      <c r="K36" s="1">
        <f t="shared" si="0"/>
        <v>25963.129999999997</v>
      </c>
      <c r="L36" s="1">
        <f t="shared" si="0"/>
        <v>30563</v>
      </c>
      <c r="M36" s="1">
        <f t="shared" si="0"/>
        <v>30592.5</v>
      </c>
      <c r="O36" s="2">
        <f>SUM(B36:N36)</f>
        <v>351739.73</v>
      </c>
      <c r="P36" t="s">
        <v>25</v>
      </c>
    </row>
    <row r="37" spans="1:16" x14ac:dyDescent="0.25">
      <c r="B37" s="1"/>
    </row>
    <row r="38" spans="1:16" x14ac:dyDescent="0.25">
      <c r="B38" s="1"/>
    </row>
    <row r="39" spans="1:16" x14ac:dyDescent="0.25">
      <c r="A39" s="16" t="s">
        <v>35</v>
      </c>
      <c r="B39" s="14">
        <v>413904</v>
      </c>
    </row>
    <row r="40" spans="1:16" x14ac:dyDescent="0.25">
      <c r="A40" s="13"/>
      <c r="B40" s="15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13" t="s">
        <v>30</v>
      </c>
      <c r="B41" s="15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13" t="s">
        <v>28</v>
      </c>
      <c r="B42" s="14">
        <v>-9023</v>
      </c>
      <c r="C42" s="9"/>
      <c r="D42" s="9"/>
      <c r="E42" s="4"/>
      <c r="F42" s="4"/>
      <c r="G42" s="4"/>
      <c r="H42" s="4"/>
      <c r="I42" s="4"/>
      <c r="J42" s="4"/>
      <c r="K42" s="4"/>
      <c r="L42" s="4"/>
      <c r="M42" s="4"/>
      <c r="N42" s="8"/>
      <c r="O42" s="8"/>
      <c r="P42" s="8"/>
    </row>
    <row r="43" spans="1:16" x14ac:dyDescent="0.25">
      <c r="A43" s="13" t="s">
        <v>39</v>
      </c>
      <c r="B43" s="14">
        <v>-23058</v>
      </c>
      <c r="C43" s="9"/>
      <c r="D43" s="9"/>
      <c r="E43" s="4"/>
      <c r="F43" s="4"/>
      <c r="G43" s="4"/>
      <c r="H43" s="4"/>
      <c r="I43" s="4"/>
      <c r="J43" s="4"/>
      <c r="K43" s="4"/>
      <c r="L43" s="4"/>
      <c r="M43" s="4"/>
      <c r="N43" s="8"/>
      <c r="O43" s="8"/>
      <c r="P43" s="8"/>
    </row>
    <row r="44" spans="1:16" x14ac:dyDescent="0.25">
      <c r="A44" s="13" t="s">
        <v>40</v>
      </c>
      <c r="B44" s="14">
        <v>-15606</v>
      </c>
      <c r="C44" s="9"/>
      <c r="D44" s="9"/>
      <c r="E44" s="4"/>
      <c r="F44" s="4"/>
      <c r="G44" s="4"/>
      <c r="H44" s="4"/>
      <c r="I44" s="4"/>
      <c r="J44" s="4"/>
      <c r="K44" s="4"/>
      <c r="L44" s="4"/>
      <c r="M44" s="4"/>
      <c r="N44" s="8"/>
      <c r="O44" s="8"/>
      <c r="P44" s="8"/>
    </row>
    <row r="45" spans="1:16" x14ac:dyDescent="0.25">
      <c r="A45" s="13" t="s">
        <v>36</v>
      </c>
      <c r="B45" s="14">
        <v>-29000</v>
      </c>
      <c r="C45" s="9"/>
      <c r="D45" s="9"/>
      <c r="E45" s="4"/>
      <c r="F45" s="4"/>
      <c r="G45" s="4"/>
      <c r="H45" s="4"/>
      <c r="I45" s="4"/>
      <c r="J45" s="4"/>
      <c r="K45" s="4"/>
      <c r="L45" s="4"/>
      <c r="M45" s="4"/>
      <c r="N45" s="8"/>
      <c r="O45" s="8"/>
      <c r="P45" s="8"/>
    </row>
    <row r="46" spans="1:16" x14ac:dyDescent="0.25">
      <c r="A46" s="13" t="s">
        <v>41</v>
      </c>
      <c r="B46" s="14">
        <v>-6176</v>
      </c>
      <c r="C46" s="9" t="s">
        <v>42</v>
      </c>
      <c r="D46" s="9"/>
      <c r="E46" s="4"/>
      <c r="F46" s="4"/>
      <c r="G46" s="4"/>
      <c r="H46" s="4"/>
      <c r="I46" s="4"/>
      <c r="J46" s="4"/>
      <c r="K46" s="4"/>
      <c r="L46" s="4"/>
      <c r="M46" s="4"/>
      <c r="N46" s="8"/>
      <c r="O46" s="8"/>
      <c r="P46" s="8"/>
    </row>
    <row r="47" spans="1:16" x14ac:dyDescent="0.25">
      <c r="A47" s="13" t="s">
        <v>18</v>
      </c>
      <c r="B47" s="14">
        <v>-3936</v>
      </c>
      <c r="C47" s="9"/>
      <c r="D47" s="9"/>
      <c r="E47" s="4"/>
      <c r="F47" s="4"/>
      <c r="G47" s="4"/>
      <c r="H47" s="4"/>
      <c r="I47" s="4"/>
      <c r="J47" s="4"/>
      <c r="K47" s="4"/>
      <c r="L47" s="4"/>
      <c r="M47" s="4"/>
      <c r="N47" s="8"/>
      <c r="O47" s="8"/>
      <c r="P47" s="8"/>
    </row>
    <row r="48" spans="1:16" x14ac:dyDescent="0.25">
      <c r="A48" s="13" t="s">
        <v>43</v>
      </c>
      <c r="B48" s="14">
        <v>-3000</v>
      </c>
      <c r="C48" s="9"/>
      <c r="D48" s="9"/>
      <c r="E48" s="4"/>
      <c r="F48" s="4"/>
      <c r="G48" s="4"/>
      <c r="H48" s="4"/>
      <c r="I48" s="4"/>
      <c r="J48" s="4"/>
      <c r="K48" s="4"/>
      <c r="L48" s="4"/>
      <c r="M48" s="4"/>
      <c r="N48" s="8"/>
      <c r="O48" s="8"/>
      <c r="P48" s="8"/>
    </row>
    <row r="49" spans="1:16" x14ac:dyDescent="0.25">
      <c r="A49" s="13" t="s">
        <v>37</v>
      </c>
      <c r="B49" s="14">
        <v>0</v>
      </c>
      <c r="C49" s="9"/>
      <c r="D49" s="9"/>
      <c r="E49" s="4"/>
      <c r="F49" s="4"/>
      <c r="G49" s="4"/>
      <c r="H49" s="4"/>
      <c r="I49" s="4"/>
      <c r="J49" s="4"/>
      <c r="K49" s="4"/>
      <c r="L49" s="4"/>
      <c r="M49" s="4"/>
      <c r="N49" s="8"/>
      <c r="O49" s="8"/>
      <c r="P49" s="8"/>
    </row>
    <row r="50" spans="1:16" x14ac:dyDescent="0.25">
      <c r="A50" s="13" t="s">
        <v>19</v>
      </c>
      <c r="B50" s="14">
        <v>-4000</v>
      </c>
      <c r="C50" s="9"/>
      <c r="D50" s="9"/>
      <c r="E50" s="4"/>
      <c r="F50" s="4"/>
      <c r="G50" s="4"/>
      <c r="H50" s="4"/>
      <c r="I50" s="4"/>
      <c r="J50" s="4"/>
      <c r="K50" s="4"/>
      <c r="L50" s="4"/>
      <c r="M50" s="4"/>
      <c r="N50" s="8"/>
      <c r="O50" s="8"/>
      <c r="P50" s="8"/>
    </row>
    <row r="51" spans="1:16" x14ac:dyDescent="0.25">
      <c r="A51" s="13" t="s">
        <v>38</v>
      </c>
      <c r="B51" s="14">
        <v>-20695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13"/>
      <c r="B52" s="14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13"/>
      <c r="B53" s="14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8"/>
      <c r="O53" s="10"/>
      <c r="P53" s="8"/>
    </row>
    <row r="54" spans="1:16" x14ac:dyDescent="0.25">
      <c r="A54" s="13" t="s">
        <v>46</v>
      </c>
      <c r="B54" s="15">
        <f>SUM(B39:B53)</f>
        <v>299410</v>
      </c>
    </row>
    <row r="55" spans="1:16" x14ac:dyDescent="0.25">
      <c r="B55" s="12"/>
    </row>
    <row r="56" spans="1:16" x14ac:dyDescent="0.25">
      <c r="B56" s="12"/>
    </row>
    <row r="57" spans="1:16" x14ac:dyDescent="0.25">
      <c r="B57" s="12"/>
    </row>
    <row r="58" spans="1:16" x14ac:dyDescent="0.25">
      <c r="A58" s="16" t="s">
        <v>44</v>
      </c>
      <c r="B58" s="14">
        <v>372000</v>
      </c>
    </row>
    <row r="59" spans="1:16" x14ac:dyDescent="0.25">
      <c r="A59" s="13"/>
      <c r="B59" s="15"/>
    </row>
    <row r="60" spans="1:16" x14ac:dyDescent="0.25">
      <c r="A60" s="13" t="s">
        <v>30</v>
      </c>
      <c r="B60" s="15"/>
    </row>
    <row r="61" spans="1:16" x14ac:dyDescent="0.25">
      <c r="A61" s="13" t="s">
        <v>28</v>
      </c>
      <c r="B61" s="14">
        <v>-9023</v>
      </c>
    </row>
    <row r="62" spans="1:16" x14ac:dyDescent="0.25">
      <c r="A62" s="13" t="s">
        <v>39</v>
      </c>
      <c r="B62" s="14">
        <v>-23058</v>
      </c>
    </row>
    <row r="63" spans="1:16" x14ac:dyDescent="0.25">
      <c r="A63" s="13" t="s">
        <v>40</v>
      </c>
      <c r="B63" s="14">
        <v>-15606</v>
      </c>
    </row>
    <row r="64" spans="1:16" x14ac:dyDescent="0.25">
      <c r="A64" s="13" t="s">
        <v>36</v>
      </c>
      <c r="B64" s="14">
        <v>-29000</v>
      </c>
    </row>
    <row r="65" spans="1:3" x14ac:dyDescent="0.25">
      <c r="A65" s="13" t="s">
        <v>41</v>
      </c>
      <c r="B65" s="14">
        <v>-1200</v>
      </c>
      <c r="C65" t="s">
        <v>45</v>
      </c>
    </row>
    <row r="66" spans="1:3" x14ac:dyDescent="0.25">
      <c r="A66" s="13" t="s">
        <v>18</v>
      </c>
      <c r="B66" s="14">
        <v>-3936</v>
      </c>
    </row>
    <row r="67" spans="1:3" x14ac:dyDescent="0.25">
      <c r="A67" s="13" t="s">
        <v>43</v>
      </c>
      <c r="B67" s="14">
        <v>-3000</v>
      </c>
    </row>
    <row r="68" spans="1:3" x14ac:dyDescent="0.25">
      <c r="A68" s="13" t="s">
        <v>37</v>
      </c>
      <c r="B68" s="14">
        <v>0</v>
      </c>
    </row>
    <row r="69" spans="1:3" x14ac:dyDescent="0.25">
      <c r="A69" s="13" t="s">
        <v>19</v>
      </c>
      <c r="B69" s="14">
        <v>-4000</v>
      </c>
    </row>
    <row r="70" spans="1:3" x14ac:dyDescent="0.25">
      <c r="A70" s="13" t="s">
        <v>38</v>
      </c>
      <c r="B70" s="14">
        <v>-20695</v>
      </c>
    </row>
    <row r="71" spans="1:3" x14ac:dyDescent="0.25">
      <c r="A71" s="13"/>
      <c r="B71" s="14"/>
    </row>
    <row r="72" spans="1:3" x14ac:dyDescent="0.25">
      <c r="A72" s="13"/>
      <c r="B72" s="14"/>
    </row>
    <row r="73" spans="1:3" x14ac:dyDescent="0.25">
      <c r="A73" s="13" t="s">
        <v>47</v>
      </c>
      <c r="B73" s="15">
        <f>SUM(B58:B72)</f>
        <v>262482</v>
      </c>
    </row>
    <row r="74" spans="1:3" x14ac:dyDescent="0.25">
      <c r="A74" s="13" t="s">
        <v>48</v>
      </c>
      <c r="B74">
        <v>8.6999999999999993</v>
      </c>
    </row>
  </sheetData>
  <pageMargins left="0.7" right="0.7" top="0.75" bottom="0.75" header="0.3" footer="0.3"/>
  <headerFooter>
    <oddFooter>&amp;C_x000D_&amp;1#&amp;"Calibri"&amp;10&amp;K000000 Classified as Business</oddFooter>
  </headerFooter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Shaw</dc:creator>
  <cp:lastModifiedBy>David Vercher</cp:lastModifiedBy>
  <dcterms:created xsi:type="dcterms:W3CDTF">2025-11-06T14:22:06Z</dcterms:created>
  <dcterms:modified xsi:type="dcterms:W3CDTF">2026-05-21T14:42:55Z</dcterms:modified>
</cp:coreProperties>
</file>