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ropbox\a Properties Listings\Eden Church Trailer Park\Financials\"/>
    </mc:Choice>
  </mc:AlternateContent>
  <xr:revisionPtr revIDLastSave="0" documentId="13_ncr:1_{F4B584F4-9F45-4EFF-805B-8A65A7ADFD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ntro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hSZ8KGRut4P0PturB7PyGrBX3Vp35I9FQn3fNxNKb4="/>
    </ext>
  </extLst>
</workbook>
</file>

<file path=xl/calcChain.xml><?xml version="1.0" encoding="utf-8"?>
<calcChain xmlns="http://schemas.openxmlformats.org/spreadsheetml/2006/main">
  <c r="M21" i="2" l="1"/>
  <c r="L21" i="2"/>
  <c r="K21" i="2"/>
  <c r="J21" i="2"/>
  <c r="I21" i="2"/>
  <c r="H21" i="2"/>
  <c r="G21" i="2"/>
  <c r="F21" i="2"/>
  <c r="E21" i="2"/>
  <c r="D21" i="2"/>
  <c r="C21" i="2"/>
  <c r="B21" i="2"/>
  <c r="N19" i="2"/>
  <c r="N18" i="2"/>
  <c r="N17" i="2"/>
  <c r="N16" i="2"/>
  <c r="N15" i="2"/>
  <c r="N14" i="2"/>
  <c r="N13" i="2"/>
  <c r="N12" i="2"/>
  <c r="N11" i="2"/>
  <c r="N21" i="2" s="1"/>
  <c r="N10" i="2"/>
  <c r="N9" i="2"/>
  <c r="N8" i="2"/>
  <c r="N7" i="2"/>
  <c r="N6" i="2"/>
  <c r="N5" i="2"/>
  <c r="N4" i="2"/>
  <c r="N3" i="2"/>
  <c r="N2" i="2"/>
  <c r="M39" i="1"/>
  <c r="M17" i="1"/>
  <c r="L17" i="1"/>
  <c r="K17" i="1"/>
  <c r="J17" i="1"/>
  <c r="I17" i="1"/>
  <c r="H17" i="1"/>
  <c r="G17" i="1"/>
  <c r="F17" i="1"/>
  <c r="E17" i="1"/>
  <c r="D17" i="1"/>
  <c r="C17" i="1"/>
  <c r="B17" i="1"/>
  <c r="N17" i="1" s="1"/>
  <c r="N15" i="1"/>
  <c r="N14" i="1"/>
  <c r="N13" i="1"/>
  <c r="N12" i="1"/>
  <c r="N11" i="1"/>
  <c r="O11" i="1" s="1"/>
  <c r="N10" i="1"/>
  <c r="O10" i="1" s="1"/>
  <c r="N9" i="1"/>
  <c r="O9" i="1" s="1"/>
  <c r="N8" i="1"/>
  <c r="O8" i="1" s="1"/>
  <c r="O7" i="1"/>
  <c r="N7" i="1"/>
  <c r="O6" i="1"/>
  <c r="N6" i="1"/>
  <c r="N5" i="1"/>
  <c r="O5" i="1" s="1"/>
  <c r="O17" i="1" s="1"/>
  <c r="N4" i="1"/>
</calcChain>
</file>

<file path=xl/sharedStrings.xml><?xml version="1.0" encoding="utf-8"?>
<sst xmlns="http://schemas.openxmlformats.org/spreadsheetml/2006/main" count="199" uniqueCount="127">
  <si>
    <t>Eden Church MH P&amp;L 2025</t>
  </si>
  <si>
    <t>2024 taxes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</si>
  <si>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</si>
  <si>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</si>
  <si>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</si>
  <si>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</si>
  <si>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</si>
  <si>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</si>
  <si>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</si>
  <si>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</si>
  <si>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</si>
  <si>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</si>
  <si>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</si>
  <si>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</si>
  <si>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</si>
  <si>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Total Exp</t>
  </si>
  <si>
    <t>Rental Income</t>
  </si>
  <si>
    <t>Management @ 7%</t>
  </si>
  <si>
    <t>treatment plant contract</t>
  </si>
  <si>
    <t>Home Insurance</t>
  </si>
  <si>
    <t>Liability Insurance</t>
  </si>
  <si>
    <t>Property Tax Est</t>
  </si>
  <si>
    <t>Maintenance</t>
  </si>
  <si>
    <t>Lawn Care</t>
  </si>
  <si>
    <t>Water Credit Car Wash</t>
  </si>
  <si>
    <t>Water</t>
  </si>
  <si>
    <t>Electricity</t>
  </si>
  <si>
    <t>Garbage</t>
  </si>
  <si>
    <t>NET</t>
  </si>
  <si>
    <t>Net</t>
  </si>
  <si>
    <t>EDEN CHURCH</t>
  </si>
  <si>
    <t>Lot#</t>
  </si>
  <si>
    <t>Year</t>
  </si>
  <si>
    <t>VIN</t>
  </si>
  <si>
    <t>Title Number</t>
  </si>
  <si>
    <t>Manufacturer</t>
  </si>
  <si>
    <t>Bed Count</t>
  </si>
  <si>
    <t>Size</t>
  </si>
  <si>
    <t>SQF</t>
  </si>
  <si>
    <t>Lease Start</t>
  </si>
  <si>
    <t>Lease Ends</t>
  </si>
  <si>
    <t>Move In</t>
  </si>
  <si>
    <t>Rent</t>
  </si>
  <si>
    <t>Deposit</t>
  </si>
  <si>
    <t>B</t>
  </si>
  <si>
    <t>3-1-QSC-I-24-487-012</t>
  </si>
  <si>
    <t>ACDVAL11807434</t>
  </si>
  <si>
    <t>F4984750</t>
  </si>
  <si>
    <t>Deer Valley</t>
  </si>
  <si>
    <t>3bd/2ba</t>
  </si>
  <si>
    <t>14x64</t>
  </si>
  <si>
    <t>C</t>
  </si>
  <si>
    <t>3-1-QSC-I-24-487-033</t>
  </si>
  <si>
    <t> OC011729280AC</t>
  </si>
  <si>
    <t>F4982160</t>
  </si>
  <si>
    <t>Oak Creek</t>
  </si>
  <si>
    <t>D</t>
  </si>
  <si>
    <t>3-1-QSC-I-24-487-040</t>
  </si>
  <si>
    <t>PHAL05106AC </t>
  </si>
  <si>
    <t>F5197473</t>
  </si>
  <si>
    <t>Platinum</t>
  </si>
  <si>
    <t>E</t>
  </si>
  <si>
    <t>3-1-QSC-I-24-487-030</t>
  </si>
  <si>
    <t> 125-AC0-H-B003171A</t>
  </si>
  <si>
    <t>F5197472</t>
  </si>
  <si>
    <t>Champion</t>
  </si>
  <si>
    <t>F</t>
  </si>
  <si>
    <t>TWIALAS17689</t>
  </si>
  <si>
    <t>L9004559</t>
  </si>
  <si>
    <t>G</t>
  </si>
  <si>
    <t>3-1-QSC-I-24-487-041</t>
  </si>
  <si>
    <t>DI08203GAAC</t>
  </si>
  <si>
    <t>F5256576</t>
  </si>
  <si>
    <t>Destiny</t>
  </si>
  <si>
    <t>H</t>
  </si>
  <si>
    <t>3-1-QSC-I-24-487-070</t>
  </si>
  <si>
    <t>SOU013085AL</t>
  </si>
  <si>
    <t>F4982153</t>
  </si>
  <si>
    <t>Southern Energy</t>
  </si>
  <si>
    <t>14x72</t>
  </si>
  <si>
    <t>I</t>
  </si>
  <si>
    <t>3-1-QSC-I-24-487-067</t>
  </si>
  <si>
    <t>SOU013059AL</t>
  </si>
  <si>
    <t>F4982151</t>
  </si>
  <si>
    <t>J</t>
  </si>
  <si>
    <t>3-1-QSC-I-24-487-056</t>
  </si>
  <si>
    <t>PHAL05193AC</t>
  </si>
  <si>
    <t>F4982155</t>
  </si>
  <si>
    <t>K</t>
  </si>
  <si>
    <t>3-1-QSC-I-24-487-025</t>
  </si>
  <si>
    <t> OC011729268AC</t>
  </si>
  <si>
    <t>F5806605</t>
  </si>
  <si>
    <t>L</t>
  </si>
  <si>
    <t>FS565142F856336A</t>
  </si>
  <si>
    <t>L6848835</t>
  </si>
  <si>
    <t>M</t>
  </si>
  <si>
    <t>3-1-QSC-I-24-487-062</t>
  </si>
  <si>
    <t>ACNI-51-0471-K</t>
  </si>
  <si>
    <t>F4982158</t>
  </si>
  <si>
    <t>GSH</t>
  </si>
  <si>
    <t>N</t>
  </si>
  <si>
    <t>ROCO67LBAL</t>
  </si>
  <si>
    <t>ROCO67LbAL</t>
  </si>
  <si>
    <t>L9959696</t>
  </si>
  <si>
    <t>O</t>
  </si>
  <si>
    <t>3-1-QSC-I-24-487-044</t>
  </si>
  <si>
    <t>PHAL05178AC</t>
  </si>
  <si>
    <t>F4982159</t>
  </si>
  <si>
    <t>P</t>
  </si>
  <si>
    <t>3-1-QSC-I-24-487-011</t>
  </si>
  <si>
    <t>CHVM16MS31967AC</t>
  </si>
  <si>
    <t>F4984749</t>
  </si>
  <si>
    <t>Cappaert</t>
  </si>
  <si>
    <t>Q</t>
  </si>
  <si>
    <t>3-1-QSC-I-24-487-073</t>
  </si>
  <si>
    <t>OC051921012AC</t>
  </si>
  <si>
    <t>F4982154</t>
  </si>
  <si>
    <t>R</t>
  </si>
  <si>
    <t>3-1-QSC-I-24-487-068</t>
  </si>
  <si>
    <t>SOU013070AL</t>
  </si>
  <si>
    <t>F4982152</t>
  </si>
  <si>
    <t>S</t>
  </si>
  <si>
    <t>3-1-QSC-I-24-487-072</t>
  </si>
  <si>
    <t>OC051921010AC</t>
  </si>
  <si>
    <t>F4982150</t>
  </si>
  <si>
    <t>Note: 2025 income fluctuated due to Air B&amp;B rentals of a couple of units. Those units were transitioned to monthly rentals in July 2025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</si>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</sst>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m/d/yy"/>
  </numFmts>
  <fonts count="1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6"/>
      <name val="Aptos Narrow"/>
      <family val="2"/>
    </font>
    <font>
      <b/>
      <sz val="11"/>
      <color rgb="FFFF0000"/>
      <name val="Aptos Narrow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</font>
    <font>
      <sz val="10"/>
      <color theme="1"/>
      <name val="Arial"/>
      <family val="2"/>
    </font>
    <font>
      <sz val="10"/>
      <color theme="1"/>
      <name val="Aptos Narrow"/>
      <family val="2"/>
    </font>
    <font>
      <b/>
      <sz val="11"/>
      <color theme="9"/>
      <name val="Aptos Narrow"/>
      <family val="2"/>
    </font>
    <font>
      <b/>
      <sz val="10"/>
      <color theme="6"/>
      <name val="Aptos Narrow"/>
      <family val="2"/>
    </font>
    <font>
      <b/>
      <sz val="11"/>
      <color theme="6"/>
      <name val="Aptos Narrow"/>
      <family val="2"/>
    </font>
    <font>
      <sz val="11"/>
      <color rgb="FFFF0000"/>
      <name val="Aptos Narrow"/>
      <family val="2"/>
    </font>
    <font>
      <b/>
      <sz val="11"/>
      <color theme="9" tint="-0.24997711111789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4" fontId="2" fillId="0" borderId="0" xfId="0" applyNumberFormat="1" applyFont="1"/>
    <xf numFmtId="0" fontId="2" fillId="0" borderId="1" xfId="0" applyFont="1" applyBorder="1"/>
    <xf numFmtId="44" fontId="3" fillId="0" borderId="0" xfId="0" applyNumberFormat="1" applyFont="1"/>
    <xf numFmtId="44" fontId="2" fillId="0" borderId="2" xfId="0" applyNumberFormat="1" applyFont="1" applyBorder="1"/>
    <xf numFmtId="0" fontId="4" fillId="0" borderId="0" xfId="0" applyFont="1"/>
    <xf numFmtId="164" fontId="2" fillId="0" borderId="2" xfId="0" applyNumberFormat="1" applyFont="1" applyBorder="1"/>
    <xf numFmtId="44" fontId="5" fillId="0" borderId="3" xfId="0" applyNumberFormat="1" applyFont="1" applyBorder="1"/>
    <xf numFmtId="164" fontId="6" fillId="0" borderId="4" xfId="0" applyNumberFormat="1" applyFont="1" applyBorder="1"/>
    <xf numFmtId="9" fontId="6" fillId="0" borderId="5" xfId="0" applyNumberFormat="1" applyFont="1" applyBorder="1"/>
    <xf numFmtId="0" fontId="7" fillId="2" borderId="6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8" fillId="2" borderId="6" xfId="0" applyFont="1" applyFill="1" applyBorder="1"/>
    <xf numFmtId="0" fontId="8" fillId="2" borderId="6" xfId="0" applyFont="1" applyFill="1" applyBorder="1" applyAlignment="1">
      <alignment horizontal="center"/>
    </xf>
    <xf numFmtId="0" fontId="9" fillId="0" borderId="6" xfId="0" applyFont="1" applyBorder="1"/>
    <xf numFmtId="14" fontId="10" fillId="3" borderId="6" xfId="0" applyNumberFormat="1" applyFont="1" applyFill="1" applyBorder="1"/>
    <xf numFmtId="44" fontId="10" fillId="3" borderId="6" xfId="0" applyNumberFormat="1" applyFont="1" applyFill="1" applyBorder="1"/>
    <xf numFmtId="165" fontId="10" fillId="3" borderId="6" xfId="0" applyNumberFormat="1" applyFont="1" applyFill="1" applyBorder="1"/>
    <xf numFmtId="0" fontId="9" fillId="0" borderId="7" xfId="0" applyFont="1" applyBorder="1"/>
    <xf numFmtId="0" fontId="2" fillId="0" borderId="6" xfId="0" applyFont="1" applyBorder="1"/>
    <xf numFmtId="166" fontId="10" fillId="3" borderId="6" xfId="0" applyNumberFormat="1" applyFont="1" applyFill="1" applyBorder="1"/>
    <xf numFmtId="44" fontId="6" fillId="0" borderId="0" xfId="0" applyNumberFormat="1" applyFont="1"/>
    <xf numFmtId="44" fontId="10" fillId="3" borderId="8" xfId="0" applyNumberFormat="1" applyFont="1" applyFill="1" applyBorder="1"/>
    <xf numFmtId="164" fontId="11" fillId="0" borderId="0" xfId="0" applyNumberFormat="1" applyFont="1"/>
    <xf numFmtId="44" fontId="12" fillId="0" borderId="6" xfId="0" applyNumberFormat="1" applyFont="1" applyBorder="1"/>
    <xf numFmtId="164" fontId="2" fillId="0" borderId="0" xfId="0" applyNumberFormat="1" applyFont="1"/>
    <xf numFmtId="0" fontId="6" fillId="0" borderId="0" xfId="0" applyFont="1"/>
    <xf numFmtId="0" fontId="13" fillId="0" borderId="2" xfId="0" applyFont="1" applyBorder="1"/>
    <xf numFmtId="0" fontId="14" fillId="0" borderId="1" xfId="0" applyFont="1" applyBorder="1"/>
    <xf numFmtId="0" fontId="14" fillId="0" borderId="2" xfId="0" applyFont="1" applyBorder="1"/>
    <xf numFmtId="164" fontId="14" fillId="0" borderId="2" xfId="0" applyNumberFormat="1" applyFont="1" applyBorder="1"/>
    <xf numFmtId="44" fontId="1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S24" sqref="S24"/>
    </sheetView>
  </sheetViews>
  <sheetFormatPr defaultColWidth="12.5703125" defaultRowHeight="15" customHeight="1" x14ac:dyDescent="0.25"/>
  <cols>
    <col min="1" max="1" width="21.5703125" customWidth="1"/>
    <col min="2" max="2" width="12.42578125" customWidth="1"/>
    <col min="3" max="3" width="12.28515625" bestFit="1" customWidth="1"/>
    <col min="4" max="4" width="20" bestFit="1" customWidth="1"/>
    <col min="5" max="5" width="12.28515625" bestFit="1" customWidth="1"/>
    <col min="6" max="6" width="15.140625" bestFit="1" customWidth="1"/>
    <col min="7" max="7" width="12.7109375" bestFit="1" customWidth="1"/>
    <col min="8" max="8" width="13" customWidth="1"/>
    <col min="9" max="9" width="12.28515625" bestFit="1" customWidth="1"/>
    <col min="10" max="12" width="12.85546875" customWidth="1"/>
    <col min="13" max="13" width="12.7109375" bestFit="1" customWidth="1"/>
    <col min="14" max="14" width="13.85546875" customWidth="1"/>
    <col min="15" max="15" width="13.42578125" customWidth="1"/>
    <col min="16" max="19" width="8.5703125" customWidth="1"/>
    <col min="20" max="20" width="13.42578125" customWidth="1"/>
    <col min="21" max="26" width="8.5703125" customWidth="1"/>
  </cols>
  <sheetData>
    <row r="1" spans="1:15" x14ac:dyDescent="0.25">
      <c r="A1" s="1" t="s">
        <v>0</v>
      </c>
      <c r="C1" s="1" t="s">
        <v>1</v>
      </c>
      <c r="D1" s="2">
        <v>3321.68</v>
      </c>
    </row>
    <row r="3" spans="1:15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3" t="s">
        <v>14</v>
      </c>
      <c r="O3" s="29" t="s">
        <v>15</v>
      </c>
    </row>
    <row r="4" spans="1:15" x14ac:dyDescent="0.25">
      <c r="A4" s="1" t="s">
        <v>16</v>
      </c>
      <c r="B4" s="2">
        <v>16763.05</v>
      </c>
      <c r="C4" s="2">
        <v>17265.939999999999</v>
      </c>
      <c r="D4" s="2">
        <v>18379</v>
      </c>
      <c r="E4" s="2">
        <v>17804.349999999999</v>
      </c>
      <c r="F4" s="2">
        <v>15345</v>
      </c>
      <c r="G4" s="4">
        <v>13701</v>
      </c>
      <c r="H4" s="2">
        <v>19793.25</v>
      </c>
      <c r="I4" s="2">
        <v>20527.900000000001</v>
      </c>
      <c r="J4" s="4">
        <v>19865</v>
      </c>
      <c r="K4" s="4">
        <v>19047.349999999999</v>
      </c>
      <c r="L4" s="4">
        <v>21208.33</v>
      </c>
      <c r="M4" s="4">
        <v>20420</v>
      </c>
      <c r="N4" s="32">
        <f t="shared" ref="N4:N15" si="0">SUM(B4:M4)</f>
        <v>220120.16999999998</v>
      </c>
      <c r="O4" s="30"/>
    </row>
    <row r="5" spans="1:15" x14ac:dyDescent="0.25">
      <c r="A5" s="6" t="s">
        <v>17</v>
      </c>
      <c r="B5" s="4">
        <v>-1173.42</v>
      </c>
      <c r="C5" s="4">
        <v>-1208.6199999999999</v>
      </c>
      <c r="D5" s="4">
        <v>-1311.73</v>
      </c>
      <c r="E5" s="4">
        <v>-1246.31</v>
      </c>
      <c r="F5" s="4">
        <v>-1074.1500000000001</v>
      </c>
      <c r="G5" s="4">
        <v>-959.07</v>
      </c>
      <c r="H5" s="4">
        <v>-1385.53</v>
      </c>
      <c r="I5" s="4">
        <v>-1436.96</v>
      </c>
      <c r="J5" s="4">
        <v>-1390.55</v>
      </c>
      <c r="K5" s="4">
        <v>-1333.32</v>
      </c>
      <c r="L5" s="4">
        <v>-1484.59</v>
      </c>
      <c r="M5" s="4">
        <v>-1429.4</v>
      </c>
      <c r="N5" s="5">
        <f t="shared" si="0"/>
        <v>-15433.65</v>
      </c>
      <c r="O5" s="31">
        <f t="shared" ref="O5:O11" si="1">SUM(N5)</f>
        <v>-15433.65</v>
      </c>
    </row>
    <row r="6" spans="1:15" x14ac:dyDescent="0.25">
      <c r="A6" s="1" t="s">
        <v>18</v>
      </c>
      <c r="B6" s="2">
        <v>-250</v>
      </c>
      <c r="C6" s="2">
        <v>-250</v>
      </c>
      <c r="D6" s="2">
        <v>-250</v>
      </c>
      <c r="E6" s="2">
        <v>-250</v>
      </c>
      <c r="F6" s="2">
        <v>-250</v>
      </c>
      <c r="G6" s="2">
        <v>-250</v>
      </c>
      <c r="H6" s="2">
        <v>-250</v>
      </c>
      <c r="I6" s="2">
        <v>-250</v>
      </c>
      <c r="J6" s="2">
        <v>-250</v>
      </c>
      <c r="K6" s="2">
        <v>-250</v>
      </c>
      <c r="L6" s="2">
        <v>-250</v>
      </c>
      <c r="M6" s="2">
        <v>-250</v>
      </c>
      <c r="N6" s="5">
        <f t="shared" si="0"/>
        <v>-3000</v>
      </c>
      <c r="O6" s="31">
        <f t="shared" si="1"/>
        <v>-3000</v>
      </c>
    </row>
    <row r="7" spans="1:15" x14ac:dyDescent="0.25">
      <c r="A7" s="1" t="s">
        <v>19</v>
      </c>
      <c r="B7" s="2">
        <v>-1384.38</v>
      </c>
      <c r="C7" s="2">
        <v>-1384.38</v>
      </c>
      <c r="D7" s="2">
        <v>-1384.38</v>
      </c>
      <c r="E7" s="2">
        <v>-1384.38</v>
      </c>
      <c r="F7" s="2">
        <v>-1384.38</v>
      </c>
      <c r="G7" s="2">
        <v>-1384.38</v>
      </c>
      <c r="H7" s="2">
        <v>-1384.38</v>
      </c>
      <c r="I7" s="2">
        <v>-1384.38</v>
      </c>
      <c r="J7" s="2">
        <v>-1384.38</v>
      </c>
      <c r="K7" s="2">
        <v>-1384.38</v>
      </c>
      <c r="L7" s="2">
        <v>-1384.38</v>
      </c>
      <c r="M7" s="2">
        <v>-1384.38</v>
      </c>
      <c r="N7" s="5">
        <f t="shared" si="0"/>
        <v>-16612.560000000005</v>
      </c>
      <c r="O7" s="31">
        <f t="shared" si="1"/>
        <v>-16612.560000000005</v>
      </c>
    </row>
    <row r="8" spans="1:15" x14ac:dyDescent="0.25">
      <c r="A8" s="1" t="s">
        <v>20</v>
      </c>
      <c r="B8" s="2">
        <v>-205</v>
      </c>
      <c r="C8" s="2">
        <v>-205</v>
      </c>
      <c r="D8" s="2">
        <v>-205</v>
      </c>
      <c r="E8" s="2">
        <v>-205</v>
      </c>
      <c r="F8" s="2">
        <v>-205</v>
      </c>
      <c r="G8" s="2">
        <v>-205</v>
      </c>
      <c r="H8" s="2">
        <v>-205</v>
      </c>
      <c r="I8" s="2">
        <v>-205</v>
      </c>
      <c r="J8" s="2">
        <v>-205</v>
      </c>
      <c r="K8" s="2">
        <v>-205</v>
      </c>
      <c r="L8" s="2">
        <v>-205</v>
      </c>
      <c r="M8" s="2">
        <v>-205</v>
      </c>
      <c r="N8" s="5">
        <f t="shared" si="0"/>
        <v>-2460</v>
      </c>
      <c r="O8" s="31">
        <f t="shared" si="1"/>
        <v>-2460</v>
      </c>
    </row>
    <row r="9" spans="1:15" x14ac:dyDescent="0.25">
      <c r="A9" s="1" t="s">
        <v>21</v>
      </c>
      <c r="B9" s="2">
        <v>-1667</v>
      </c>
      <c r="C9" s="2">
        <v>-1667</v>
      </c>
      <c r="D9" s="2">
        <v>-1667</v>
      </c>
      <c r="E9" s="2">
        <v>-1667</v>
      </c>
      <c r="F9" s="2">
        <v>-1667</v>
      </c>
      <c r="G9" s="2">
        <v>-1667</v>
      </c>
      <c r="H9" s="2">
        <v>-1667</v>
      </c>
      <c r="I9" s="2">
        <v>-1667</v>
      </c>
      <c r="J9" s="2">
        <v>-1667</v>
      </c>
      <c r="K9" s="2">
        <v>-1667</v>
      </c>
      <c r="L9" s="2">
        <v>-1667</v>
      </c>
      <c r="M9" s="2">
        <v>-1667</v>
      </c>
      <c r="N9" s="5">
        <f t="shared" si="0"/>
        <v>-20004</v>
      </c>
      <c r="O9" s="31">
        <f t="shared" si="1"/>
        <v>-20004</v>
      </c>
    </row>
    <row r="10" spans="1:15" x14ac:dyDescent="0.25">
      <c r="A10" s="1" t="s">
        <v>22</v>
      </c>
      <c r="B10" s="2">
        <v>-598.76</v>
      </c>
      <c r="C10" s="2">
        <v>-518.08000000000004</v>
      </c>
      <c r="D10" s="2">
        <v>-845.16</v>
      </c>
      <c r="E10" s="2">
        <v>-870</v>
      </c>
      <c r="F10" s="2">
        <v>-404.97</v>
      </c>
      <c r="G10" s="2">
        <v>-1596.47</v>
      </c>
      <c r="H10" s="2">
        <v>-1092.99</v>
      </c>
      <c r="I10" s="2">
        <v>-351.25</v>
      </c>
      <c r="J10" s="2">
        <v>-315.39999999999998</v>
      </c>
      <c r="K10" s="2">
        <v>-345.25</v>
      </c>
      <c r="L10" s="2">
        <v>-98</v>
      </c>
      <c r="M10" s="2">
        <v>-420</v>
      </c>
      <c r="N10" s="5">
        <f t="shared" si="0"/>
        <v>-7456.33</v>
      </c>
      <c r="O10" s="31">
        <f t="shared" si="1"/>
        <v>-7456.33</v>
      </c>
    </row>
    <row r="11" spans="1:15" x14ac:dyDescent="0.25">
      <c r="A11" s="1" t="s">
        <v>23</v>
      </c>
      <c r="B11" s="4">
        <v>-300</v>
      </c>
      <c r="C11" s="4">
        <v>-300</v>
      </c>
      <c r="D11" s="4">
        <v>-300</v>
      </c>
      <c r="E11" s="4">
        <v>-300</v>
      </c>
      <c r="F11" s="4">
        <v>-300</v>
      </c>
      <c r="G11" s="4">
        <v>-300</v>
      </c>
      <c r="H11" s="4">
        <v>-300</v>
      </c>
      <c r="I11" s="4">
        <v>-300</v>
      </c>
      <c r="J11" s="4">
        <v>-300</v>
      </c>
      <c r="K11" s="4">
        <v>-300</v>
      </c>
      <c r="L11" s="4">
        <v>-300</v>
      </c>
      <c r="M11" s="4">
        <v>-300</v>
      </c>
      <c r="N11" s="5">
        <f t="shared" si="0"/>
        <v>-3600</v>
      </c>
      <c r="O11" s="31">
        <f t="shared" si="1"/>
        <v>-3600</v>
      </c>
    </row>
    <row r="12" spans="1:15" x14ac:dyDescent="0.25">
      <c r="A12" s="1" t="s">
        <v>24</v>
      </c>
      <c r="B12" s="2">
        <v>100</v>
      </c>
      <c r="C12" s="2">
        <v>100</v>
      </c>
      <c r="D12" s="2">
        <v>100</v>
      </c>
      <c r="E12" s="2">
        <v>100</v>
      </c>
      <c r="F12" s="2">
        <v>100</v>
      </c>
      <c r="G12" s="2">
        <v>100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>
        <f t="shared" si="0"/>
        <v>600</v>
      </c>
      <c r="O12" s="31"/>
    </row>
    <row r="13" spans="1:15" x14ac:dyDescent="0.25">
      <c r="A13" s="1" t="s">
        <v>25</v>
      </c>
      <c r="B13" s="2">
        <v>-348</v>
      </c>
      <c r="C13" s="2">
        <v>-413.92</v>
      </c>
      <c r="D13" s="2">
        <v>-440</v>
      </c>
      <c r="E13" s="2">
        <v>-387.25</v>
      </c>
      <c r="F13" s="2">
        <v>-356.29</v>
      </c>
      <c r="G13" s="2">
        <v>-369.49</v>
      </c>
      <c r="H13" s="2">
        <v>-385.53</v>
      </c>
      <c r="I13" s="2">
        <v>-434</v>
      </c>
      <c r="J13" s="2">
        <v>-381.67</v>
      </c>
      <c r="K13" s="2">
        <v>-345.47</v>
      </c>
      <c r="L13" s="2"/>
      <c r="M13" s="2">
        <v>-911.66</v>
      </c>
      <c r="N13" s="5">
        <f t="shared" si="0"/>
        <v>-4773.28</v>
      </c>
      <c r="O13" s="31">
        <v>-4773.28</v>
      </c>
    </row>
    <row r="14" spans="1:15" x14ac:dyDescent="0.25">
      <c r="A14" s="1" t="s">
        <v>26</v>
      </c>
      <c r="B14" s="2">
        <v>-335</v>
      </c>
      <c r="C14" s="2">
        <v>-159.9</v>
      </c>
      <c r="D14" s="2">
        <v>-332.55</v>
      </c>
      <c r="E14" s="2">
        <v>-290.75</v>
      </c>
      <c r="F14" s="2">
        <v>-163</v>
      </c>
      <c r="G14" s="2">
        <v>-163.35</v>
      </c>
      <c r="H14" s="2">
        <v>-180.72</v>
      </c>
      <c r="I14" s="2">
        <v>-253.82</v>
      </c>
      <c r="J14" s="2">
        <v>-257.27</v>
      </c>
      <c r="K14" s="2">
        <v>-171.98</v>
      </c>
      <c r="L14" s="2">
        <v>-194.4</v>
      </c>
      <c r="M14" s="2">
        <v>-222.97</v>
      </c>
      <c r="N14" s="5">
        <f t="shared" si="0"/>
        <v>-2725.7099999999996</v>
      </c>
      <c r="O14" s="31">
        <v>-2725.71</v>
      </c>
    </row>
    <row r="15" spans="1:15" x14ac:dyDescent="0.25">
      <c r="A15" s="1" t="s">
        <v>27</v>
      </c>
      <c r="B15" s="2">
        <v>-328</v>
      </c>
      <c r="C15" s="2">
        <v>-328</v>
      </c>
      <c r="D15" s="2">
        <v>-328</v>
      </c>
      <c r="E15" s="2">
        <v>-328</v>
      </c>
      <c r="F15" s="2">
        <v>-328</v>
      </c>
      <c r="G15" s="2">
        <v>-328</v>
      </c>
      <c r="H15" s="2">
        <v>-328</v>
      </c>
      <c r="I15" s="2">
        <v>-328</v>
      </c>
      <c r="J15" s="2">
        <v>-328</v>
      </c>
      <c r="K15" s="2">
        <v>-328</v>
      </c>
      <c r="L15" s="2">
        <v>-328</v>
      </c>
      <c r="M15" s="2">
        <v>-328</v>
      </c>
      <c r="N15" s="5">
        <f t="shared" si="0"/>
        <v>-3936</v>
      </c>
      <c r="O15" s="31">
        <v>-3936</v>
      </c>
    </row>
    <row r="16" spans="1:15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s="28" t="s">
        <v>28</v>
      </c>
      <c r="O16" s="7"/>
    </row>
    <row r="17" spans="1:20" x14ac:dyDescent="0.25">
      <c r="A17" s="1" t="s">
        <v>29</v>
      </c>
      <c r="B17" s="2">
        <f t="shared" ref="B17:M17" si="2">SUM(B4:B16)</f>
        <v>10273.49</v>
      </c>
      <c r="C17" s="2">
        <f t="shared" si="2"/>
        <v>10931.039999999999</v>
      </c>
      <c r="D17" s="2">
        <f t="shared" si="2"/>
        <v>11415.18</v>
      </c>
      <c r="E17" s="2">
        <f t="shared" si="2"/>
        <v>10975.659999999996</v>
      </c>
      <c r="F17" s="2">
        <f t="shared" si="2"/>
        <v>9312.2100000000009</v>
      </c>
      <c r="G17" s="2">
        <f t="shared" si="2"/>
        <v>6578.2399999999989</v>
      </c>
      <c r="H17" s="2">
        <f t="shared" si="2"/>
        <v>12614.1</v>
      </c>
      <c r="I17" s="2">
        <f t="shared" si="2"/>
        <v>13917.490000000002</v>
      </c>
      <c r="J17" s="2">
        <f t="shared" si="2"/>
        <v>13385.73</v>
      </c>
      <c r="K17" s="2">
        <f t="shared" si="2"/>
        <v>12716.949999999999</v>
      </c>
      <c r="L17" s="2">
        <f t="shared" si="2"/>
        <v>15296.960000000001</v>
      </c>
      <c r="M17" s="2">
        <f t="shared" si="2"/>
        <v>13301.589999999998</v>
      </c>
      <c r="N17" s="8">
        <f>SUM(B17:M17)</f>
        <v>140718.64000000001</v>
      </c>
      <c r="O17" s="9">
        <f>SUM(O5:O16)</f>
        <v>-80001.530000000013</v>
      </c>
      <c r="P17" s="10">
        <v>0.36</v>
      </c>
    </row>
    <row r="20" spans="1:20" ht="26.25" x14ac:dyDescent="0.25">
      <c r="A20" s="11" t="s">
        <v>30</v>
      </c>
      <c r="B20" s="11" t="s">
        <v>31</v>
      </c>
      <c r="C20" s="11" t="s">
        <v>32</v>
      </c>
      <c r="D20" s="11" t="s">
        <v>33</v>
      </c>
      <c r="E20" s="11" t="s">
        <v>34</v>
      </c>
      <c r="F20" s="11" t="s">
        <v>35</v>
      </c>
      <c r="G20" s="12" t="s">
        <v>36</v>
      </c>
      <c r="H20" s="11" t="s">
        <v>37</v>
      </c>
      <c r="I20" s="11" t="s">
        <v>38</v>
      </c>
      <c r="J20" s="13" t="s">
        <v>39</v>
      </c>
      <c r="K20" s="13" t="s">
        <v>40</v>
      </c>
      <c r="L20" s="13" t="s">
        <v>41</v>
      </c>
      <c r="M20" s="14" t="s">
        <v>42</v>
      </c>
      <c r="N20" s="14" t="s">
        <v>43</v>
      </c>
    </row>
    <row r="21" spans="1:20" ht="15.75" customHeight="1" x14ac:dyDescent="0.25">
      <c r="A21" s="15" t="s">
        <v>44</v>
      </c>
      <c r="B21" s="15" t="s">
        <v>45</v>
      </c>
      <c r="C21" s="15">
        <v>2018</v>
      </c>
      <c r="D21" s="15" t="s">
        <v>46</v>
      </c>
      <c r="E21" s="15" t="s">
        <v>47</v>
      </c>
      <c r="F21" s="15" t="s">
        <v>48</v>
      </c>
      <c r="G21" s="15" t="s">
        <v>49</v>
      </c>
      <c r="H21" s="15" t="s">
        <v>50</v>
      </c>
      <c r="I21" s="15">
        <v>896</v>
      </c>
      <c r="J21" s="16">
        <v>45647</v>
      </c>
      <c r="K21" s="16">
        <v>46011</v>
      </c>
      <c r="L21" s="16">
        <v>45647</v>
      </c>
      <c r="M21" s="17">
        <v>1300</v>
      </c>
      <c r="N21" s="17">
        <v>500</v>
      </c>
      <c r="T21" s="2"/>
    </row>
    <row r="22" spans="1:20" ht="15.75" customHeight="1" x14ac:dyDescent="0.25">
      <c r="A22" s="15" t="s">
        <v>51</v>
      </c>
      <c r="B22" s="15" t="s">
        <v>52</v>
      </c>
      <c r="C22" s="15">
        <v>2017</v>
      </c>
      <c r="D22" s="15" t="s">
        <v>53</v>
      </c>
      <c r="E22" s="15" t="s">
        <v>54</v>
      </c>
      <c r="F22" s="15" t="s">
        <v>55</v>
      </c>
      <c r="G22" s="15" t="s">
        <v>49</v>
      </c>
      <c r="H22" s="15" t="s">
        <v>50</v>
      </c>
      <c r="I22" s="15">
        <v>896</v>
      </c>
      <c r="J22" s="16">
        <v>45494</v>
      </c>
      <c r="K22" s="16">
        <v>46235</v>
      </c>
      <c r="L22" s="16">
        <v>45494</v>
      </c>
      <c r="M22" s="17">
        <v>1300</v>
      </c>
      <c r="N22" s="17">
        <v>500</v>
      </c>
      <c r="T22" s="2"/>
    </row>
    <row r="23" spans="1:20" ht="15.75" customHeight="1" x14ac:dyDescent="0.25">
      <c r="A23" s="15" t="s">
        <v>56</v>
      </c>
      <c r="B23" s="15" t="s">
        <v>57</v>
      </c>
      <c r="C23" s="15">
        <v>2017</v>
      </c>
      <c r="D23" s="15" t="s">
        <v>58</v>
      </c>
      <c r="E23" s="15" t="s">
        <v>59</v>
      </c>
      <c r="F23" s="15" t="s">
        <v>60</v>
      </c>
      <c r="G23" s="15" t="s">
        <v>49</v>
      </c>
      <c r="H23" s="15" t="s">
        <v>50</v>
      </c>
      <c r="I23" s="15">
        <v>896</v>
      </c>
      <c r="J23" s="18">
        <v>45629</v>
      </c>
      <c r="K23" s="18">
        <v>45993</v>
      </c>
      <c r="L23" s="18">
        <v>45629</v>
      </c>
      <c r="M23" s="17">
        <v>1300</v>
      </c>
      <c r="N23" s="17">
        <v>500</v>
      </c>
      <c r="T23" s="2"/>
    </row>
    <row r="24" spans="1:20" ht="15.75" customHeight="1" x14ac:dyDescent="0.25">
      <c r="A24" s="19" t="s">
        <v>61</v>
      </c>
      <c r="B24" s="19" t="s">
        <v>62</v>
      </c>
      <c r="C24" s="19">
        <v>2017</v>
      </c>
      <c r="D24" s="19" t="s">
        <v>63</v>
      </c>
      <c r="E24" s="19" t="s">
        <v>64</v>
      </c>
      <c r="F24" s="19" t="s">
        <v>65</v>
      </c>
      <c r="G24" s="19" t="s">
        <v>49</v>
      </c>
      <c r="H24" s="19" t="s">
        <v>50</v>
      </c>
      <c r="I24" s="19">
        <v>896</v>
      </c>
      <c r="J24" s="16">
        <v>45583</v>
      </c>
      <c r="K24" s="16">
        <v>45947</v>
      </c>
      <c r="L24" s="16">
        <v>45583</v>
      </c>
      <c r="M24" s="17">
        <v>1300</v>
      </c>
      <c r="N24" s="17">
        <v>500</v>
      </c>
      <c r="T24" s="2"/>
    </row>
    <row r="25" spans="1:20" ht="15.75" customHeight="1" x14ac:dyDescent="0.25">
      <c r="A25" s="20" t="s">
        <v>66</v>
      </c>
      <c r="B25" s="20" t="s">
        <v>67</v>
      </c>
      <c r="C25" s="20">
        <v>1997</v>
      </c>
      <c r="D25" s="20" t="s">
        <v>67</v>
      </c>
      <c r="E25" s="20" t="s">
        <v>68</v>
      </c>
      <c r="F25" s="20"/>
      <c r="G25" s="20" t="s">
        <v>49</v>
      </c>
      <c r="H25" s="20" t="s">
        <v>50</v>
      </c>
      <c r="I25" s="20">
        <v>896</v>
      </c>
      <c r="J25" s="18">
        <v>45505</v>
      </c>
      <c r="K25" s="16">
        <v>46235</v>
      </c>
      <c r="L25" s="16">
        <v>45505</v>
      </c>
      <c r="M25" s="17">
        <v>450</v>
      </c>
      <c r="N25" s="17">
        <v>500</v>
      </c>
      <c r="T25" s="2"/>
    </row>
    <row r="26" spans="1:20" ht="15.75" customHeight="1" x14ac:dyDescent="0.25">
      <c r="A26" s="20" t="s">
        <v>69</v>
      </c>
      <c r="B26" s="20" t="s">
        <v>70</v>
      </c>
      <c r="C26" s="20">
        <v>2018</v>
      </c>
      <c r="D26" s="20" t="s">
        <v>71</v>
      </c>
      <c r="E26" s="20" t="s">
        <v>72</v>
      </c>
      <c r="F26" s="20" t="s">
        <v>73</v>
      </c>
      <c r="G26" s="20" t="s">
        <v>49</v>
      </c>
      <c r="H26" s="20" t="s">
        <v>50</v>
      </c>
      <c r="I26" s="20">
        <v>896</v>
      </c>
      <c r="J26" s="18">
        <v>45839</v>
      </c>
      <c r="K26" s="18">
        <v>46204</v>
      </c>
      <c r="L26" s="16">
        <v>45839</v>
      </c>
      <c r="M26" s="17">
        <v>1300</v>
      </c>
      <c r="N26" s="17">
        <v>500</v>
      </c>
      <c r="T26" s="2"/>
    </row>
    <row r="27" spans="1:20" ht="15.75" customHeight="1" x14ac:dyDescent="0.25">
      <c r="A27" s="20" t="s">
        <v>74</v>
      </c>
      <c r="B27" s="20" t="s">
        <v>75</v>
      </c>
      <c r="C27" s="20">
        <v>2019</v>
      </c>
      <c r="D27" s="20" t="s">
        <v>76</v>
      </c>
      <c r="E27" s="20" t="s">
        <v>77</v>
      </c>
      <c r="F27" s="20" t="s">
        <v>78</v>
      </c>
      <c r="G27" s="20" t="s">
        <v>49</v>
      </c>
      <c r="H27" s="20" t="s">
        <v>79</v>
      </c>
      <c r="I27" s="20">
        <v>1008</v>
      </c>
      <c r="J27" s="16">
        <v>45717</v>
      </c>
      <c r="K27" s="16">
        <v>46081</v>
      </c>
      <c r="L27" s="16">
        <v>45717</v>
      </c>
      <c r="M27" s="17">
        <v>1300</v>
      </c>
      <c r="N27" s="17">
        <v>500</v>
      </c>
      <c r="T27" s="2"/>
    </row>
    <row r="28" spans="1:20" ht="15.75" customHeight="1" x14ac:dyDescent="0.25">
      <c r="A28" s="20" t="s">
        <v>80</v>
      </c>
      <c r="B28" s="20" t="s">
        <v>81</v>
      </c>
      <c r="C28" s="20">
        <v>2019</v>
      </c>
      <c r="D28" s="20" t="s">
        <v>82</v>
      </c>
      <c r="E28" s="20" t="s">
        <v>83</v>
      </c>
      <c r="F28" s="20" t="s">
        <v>78</v>
      </c>
      <c r="G28" s="20" t="s">
        <v>49</v>
      </c>
      <c r="H28" s="20" t="s">
        <v>79</v>
      </c>
      <c r="I28" s="20">
        <v>1008</v>
      </c>
      <c r="J28" s="16">
        <v>45825</v>
      </c>
      <c r="K28" s="16">
        <v>46190</v>
      </c>
      <c r="L28" s="16">
        <v>45825</v>
      </c>
      <c r="M28" s="17">
        <v>1300</v>
      </c>
      <c r="N28" s="17">
        <v>1000</v>
      </c>
      <c r="T28" s="2"/>
    </row>
    <row r="29" spans="1:20" ht="15.75" customHeight="1" x14ac:dyDescent="0.25">
      <c r="A29" s="20" t="s">
        <v>84</v>
      </c>
      <c r="B29" s="20" t="s">
        <v>85</v>
      </c>
      <c r="C29" s="20">
        <v>2017</v>
      </c>
      <c r="D29" s="20" t="s">
        <v>86</v>
      </c>
      <c r="E29" s="20" t="s">
        <v>87</v>
      </c>
      <c r="F29" s="20" t="s">
        <v>60</v>
      </c>
      <c r="G29" s="20" t="s">
        <v>49</v>
      </c>
      <c r="H29" s="20" t="s">
        <v>50</v>
      </c>
      <c r="I29" s="20">
        <v>896</v>
      </c>
      <c r="J29" s="16">
        <v>45724</v>
      </c>
      <c r="K29" s="16">
        <v>46088</v>
      </c>
      <c r="L29" s="16">
        <v>45724</v>
      </c>
      <c r="M29" s="17">
        <v>1300</v>
      </c>
      <c r="N29" s="17">
        <v>500</v>
      </c>
      <c r="T29" s="2"/>
    </row>
    <row r="30" spans="1:20" ht="15.75" customHeight="1" x14ac:dyDescent="0.25">
      <c r="A30" s="20" t="s">
        <v>88</v>
      </c>
      <c r="B30" s="20" t="s">
        <v>89</v>
      </c>
      <c r="C30" s="20">
        <v>2017</v>
      </c>
      <c r="D30" s="20" t="s">
        <v>90</v>
      </c>
      <c r="E30" s="20" t="s">
        <v>91</v>
      </c>
      <c r="F30" s="20" t="s">
        <v>55</v>
      </c>
      <c r="G30" s="20" t="s">
        <v>49</v>
      </c>
      <c r="H30" s="20" t="s">
        <v>50</v>
      </c>
      <c r="I30" s="20">
        <v>896</v>
      </c>
      <c r="J30" s="16">
        <v>45566</v>
      </c>
      <c r="K30" s="16">
        <v>45930</v>
      </c>
      <c r="L30" s="16">
        <v>45566</v>
      </c>
      <c r="M30" s="17">
        <v>1300</v>
      </c>
      <c r="N30" s="17">
        <v>500</v>
      </c>
      <c r="T30" s="2"/>
    </row>
    <row r="31" spans="1:20" ht="15.75" customHeight="1" x14ac:dyDescent="0.25">
      <c r="A31" s="20" t="s">
        <v>92</v>
      </c>
      <c r="B31" s="20" t="s">
        <v>93</v>
      </c>
      <c r="C31" s="20">
        <v>1990</v>
      </c>
      <c r="D31" s="20" t="s">
        <v>93</v>
      </c>
      <c r="E31" s="20" t="s">
        <v>94</v>
      </c>
      <c r="F31" s="20"/>
      <c r="G31" s="20" t="s">
        <v>49</v>
      </c>
      <c r="H31" s="20" t="s">
        <v>50</v>
      </c>
      <c r="I31" s="20">
        <v>896</v>
      </c>
      <c r="J31" s="16">
        <v>45474</v>
      </c>
      <c r="K31" s="16">
        <v>45838</v>
      </c>
      <c r="L31" s="16">
        <v>45474</v>
      </c>
      <c r="M31" s="17">
        <v>685</v>
      </c>
      <c r="N31" s="17">
        <v>685</v>
      </c>
      <c r="T31" s="2"/>
    </row>
    <row r="32" spans="1:20" ht="15.75" customHeight="1" x14ac:dyDescent="0.25">
      <c r="A32" s="20" t="s">
        <v>95</v>
      </c>
      <c r="B32" s="20" t="s">
        <v>96</v>
      </c>
      <c r="C32" s="20">
        <v>2018</v>
      </c>
      <c r="D32" s="20" t="s">
        <v>97</v>
      </c>
      <c r="E32" s="20" t="s">
        <v>98</v>
      </c>
      <c r="F32" s="20" t="s">
        <v>99</v>
      </c>
      <c r="G32" s="20" t="s">
        <v>49</v>
      </c>
      <c r="H32" s="20" t="s">
        <v>50</v>
      </c>
      <c r="I32" s="20">
        <v>896</v>
      </c>
      <c r="J32" s="16">
        <v>45839</v>
      </c>
      <c r="K32" s="16">
        <v>46204</v>
      </c>
      <c r="L32" s="16">
        <v>45839</v>
      </c>
      <c r="M32" s="17">
        <v>1300</v>
      </c>
      <c r="N32" s="17">
        <v>500</v>
      </c>
      <c r="T32" s="2"/>
    </row>
    <row r="33" spans="1:20" ht="15.75" customHeight="1" x14ac:dyDescent="0.25">
      <c r="A33" s="20" t="s">
        <v>100</v>
      </c>
      <c r="B33" s="20" t="s">
        <v>101</v>
      </c>
      <c r="C33" s="20">
        <v>1997</v>
      </c>
      <c r="D33" s="20" t="s">
        <v>102</v>
      </c>
      <c r="E33" s="20" t="s">
        <v>103</v>
      </c>
      <c r="F33" s="20"/>
      <c r="G33" s="20" t="s">
        <v>49</v>
      </c>
      <c r="H33" s="20" t="s">
        <v>50</v>
      </c>
      <c r="I33" s="20">
        <v>896</v>
      </c>
      <c r="J33" s="16">
        <v>45505</v>
      </c>
      <c r="K33" s="16">
        <v>45869</v>
      </c>
      <c r="L33" s="16">
        <v>45505</v>
      </c>
      <c r="M33" s="17">
        <v>610</v>
      </c>
      <c r="N33" s="17">
        <v>610</v>
      </c>
      <c r="T33" s="2"/>
    </row>
    <row r="34" spans="1:20" ht="15.75" customHeight="1" x14ac:dyDescent="0.25">
      <c r="A34" s="20" t="s">
        <v>104</v>
      </c>
      <c r="B34" s="20" t="s">
        <v>105</v>
      </c>
      <c r="C34" s="20">
        <v>2018</v>
      </c>
      <c r="D34" s="20" t="s">
        <v>106</v>
      </c>
      <c r="E34" s="20" t="s">
        <v>107</v>
      </c>
      <c r="F34" s="20" t="s">
        <v>60</v>
      </c>
      <c r="G34" s="20" t="s">
        <v>49</v>
      </c>
      <c r="H34" s="20" t="s">
        <v>50</v>
      </c>
      <c r="I34" s="20">
        <v>896</v>
      </c>
      <c r="J34" s="16">
        <v>45884</v>
      </c>
      <c r="K34" s="16">
        <v>46249</v>
      </c>
      <c r="L34" s="16">
        <v>45884</v>
      </c>
      <c r="M34" s="17">
        <v>1300</v>
      </c>
      <c r="N34" s="17">
        <v>500</v>
      </c>
      <c r="T34" s="2"/>
    </row>
    <row r="35" spans="1:20" ht="15.75" customHeight="1" x14ac:dyDescent="0.25">
      <c r="A35" s="20" t="s">
        <v>108</v>
      </c>
      <c r="B35" s="20" t="s">
        <v>109</v>
      </c>
      <c r="C35" s="20">
        <v>2017</v>
      </c>
      <c r="D35" s="20" t="s">
        <v>110</v>
      </c>
      <c r="E35" s="20" t="s">
        <v>111</v>
      </c>
      <c r="F35" s="20" t="s">
        <v>112</v>
      </c>
      <c r="G35" s="20" t="s">
        <v>49</v>
      </c>
      <c r="H35" s="20" t="s">
        <v>50</v>
      </c>
      <c r="I35" s="20">
        <v>896</v>
      </c>
      <c r="J35" s="21">
        <v>45848</v>
      </c>
      <c r="K35" s="21">
        <v>46213</v>
      </c>
      <c r="L35" s="16">
        <v>45848</v>
      </c>
      <c r="M35" s="17">
        <v>1300</v>
      </c>
      <c r="N35" s="17">
        <v>500</v>
      </c>
      <c r="T35" s="2"/>
    </row>
    <row r="36" spans="1:20" ht="15.75" customHeight="1" x14ac:dyDescent="0.25">
      <c r="A36" s="20" t="s">
        <v>113</v>
      </c>
      <c r="B36" s="20" t="s">
        <v>114</v>
      </c>
      <c r="C36" s="20">
        <v>2019</v>
      </c>
      <c r="D36" s="20" t="s">
        <v>115</v>
      </c>
      <c r="E36" s="20" t="s">
        <v>116</v>
      </c>
      <c r="F36" s="20" t="s">
        <v>55</v>
      </c>
      <c r="G36" s="20" t="s">
        <v>49</v>
      </c>
      <c r="H36" s="20" t="s">
        <v>79</v>
      </c>
      <c r="I36" s="20">
        <v>1008</v>
      </c>
      <c r="J36" s="16">
        <v>45505</v>
      </c>
      <c r="K36" s="16">
        <v>46235</v>
      </c>
      <c r="L36" s="16">
        <v>45505</v>
      </c>
      <c r="M36" s="17">
        <v>1300</v>
      </c>
      <c r="N36" s="17">
        <v>500</v>
      </c>
    </row>
    <row r="37" spans="1:20" ht="15.75" customHeight="1" x14ac:dyDescent="0.25">
      <c r="A37" s="20" t="s">
        <v>117</v>
      </c>
      <c r="B37" s="20" t="s">
        <v>118</v>
      </c>
      <c r="C37" s="20">
        <v>2019</v>
      </c>
      <c r="D37" s="20" t="s">
        <v>119</v>
      </c>
      <c r="E37" s="20" t="s">
        <v>120</v>
      </c>
      <c r="F37" s="20" t="s">
        <v>78</v>
      </c>
      <c r="G37" s="20" t="s">
        <v>49</v>
      </c>
      <c r="H37" s="20" t="s">
        <v>79</v>
      </c>
      <c r="I37" s="20">
        <v>1008</v>
      </c>
      <c r="J37" s="16">
        <v>45492</v>
      </c>
      <c r="K37" s="16">
        <v>46235</v>
      </c>
      <c r="L37" s="16">
        <v>45492</v>
      </c>
      <c r="M37" s="17">
        <v>1300</v>
      </c>
      <c r="N37" s="17">
        <v>500</v>
      </c>
      <c r="T37" s="22"/>
    </row>
    <row r="38" spans="1:20" ht="15.75" customHeight="1" x14ac:dyDescent="0.25">
      <c r="A38" s="20" t="s">
        <v>121</v>
      </c>
      <c r="B38" s="20" t="s">
        <v>122</v>
      </c>
      <c r="C38" s="20">
        <v>2019</v>
      </c>
      <c r="D38" s="20" t="s">
        <v>123</v>
      </c>
      <c r="E38" s="20" t="s">
        <v>124</v>
      </c>
      <c r="F38" s="20" t="s">
        <v>55</v>
      </c>
      <c r="G38" s="20" t="s">
        <v>49</v>
      </c>
      <c r="H38" s="20" t="s">
        <v>79</v>
      </c>
      <c r="I38" s="20">
        <v>1008</v>
      </c>
      <c r="J38" s="16">
        <v>45839</v>
      </c>
      <c r="K38" s="16">
        <v>46204</v>
      </c>
      <c r="L38" s="16">
        <v>46204</v>
      </c>
      <c r="M38" s="23">
        <v>1300</v>
      </c>
      <c r="N38" s="17">
        <v>500</v>
      </c>
    </row>
    <row r="39" spans="1:20" ht="15.75" customHeight="1" x14ac:dyDescent="0.25">
      <c r="L39" s="24"/>
      <c r="M39" s="25">
        <f>SUM(M21:M38)</f>
        <v>21245</v>
      </c>
    </row>
    <row r="40" spans="1:20" ht="15.75" customHeight="1" x14ac:dyDescent="0.25">
      <c r="L40" s="26"/>
    </row>
    <row r="41" spans="1:20" ht="15.75" customHeight="1" x14ac:dyDescent="0.25">
      <c r="A41" s="27" t="s">
        <v>125</v>
      </c>
      <c r="B41" s="27"/>
      <c r="C41" s="27"/>
      <c r="D41" s="27"/>
      <c r="E41" s="27"/>
      <c r="F41" s="27"/>
      <c r="G41" s="27"/>
      <c r="H41" s="27"/>
      <c r="I41" s="27"/>
    </row>
    <row r="42" spans="1:20" ht="15.75" customHeight="1" x14ac:dyDescent="0.25"/>
    <row r="43" spans="1:20" ht="15.75" customHeight="1" x14ac:dyDescent="0.25"/>
    <row r="44" spans="1:20" ht="15.75" customHeight="1" x14ac:dyDescent="0.25"/>
    <row r="45" spans="1:20" ht="15.75" customHeight="1" x14ac:dyDescent="0.25"/>
    <row r="46" spans="1:20" ht="15.75" customHeight="1" x14ac:dyDescent="0.25"/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&amp;C_x000D_#000000 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3.7109375" customWidth="1"/>
    <col min="3" max="3" width="12.85546875" customWidth="1"/>
    <col min="4" max="4" width="12.5703125" customWidth="1"/>
    <col min="5" max="5" width="12.85546875" customWidth="1"/>
    <col min="6" max="6" width="12.140625" customWidth="1"/>
    <col min="7" max="7" width="12.28515625" customWidth="1"/>
    <col min="8" max="8" width="12.140625" customWidth="1"/>
    <col min="9" max="9" width="12.42578125" customWidth="1"/>
    <col min="10" max="12" width="13.42578125" customWidth="1"/>
    <col min="13" max="13" width="12.5703125" customWidth="1"/>
    <col min="14" max="14" width="13.7109375" customWidth="1"/>
    <col min="15" max="26" width="8.5703125" customWidth="1"/>
  </cols>
  <sheetData>
    <row r="1" spans="1:15" x14ac:dyDescent="0.25">
      <c r="A1" s="1" t="s">
        <v>126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5" x14ac:dyDescent="0.25">
      <c r="A2" s="1" t="s">
        <v>44</v>
      </c>
      <c r="B2" s="2">
        <v>1300</v>
      </c>
      <c r="C2" s="2">
        <v>1300</v>
      </c>
      <c r="D2" s="2">
        <v>1300</v>
      </c>
      <c r="E2" s="2">
        <v>1300</v>
      </c>
      <c r="F2" s="2">
        <v>1350</v>
      </c>
      <c r="G2" s="2">
        <v>350</v>
      </c>
      <c r="H2" s="2">
        <v>1300</v>
      </c>
      <c r="I2" s="2">
        <v>1300</v>
      </c>
      <c r="J2" s="2">
        <v>1300</v>
      </c>
      <c r="K2" s="4">
        <v>1300</v>
      </c>
      <c r="L2" s="4">
        <v>1300</v>
      </c>
      <c r="M2" s="4">
        <v>1300</v>
      </c>
      <c r="N2" s="2">
        <f t="shared" ref="N2:N19" si="0">SUM(B2:M2)</f>
        <v>14700</v>
      </c>
      <c r="O2" s="2"/>
    </row>
    <row r="3" spans="1:15" x14ac:dyDescent="0.25">
      <c r="A3" s="1" t="s">
        <v>51</v>
      </c>
      <c r="B3" s="2">
        <v>1300</v>
      </c>
      <c r="C3" s="4">
        <v>1300</v>
      </c>
      <c r="D3" s="2">
        <v>1300</v>
      </c>
      <c r="E3" s="2">
        <v>1300</v>
      </c>
      <c r="F3" s="2">
        <v>1300</v>
      </c>
      <c r="G3" s="2">
        <v>1300</v>
      </c>
      <c r="H3" s="4">
        <v>1300</v>
      </c>
      <c r="I3" s="4">
        <v>1300</v>
      </c>
      <c r="J3" s="4">
        <v>1300</v>
      </c>
      <c r="K3" s="2">
        <v>1300</v>
      </c>
      <c r="L3" s="2">
        <v>1300</v>
      </c>
      <c r="M3" s="2">
        <v>1300</v>
      </c>
      <c r="N3" s="2">
        <f t="shared" si="0"/>
        <v>15600</v>
      </c>
      <c r="O3" s="2"/>
    </row>
    <row r="4" spans="1:15" x14ac:dyDescent="0.25">
      <c r="A4" s="1" t="s">
        <v>56</v>
      </c>
      <c r="B4" s="2">
        <v>1300</v>
      </c>
      <c r="C4" s="2">
        <v>1300</v>
      </c>
      <c r="D4" s="2">
        <v>1300</v>
      </c>
      <c r="E4" s="2">
        <v>1300</v>
      </c>
      <c r="F4" s="2">
        <v>1300</v>
      </c>
      <c r="G4" s="2">
        <v>600</v>
      </c>
      <c r="H4" s="2">
        <v>1300</v>
      </c>
      <c r="I4" s="2">
        <v>1350</v>
      </c>
      <c r="J4" s="2">
        <v>1300</v>
      </c>
      <c r="K4" s="2">
        <v>1300</v>
      </c>
      <c r="L4" s="2">
        <v>1300</v>
      </c>
      <c r="M4" s="2">
        <v>1300</v>
      </c>
      <c r="N4" s="2">
        <f t="shared" si="0"/>
        <v>14950</v>
      </c>
      <c r="O4" s="2"/>
    </row>
    <row r="5" spans="1:15" x14ac:dyDescent="0.25">
      <c r="A5" s="1" t="s">
        <v>61</v>
      </c>
      <c r="B5" s="2">
        <v>1300</v>
      </c>
      <c r="C5" s="2">
        <v>1300</v>
      </c>
      <c r="D5" s="2">
        <v>1300</v>
      </c>
      <c r="E5" s="2">
        <v>1300</v>
      </c>
      <c r="F5" s="2">
        <v>1300</v>
      </c>
      <c r="G5" s="2">
        <v>1300</v>
      </c>
      <c r="H5" s="2">
        <v>1300</v>
      </c>
      <c r="I5" s="2">
        <v>1300</v>
      </c>
      <c r="J5" s="2">
        <v>1300</v>
      </c>
      <c r="K5" s="2">
        <v>1300</v>
      </c>
      <c r="L5" s="2">
        <v>1300</v>
      </c>
      <c r="M5" s="2">
        <v>1300</v>
      </c>
      <c r="N5" s="2">
        <f t="shared" si="0"/>
        <v>15600</v>
      </c>
      <c r="O5" s="2"/>
    </row>
    <row r="6" spans="1:15" x14ac:dyDescent="0.25">
      <c r="A6" s="1" t="s">
        <v>66</v>
      </c>
      <c r="B6" s="2">
        <v>450</v>
      </c>
      <c r="C6" s="2">
        <v>450</v>
      </c>
      <c r="D6" s="2">
        <v>450</v>
      </c>
      <c r="E6" s="2">
        <v>450</v>
      </c>
      <c r="F6" s="2">
        <v>450</v>
      </c>
      <c r="G6" s="2">
        <v>450</v>
      </c>
      <c r="H6" s="2">
        <v>450</v>
      </c>
      <c r="I6" s="2">
        <v>450</v>
      </c>
      <c r="J6" s="2">
        <v>450</v>
      </c>
      <c r="K6" s="2">
        <v>450</v>
      </c>
      <c r="L6" s="2">
        <v>450</v>
      </c>
      <c r="M6" s="2">
        <v>450</v>
      </c>
      <c r="N6" s="2">
        <f t="shared" si="0"/>
        <v>5400</v>
      </c>
      <c r="O6" s="2"/>
    </row>
    <row r="7" spans="1:15" x14ac:dyDescent="0.25">
      <c r="A7" s="1" t="s">
        <v>69</v>
      </c>
      <c r="B7" s="2"/>
      <c r="C7" s="2">
        <v>1300</v>
      </c>
      <c r="D7" s="2">
        <v>1300</v>
      </c>
      <c r="E7" s="2">
        <v>469.35</v>
      </c>
      <c r="F7" s="2"/>
      <c r="G7" s="2"/>
      <c r="H7" s="2">
        <v>1300</v>
      </c>
      <c r="I7" s="2">
        <v>1300</v>
      </c>
      <c r="J7" s="2">
        <v>1300</v>
      </c>
      <c r="K7" s="4">
        <v>1300</v>
      </c>
      <c r="L7" s="2">
        <v>1300</v>
      </c>
      <c r="M7" s="2">
        <v>475</v>
      </c>
      <c r="N7" s="2">
        <f t="shared" si="0"/>
        <v>10044.35</v>
      </c>
      <c r="O7" s="2"/>
    </row>
    <row r="8" spans="1:15" x14ac:dyDescent="0.25">
      <c r="A8" s="1" t="s">
        <v>74</v>
      </c>
      <c r="B8" s="2">
        <v>1300</v>
      </c>
      <c r="C8" s="2">
        <v>1300</v>
      </c>
      <c r="D8" s="2">
        <v>1300</v>
      </c>
      <c r="E8" s="2">
        <v>1300</v>
      </c>
      <c r="F8" s="2">
        <v>1300</v>
      </c>
      <c r="G8" s="2">
        <v>1300</v>
      </c>
      <c r="H8" s="2">
        <v>1300</v>
      </c>
      <c r="I8" s="2">
        <v>1300</v>
      </c>
      <c r="J8" s="2">
        <v>1300</v>
      </c>
      <c r="K8" s="2">
        <v>1300</v>
      </c>
      <c r="L8" s="2">
        <v>1300</v>
      </c>
      <c r="M8" s="2">
        <v>1300</v>
      </c>
      <c r="N8" s="2">
        <f t="shared" si="0"/>
        <v>15600</v>
      </c>
      <c r="O8" s="2"/>
    </row>
    <row r="9" spans="1:15" x14ac:dyDescent="0.25">
      <c r="A9" s="1" t="s">
        <v>80</v>
      </c>
      <c r="B9" s="2">
        <v>1100</v>
      </c>
      <c r="C9" s="2"/>
      <c r="D9" s="2"/>
      <c r="E9" s="2"/>
      <c r="F9" s="2"/>
      <c r="G9" s="4">
        <v>615.99</v>
      </c>
      <c r="H9" s="4">
        <v>1300</v>
      </c>
      <c r="I9" s="2">
        <v>1350</v>
      </c>
      <c r="J9" s="2">
        <v>1300</v>
      </c>
      <c r="K9" s="2">
        <v>1300</v>
      </c>
      <c r="L9" s="2">
        <v>1300</v>
      </c>
      <c r="M9" s="2">
        <v>1300</v>
      </c>
      <c r="N9" s="2">
        <f t="shared" si="0"/>
        <v>9565.99</v>
      </c>
      <c r="O9" s="2"/>
    </row>
    <row r="10" spans="1:15" x14ac:dyDescent="0.25">
      <c r="A10" s="1" t="s">
        <v>84</v>
      </c>
      <c r="B10" s="2">
        <v>1100</v>
      </c>
      <c r="C10" s="2">
        <v>650</v>
      </c>
      <c r="D10" s="2">
        <v>1034</v>
      </c>
      <c r="E10" s="2">
        <v>1300</v>
      </c>
      <c r="F10" s="2">
        <v>1300</v>
      </c>
      <c r="G10" s="2">
        <v>1300</v>
      </c>
      <c r="H10" s="2">
        <v>1300</v>
      </c>
      <c r="I10" s="2">
        <v>1350</v>
      </c>
      <c r="J10" s="2"/>
      <c r="K10" s="2">
        <v>419.35</v>
      </c>
      <c r="L10" s="2">
        <v>1300</v>
      </c>
      <c r="M10" s="2">
        <v>1300</v>
      </c>
      <c r="N10" s="2">
        <f t="shared" si="0"/>
        <v>12353.35</v>
      </c>
      <c r="O10" s="2"/>
    </row>
    <row r="11" spans="1:15" x14ac:dyDescent="0.25">
      <c r="A11" s="1" t="s">
        <v>88</v>
      </c>
      <c r="B11" s="2">
        <v>1118.05</v>
      </c>
      <c r="C11" s="2"/>
      <c r="D11" s="2">
        <v>1300</v>
      </c>
      <c r="E11" s="2">
        <v>1300</v>
      </c>
      <c r="F11" s="2">
        <v>1300</v>
      </c>
      <c r="G11" s="2">
        <v>1300</v>
      </c>
      <c r="H11" s="2">
        <v>1300</v>
      </c>
      <c r="I11" s="2">
        <v>1300</v>
      </c>
      <c r="J11" s="2">
        <v>1300</v>
      </c>
      <c r="K11" s="2">
        <v>1300</v>
      </c>
      <c r="L11" s="2">
        <v>1300</v>
      </c>
      <c r="M11" s="2">
        <v>1300</v>
      </c>
      <c r="N11" s="2">
        <f t="shared" si="0"/>
        <v>14118.05</v>
      </c>
      <c r="O11" s="2"/>
    </row>
    <row r="12" spans="1:15" x14ac:dyDescent="0.25">
      <c r="A12" s="1" t="s">
        <v>92</v>
      </c>
      <c r="B12" s="2">
        <v>685</v>
      </c>
      <c r="C12" s="2">
        <v>685</v>
      </c>
      <c r="D12" s="2">
        <v>685</v>
      </c>
      <c r="E12" s="2">
        <v>685</v>
      </c>
      <c r="F12" s="2">
        <v>685</v>
      </c>
      <c r="G12" s="4">
        <v>685</v>
      </c>
      <c r="H12" s="4">
        <v>685</v>
      </c>
      <c r="I12" s="2">
        <v>685</v>
      </c>
      <c r="J12" s="2">
        <v>685</v>
      </c>
      <c r="K12" s="2">
        <v>685</v>
      </c>
      <c r="L12" s="2">
        <v>685</v>
      </c>
      <c r="M12" s="2">
        <v>685</v>
      </c>
      <c r="N12" s="2">
        <f t="shared" si="0"/>
        <v>8220</v>
      </c>
      <c r="O12" s="2"/>
    </row>
    <row r="13" spans="1:15" x14ac:dyDescent="0.25">
      <c r="A13" s="1" t="s">
        <v>95</v>
      </c>
      <c r="B13" s="2"/>
      <c r="C13" s="2">
        <v>1300</v>
      </c>
      <c r="D13" s="2">
        <v>1300</v>
      </c>
      <c r="E13" s="2">
        <v>1300</v>
      </c>
      <c r="F13" s="2"/>
      <c r="G13" s="2"/>
      <c r="H13" s="2">
        <v>1300</v>
      </c>
      <c r="I13" s="2">
        <v>1400</v>
      </c>
      <c r="J13" s="2">
        <v>1300</v>
      </c>
      <c r="K13" s="2">
        <v>1300</v>
      </c>
      <c r="L13" s="2">
        <v>1300</v>
      </c>
      <c r="M13" s="2">
        <v>1300</v>
      </c>
      <c r="N13" s="2">
        <f t="shared" si="0"/>
        <v>11800</v>
      </c>
      <c r="O13" s="2"/>
    </row>
    <row r="14" spans="1:15" x14ac:dyDescent="0.25">
      <c r="A14" s="1" t="s">
        <v>100</v>
      </c>
      <c r="B14" s="2">
        <v>610</v>
      </c>
      <c r="C14" s="2">
        <v>610</v>
      </c>
      <c r="D14" s="2">
        <v>610</v>
      </c>
      <c r="E14" s="2">
        <v>610</v>
      </c>
      <c r="F14" s="2">
        <v>610</v>
      </c>
      <c r="G14" s="2">
        <v>610</v>
      </c>
      <c r="H14" s="2">
        <v>610</v>
      </c>
      <c r="I14" s="2">
        <v>610</v>
      </c>
      <c r="J14" s="2">
        <v>610</v>
      </c>
      <c r="K14" s="2">
        <v>610</v>
      </c>
      <c r="L14" s="2">
        <v>610</v>
      </c>
      <c r="M14" s="2">
        <v>610</v>
      </c>
      <c r="N14" s="2">
        <f t="shared" si="0"/>
        <v>7320</v>
      </c>
      <c r="O14" s="2"/>
    </row>
    <row r="15" spans="1:15" x14ac:dyDescent="0.25">
      <c r="A15" s="1" t="s">
        <v>104</v>
      </c>
      <c r="B15" s="2">
        <v>1300</v>
      </c>
      <c r="C15" s="2">
        <v>1300</v>
      </c>
      <c r="D15" s="2">
        <v>1300</v>
      </c>
      <c r="E15" s="2">
        <v>1300</v>
      </c>
      <c r="F15" s="2">
        <v>550</v>
      </c>
      <c r="G15" s="2"/>
      <c r="H15" s="4">
        <v>0</v>
      </c>
      <c r="I15" s="2">
        <v>712.9</v>
      </c>
      <c r="J15" s="2">
        <v>1300</v>
      </c>
      <c r="K15" s="2">
        <v>1300</v>
      </c>
      <c r="L15" s="2">
        <v>1350</v>
      </c>
      <c r="M15" s="2">
        <v>1300</v>
      </c>
      <c r="N15" s="2">
        <f t="shared" si="0"/>
        <v>11712.9</v>
      </c>
      <c r="O15" s="2"/>
    </row>
    <row r="16" spans="1:15" x14ac:dyDescent="0.25">
      <c r="A16" s="1" t="s">
        <v>108</v>
      </c>
      <c r="B16" s="2">
        <v>1300</v>
      </c>
      <c r="C16" s="2">
        <v>1300</v>
      </c>
      <c r="D16" s="2">
        <v>1300</v>
      </c>
      <c r="E16" s="2">
        <v>1290</v>
      </c>
      <c r="F16" s="2">
        <v>1300</v>
      </c>
      <c r="G16" s="2"/>
      <c r="H16" s="2">
        <v>878.25</v>
      </c>
      <c r="I16" s="2">
        <v>1300</v>
      </c>
      <c r="J16" s="2">
        <v>1300</v>
      </c>
      <c r="K16" s="2">
        <v>1300</v>
      </c>
      <c r="L16" s="2">
        <v>1300</v>
      </c>
      <c r="M16" s="2">
        <v>1300</v>
      </c>
      <c r="N16" s="2">
        <f t="shared" si="0"/>
        <v>13868.25</v>
      </c>
      <c r="O16" s="2"/>
    </row>
    <row r="17" spans="1:15" x14ac:dyDescent="0.25">
      <c r="A17" s="1" t="s">
        <v>113</v>
      </c>
      <c r="B17" s="2">
        <v>1300</v>
      </c>
      <c r="C17" s="2">
        <v>938.85</v>
      </c>
      <c r="D17" s="2">
        <v>1300</v>
      </c>
      <c r="E17" s="2">
        <v>1300</v>
      </c>
      <c r="F17" s="2">
        <v>1300</v>
      </c>
      <c r="G17" s="2">
        <v>1300</v>
      </c>
      <c r="H17" s="2">
        <v>1300</v>
      </c>
      <c r="I17" s="2">
        <v>1300</v>
      </c>
      <c r="J17" s="2">
        <v>1300</v>
      </c>
      <c r="K17" s="2">
        <v>1300</v>
      </c>
      <c r="L17" s="2">
        <v>1300</v>
      </c>
      <c r="M17" s="2">
        <v>1300</v>
      </c>
      <c r="N17" s="2">
        <f t="shared" si="0"/>
        <v>15238.85</v>
      </c>
      <c r="O17" s="2"/>
    </row>
    <row r="18" spans="1:15" x14ac:dyDescent="0.25">
      <c r="A18" s="1" t="s">
        <v>117</v>
      </c>
      <c r="B18" s="2">
        <v>1300</v>
      </c>
      <c r="C18" s="2">
        <v>1300</v>
      </c>
      <c r="D18" s="2">
        <v>1300</v>
      </c>
      <c r="E18" s="2">
        <v>1300</v>
      </c>
      <c r="F18" s="2">
        <v>1300</v>
      </c>
      <c r="G18" s="2">
        <v>1300</v>
      </c>
      <c r="H18" s="2">
        <v>1300</v>
      </c>
      <c r="I18" s="2">
        <v>1300</v>
      </c>
      <c r="J18" s="2">
        <v>1300</v>
      </c>
      <c r="K18" s="2">
        <v>1300</v>
      </c>
      <c r="L18" s="2">
        <v>1300</v>
      </c>
      <c r="M18" s="2">
        <v>1300</v>
      </c>
      <c r="N18" s="2">
        <f t="shared" si="0"/>
        <v>15600</v>
      </c>
      <c r="O18" s="2"/>
    </row>
    <row r="19" spans="1:15" x14ac:dyDescent="0.25">
      <c r="A19" s="1" t="s">
        <v>121</v>
      </c>
      <c r="B19" s="2"/>
      <c r="C19" s="2">
        <v>1300</v>
      </c>
      <c r="D19" s="2"/>
      <c r="E19" s="2"/>
      <c r="F19" s="2"/>
      <c r="G19" s="2">
        <v>1300</v>
      </c>
      <c r="H19" s="2">
        <v>1300</v>
      </c>
      <c r="I19" s="4">
        <v>1300</v>
      </c>
      <c r="J19" s="4">
        <v>1300</v>
      </c>
      <c r="K19" s="2"/>
      <c r="L19" s="2">
        <v>1213.33</v>
      </c>
      <c r="M19" s="2">
        <v>1300</v>
      </c>
      <c r="N19" s="2">
        <f t="shared" si="0"/>
        <v>9013.33</v>
      </c>
      <c r="O19" s="2"/>
    </row>
    <row r="21" spans="1:15" ht="15.75" customHeight="1" x14ac:dyDescent="0.25">
      <c r="B21" s="2">
        <f t="shared" ref="B21:N21" si="1">SUM(B2:B19)</f>
        <v>16763.05</v>
      </c>
      <c r="C21" s="2">
        <f t="shared" si="1"/>
        <v>17633.849999999999</v>
      </c>
      <c r="D21" s="2">
        <f t="shared" si="1"/>
        <v>18379</v>
      </c>
      <c r="E21" s="2">
        <f t="shared" si="1"/>
        <v>17804.349999999999</v>
      </c>
      <c r="F21" s="2">
        <f t="shared" si="1"/>
        <v>15345</v>
      </c>
      <c r="G21" s="2">
        <f t="shared" si="1"/>
        <v>13710.99</v>
      </c>
      <c r="H21" s="2">
        <f t="shared" si="1"/>
        <v>19523.25</v>
      </c>
      <c r="I21" s="2">
        <f t="shared" si="1"/>
        <v>20907.900000000001</v>
      </c>
      <c r="J21" s="2">
        <f t="shared" si="1"/>
        <v>19945</v>
      </c>
      <c r="K21" s="2">
        <f t="shared" si="1"/>
        <v>19064.349999999999</v>
      </c>
      <c r="L21" s="2">
        <f t="shared" si="1"/>
        <v>21208.33</v>
      </c>
      <c r="M21" s="2">
        <f t="shared" si="1"/>
        <v>20420</v>
      </c>
      <c r="N21" s="2">
        <f t="shared" si="1"/>
        <v>220705.07</v>
      </c>
    </row>
    <row r="22" spans="1:15" ht="15.75" customHeight="1" x14ac:dyDescent="0.25">
      <c r="N22" s="2"/>
    </row>
    <row r="23" spans="1:15" ht="15.75" customHeight="1" x14ac:dyDescent="0.25"/>
    <row r="24" spans="1:15" ht="15.75" customHeight="1" x14ac:dyDescent="0.25"/>
    <row r="25" spans="1:15" ht="15.75" customHeight="1" x14ac:dyDescent="0.25"/>
    <row r="26" spans="1:15" ht="15.75" customHeight="1" x14ac:dyDescent="0.25"/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Shaw</dc:creator>
  <cp:lastModifiedBy>David Vercher</cp:lastModifiedBy>
  <dcterms:created xsi:type="dcterms:W3CDTF">2025-10-16T14:10:40Z</dcterms:created>
  <dcterms:modified xsi:type="dcterms:W3CDTF">2026-02-25T23:08:51Z</dcterms:modified>
</cp:coreProperties>
</file>