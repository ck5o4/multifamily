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<sst xmlns="http://schemas.openxmlformats.org/spreadsheetml/2006/main" count="267" uniqueCount="242">
  <si>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</si>
  <si>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</si>
  <si>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</si>
  <si>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</si>
  <si>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</si>
  <si>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</si>
  <si>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</si>
  <si>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</si>
  <si>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</si>
  <si>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</si>
  <si>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</si>
  <si>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</si>
  <si>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</si>
  <si>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</si>
  <si>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</si>
  <si>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</si>
  <si>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</si>
  <si>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</si>
  <si>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</si>
  <si>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</si>
  <si>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</si>
  <si>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</si>
  <si>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</si>
  <si>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3 BR/ 2 BA</t>
  </si>
  <si>
    <t xml:space="preserve">Loan Fee (% of Loan)</t>
  </si>
  <si>
    <t xml:space="preserve">2 BR/ 1 BA</t>
  </si>
  <si>
    <t xml:space="preserve">Total Units</t>
  </si>
  <si>
    <t xml:space="preserve">BR/BA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</si>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</sst>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9" min="5" style="0" width="12"/>
  </cols>
  <sheetData>
    <row r="1" customFormat="false" ht="15" hidden="false" customHeight="false" outlineLevel="0" collapsed="false">
      <c r="A1" s="3" t="s">
        <v>14</v>
      </c>
      <c r="E1" s="3" t="s">
        <v>15</v>
      </c>
    </row>
    <row r="2" customFormat="false" ht="15" hidden="false" customHeight="false" outlineLevel="0" collapsed="false">
      <c r="A2" s="0" t="s">
        <v>16</v>
      </c>
      <c r="B2" s="4" t="n">
        <v>1078000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</row>
    <row r="3" customFormat="false" ht="15" hidden="false" customHeight="false" outlineLevel="0" collapsed="false">
      <c r="A3" s="0" t="s">
        <v>22</v>
      </c>
      <c r="B3" s="6" t="n">
        <v>0.02</v>
      </c>
      <c r="E3" s="7" t="n">
        <v>13</v>
      </c>
      <c r="F3" s="7" t="s">
        <v>23</v>
      </c>
      <c r="G3" s="7" t="n">
        <v>1222</v>
      </c>
      <c r="H3" s="8" t="n">
        <v>1300</v>
      </c>
      <c r="I3" s="9" t="n">
        <f aca="false">IFERROR(H3/G3,0)</f>
        <v>1.06382978723404</v>
      </c>
    </row>
    <row r="4" customFormat="false" ht="15" hidden="false" customHeight="false" outlineLevel="0" collapsed="false">
      <c r="A4" s="0" t="s">
        <v>24</v>
      </c>
      <c r="B4" s="6" t="n">
        <v>0.01</v>
      </c>
      <c r="E4" s="7" t="n">
        <v>3</v>
      </c>
      <c r="F4" s="7" t="s">
        <v>25</v>
      </c>
      <c r="G4" s="7" t="n">
        <v>900</v>
      </c>
      <c r="H4" s="8" t="n">
        <v>600</v>
      </c>
      <c r="I4" s="9" t="n">
        <f aca="false">IFERROR(H4/G4,0)</f>
        <v>0.666666666666667</v>
      </c>
    </row>
    <row r="5" customFormat="false" ht="15" hidden="false" customHeight="false" outlineLevel="0" collapsed="false">
      <c r="A5" s="0" t="s">
        <v>26</v>
      </c>
      <c r="B5" s="10" t="n">
        <f aca="false">E11</f>
        <v>16</v>
      </c>
      <c r="E5" s="7" t="n">
        <v>0</v>
      </c>
      <c r="F5" s="7" t="s">
        <v>27</v>
      </c>
      <c r="G5" s="7" t="n">
        <v>0</v>
      </c>
      <c r="H5" s="8" t="n">
        <v>0</v>
      </c>
      <c r="I5" s="9" t="n">
        <f aca="false">IFERROR(H5/G5,0)</f>
        <v>0</v>
      </c>
    </row>
    <row r="6" customFormat="false" ht="15" hidden="false" customHeight="false" outlineLevel="0" collapsed="false">
      <c r="A6" s="0" t="s">
        <v>28</v>
      </c>
      <c r="B6" s="11" t="n">
        <f aca="false">IFERROR(B2/B5,0)</f>
        <v>67375</v>
      </c>
      <c r="E6" s="7" t="n">
        <v>0</v>
      </c>
      <c r="F6" s="7" t="s">
        <v>27</v>
      </c>
      <c r="G6" s="7" t="n">
        <v>0</v>
      </c>
      <c r="H6" s="8" t="n">
        <v>0</v>
      </c>
      <c r="I6" s="9" t="n">
        <f aca="false">IFERROR(H6/G6,0)</f>
        <v>0</v>
      </c>
    </row>
    <row r="7" customFormat="false" ht="15" hidden="false" customHeight="false" outlineLevel="0" collapsed="false">
      <c r="E7" s="7" t="n">
        <v>0</v>
      </c>
      <c r="F7" s="7" t="s">
        <v>27</v>
      </c>
      <c r="G7" s="7" t="n">
        <v>0</v>
      </c>
      <c r="H7" s="8" t="n">
        <v>0</v>
      </c>
      <c r="I7" s="9" t="n">
        <f aca="false">IFERROR(H7/G7,0)</f>
        <v>0</v>
      </c>
    </row>
    <row r="8" customFormat="false" ht="15" hidden="false" customHeight="false" outlineLevel="0" collapsed="false">
      <c r="A8" s="3" t="s">
        <v>29</v>
      </c>
      <c r="E8" s="7" t="n">
        <v>0</v>
      </c>
      <c r="F8" s="7" t="s">
        <v>27</v>
      </c>
      <c r="G8" s="7" t="n">
        <v>0</v>
      </c>
      <c r="H8" s="8" t="n">
        <v>0</v>
      </c>
      <c r="I8" s="9" t="n">
        <f aca="false">IFERROR(H8/G8,0)</f>
        <v>0</v>
      </c>
    </row>
    <row r="9" customFormat="false" ht="15" hidden="false" customHeight="false" outlineLevel="0" collapsed="false">
      <c r="A9" s="0" t="s">
        <v>30</v>
      </c>
      <c r="B9" s="6" t="n">
        <v>0.07</v>
      </c>
      <c r="E9" s="7" t="n">
        <v>0</v>
      </c>
      <c r="F9" s="7" t="s">
        <v>27</v>
      </c>
      <c r="G9" s="7" t="n">
        <v>0</v>
      </c>
      <c r="H9" s="8" t="n">
        <v>0</v>
      </c>
      <c r="I9" s="9" t="n">
        <f aca="false">IFERROR(H9/G9,0)</f>
        <v>0</v>
      </c>
    </row>
    <row r="10" customFormat="false" ht="15" hidden="false" customHeight="false" outlineLevel="0" collapsed="false">
      <c r="A10" s="0" t="s">
        <v>31</v>
      </c>
      <c r="B10" s="6" t="n">
        <v>0.005</v>
      </c>
      <c r="E10" s="7" t="n">
        <v>0</v>
      </c>
      <c r="F10" s="7" t="s">
        <v>27</v>
      </c>
      <c r="G10" s="7" t="n">
        <v>0</v>
      </c>
      <c r="H10" s="8" t="n">
        <v>0</v>
      </c>
      <c r="I10" s="9" t="n">
        <f aca="false">IFERROR(H10/G10,0)</f>
        <v>0</v>
      </c>
    </row>
    <row r="11" customFormat="false" ht="15" hidden="false" customHeight="false" outlineLevel="0" collapsed="false">
      <c r="A11" s="0" t="s">
        <v>32</v>
      </c>
      <c r="B11" s="6" t="n">
        <v>0</v>
      </c>
      <c r="E11" s="12" t="n">
        <f aca="false">SUM(E3:E10)</f>
        <v>16</v>
      </c>
      <c r="G11" s="13" t="n">
        <f aca="false">IFERROR(SUMPRODUCT(G3:G10,E3:E10)/E11,0)</f>
        <v>1161.625</v>
      </c>
      <c r="H11" s="11" t="n">
        <f aca="false">IFERROR(SUMPRODUCT(H3:H10,E3:E10)/E11,0)</f>
        <v>1168.75</v>
      </c>
      <c r="I11" s="9" t="n">
        <f aca="false">IFERROR(H11/G11,0)</f>
        <v>1.00613364898311</v>
      </c>
    </row>
    <row r="12" customFormat="false" ht="15" hidden="false" customHeight="false" outlineLevel="0" collapsed="false">
      <c r="A12" s="0" t="s">
        <v>33</v>
      </c>
      <c r="B12" s="8" t="n">
        <v>0</v>
      </c>
    </row>
    <row r="13" customFormat="false" ht="15" hidden="false" customHeight="false" outlineLevel="0" collapsed="false">
      <c r="A13" s="0" t="s">
        <v>34</v>
      </c>
      <c r="B13" s="6" t="n">
        <v>0.02</v>
      </c>
      <c r="E13" s="3" t="s">
        <v>35</v>
      </c>
    </row>
    <row r="14" customFormat="false" ht="15" hidden="false" customHeight="false" outlineLevel="0" collapsed="false">
      <c r="A14" s="0" t="s">
        <v>36</v>
      </c>
      <c r="B14" s="6" t="n">
        <v>0.02</v>
      </c>
      <c r="E14" s="0" t="s">
        <v>37</v>
      </c>
      <c r="F14" s="14" t="n">
        <v>0</v>
      </c>
    </row>
    <row r="15" customFormat="false" ht="15" hidden="false" customHeight="false" outlineLevel="0" collapsed="false">
      <c r="E15" s="0" t="s">
        <v>38</v>
      </c>
      <c r="F15" s="15" t="n">
        <v>0.07</v>
      </c>
    </row>
    <row r="16" customFormat="false" ht="15" hidden="false" customHeight="false" outlineLevel="0" collapsed="false">
      <c r="A16" s="3" t="s">
        <v>39</v>
      </c>
      <c r="E16" s="0" t="s">
        <v>40</v>
      </c>
      <c r="F16" s="6" t="n">
        <v>0.75</v>
      </c>
    </row>
    <row r="17" customFormat="false" ht="15" hidden="false" customHeight="false" outlineLevel="0" collapsed="false">
      <c r="A17" s="0" t="s">
        <v>41</v>
      </c>
      <c r="B17" s="8" t="n">
        <v>0</v>
      </c>
      <c r="E17" s="0" t="s">
        <v>42</v>
      </c>
      <c r="F17" s="16" t="n">
        <v>1.3</v>
      </c>
    </row>
    <row r="18" customFormat="false" ht="15" hidden="false" customHeight="false" outlineLevel="0" collapsed="false">
      <c r="A18" s="0" t="s">
        <v>43</v>
      </c>
      <c r="B18" s="8" t="n">
        <v>200</v>
      </c>
      <c r="E18" s="0" t="s">
        <v>44</v>
      </c>
      <c r="F18" s="15" t="n">
        <v>0.0675</v>
      </c>
    </row>
    <row r="19" customFormat="false" ht="15" hidden="false" customHeight="false" outlineLevel="0" collapsed="false">
      <c r="A19" s="0" t="s">
        <v>45</v>
      </c>
      <c r="B19" s="8" t="n">
        <v>200</v>
      </c>
      <c r="E19" s="0" t="s">
        <v>46</v>
      </c>
      <c r="F19" s="17" t="n">
        <v>25</v>
      </c>
    </row>
    <row r="20" customFormat="false" ht="15" hidden="false" customHeight="false" outlineLevel="0" collapsed="false">
      <c r="A20" s="0" t="s">
        <v>47</v>
      </c>
      <c r="B20" s="8" t="n">
        <v>800</v>
      </c>
      <c r="E20" s="0" t="s">
        <v>48</v>
      </c>
      <c r="F20" s="6" t="n">
        <v>0.02</v>
      </c>
    </row>
    <row r="21" customFormat="false" ht="15" hidden="false" customHeight="false" outlineLevel="0" collapsed="false">
      <c r="A21" s="0" t="s">
        <v>49</v>
      </c>
      <c r="B21" s="8" t="n">
        <v>0</v>
      </c>
    </row>
    <row r="22" customFormat="false" ht="15" hidden="false" customHeight="false" outlineLevel="0" collapsed="false">
      <c r="A22" s="0" t="s">
        <v>50</v>
      </c>
      <c r="B22" s="8" t="n">
        <v>600</v>
      </c>
      <c r="E22" s="3" t="s">
        <v>51</v>
      </c>
    </row>
    <row r="23" customFormat="false" ht="15" hidden="false" customHeight="false" outlineLevel="0" collapsed="false">
      <c r="A23" s="0" t="s">
        <v>52</v>
      </c>
      <c r="B23" s="8" t="n">
        <v>100</v>
      </c>
      <c r="E23" s="0" t="s">
        <v>53</v>
      </c>
      <c r="F23" s="11" t="n">
        <f aca="false">IFERROR(IF($F$14=0,0,INDEX('Annual CF'!C25:N25,MATCH($F$14,'Annual CF'!C2:N2,0))/$F$15),0)</f>
        <v>0</v>
      </c>
    </row>
    <row r="24" customFormat="false" ht="15" hidden="false" customHeight="false" outlineLevel="0" collapsed="false">
      <c r="A24" s="0" t="s">
        <v>54</v>
      </c>
      <c r="B24" s="8" t="n">
        <v>1000</v>
      </c>
      <c r="E24" s="0" t="s">
        <v>55</v>
      </c>
      <c r="F24" s="11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false" outlineLevel="0" collapsed="false">
      <c r="A25" s="0" t="s">
        <v>56</v>
      </c>
      <c r="B25" s="4" t="n">
        <v>10791</v>
      </c>
      <c r="E25" s="0" t="s">
        <v>57</v>
      </c>
      <c r="F25" s="11" t="n">
        <f aca="false">IFERROR(IF($F$14=0,0,INDEX('Annual CF'!C35:N35,MATCH($F$14,'Annual CF'!C2:N2,0))),0)</f>
        <v>0</v>
      </c>
    </row>
    <row r="26" customFormat="false" ht="15" hidden="false" customHeight="false" outlineLevel="0" collapsed="false">
      <c r="A26" s="0" t="s">
        <v>58</v>
      </c>
      <c r="B26" s="6" t="n">
        <v>0.1</v>
      </c>
      <c r="E26" s="0" t="s">
        <v>59</v>
      </c>
      <c r="F26" s="11" t="n">
        <f aca="false">$F$24*$F$20</f>
        <v>0</v>
      </c>
    </row>
    <row r="27" customFormat="false" ht="15" hidden="false" customHeight="false" outlineLevel="0" collapsed="false">
      <c r="A27" s="0" t="s">
        <v>60</v>
      </c>
      <c r="B27" s="6" t="n">
        <v>0</v>
      </c>
      <c r="E27" s="0" t="s">
        <v>61</v>
      </c>
      <c r="F27" s="18" t="n">
        <f aca="false">$F$24-$F$25-$F$26</f>
        <v>0</v>
      </c>
    </row>
    <row r="28" customFormat="false" ht="15" hidden="false" customHeight="false" outlineLevel="0" collapsed="false">
      <c r="A28" s="0" t="s">
        <v>62</v>
      </c>
      <c r="B28" s="8" t="n">
        <v>400</v>
      </c>
      <c r="E28" s="0" t="s">
        <v>63</v>
      </c>
      <c r="F28" s="11" t="n">
        <f aca="false">IFERROR(IF($F$14=0,0,PMT($F$18/12,$F$19*12,-$F$24)),0)</f>
        <v>0</v>
      </c>
    </row>
    <row r="29" customFormat="false" ht="15" hidden="false" customHeight="false" outlineLevel="0" collapsed="false">
      <c r="A29" s="0" t="s">
        <v>64</v>
      </c>
      <c r="B29" s="6" t="n">
        <v>0.025</v>
      </c>
    </row>
    <row r="30" customFormat="false" ht="15" hidden="false" customHeight="false" outlineLevel="0" collapsed="false">
      <c r="E30" s="3" t="s">
        <v>65</v>
      </c>
    </row>
    <row r="31" customFormat="false" ht="15" hidden="false" customHeight="false" outlineLevel="0" collapsed="false">
      <c r="A31" s="3" t="s">
        <v>66</v>
      </c>
      <c r="E31" s="0" t="s">
        <v>67</v>
      </c>
      <c r="F31" s="14" t="n">
        <v>0</v>
      </c>
    </row>
    <row r="32" customFormat="false" ht="15" hidden="false" customHeight="false" outlineLevel="0" collapsed="false">
      <c r="A32" s="0" t="s">
        <v>68</v>
      </c>
      <c r="B32" s="6" t="n">
        <v>0.75</v>
      </c>
      <c r="E32" s="0" t="s">
        <v>69</v>
      </c>
      <c r="F32" s="8" t="n">
        <v>0</v>
      </c>
    </row>
    <row r="33" customFormat="false" ht="15" hidden="false" customHeight="false" outlineLevel="0" collapsed="false">
      <c r="A33" s="0" t="s">
        <v>70</v>
      </c>
      <c r="B33" s="16" t="n">
        <v>1.3</v>
      </c>
      <c r="E33" s="0" t="s">
        <v>71</v>
      </c>
      <c r="F33" s="4" t="n">
        <v>0</v>
      </c>
    </row>
    <row r="34" customFormat="false" ht="15" hidden="false" customHeight="false" outlineLevel="0" collapsed="false">
      <c r="A34" s="0" t="s">
        <v>72</v>
      </c>
      <c r="B34" s="19" t="n">
        <v>0.0675</v>
      </c>
      <c r="E34" s="0" t="s">
        <v>73</v>
      </c>
      <c r="F34" s="17" t="n">
        <v>0</v>
      </c>
    </row>
    <row r="35" customFormat="false" ht="15" hidden="false" customHeight="false" outlineLevel="0" collapsed="false">
      <c r="A35" s="0" t="s">
        <v>74</v>
      </c>
      <c r="B35" s="17" t="n">
        <v>25</v>
      </c>
      <c r="E35" s="0" t="s">
        <v>75</v>
      </c>
      <c r="F35" s="17" t="n">
        <v>1</v>
      </c>
    </row>
    <row r="36" customFormat="false" ht="15" hidden="false" customHeight="false" outlineLevel="0" collapsed="false">
      <c r="A36" s="0" t="s">
        <v>76</v>
      </c>
      <c r="B36" s="17" t="n">
        <v>0</v>
      </c>
      <c r="E36" s="0" t="s">
        <v>77</v>
      </c>
      <c r="F36" s="17" t="n">
        <v>1</v>
      </c>
    </row>
    <row r="38" customFormat="false" ht="15" hidden="false" customHeight="false" outlineLevel="0" collapsed="false">
      <c r="E38" s="0" t="s">
        <v>78</v>
      </c>
      <c r="F38" s="18" t="n">
        <f aca="false">$F$31*$F$32</f>
        <v>0</v>
      </c>
    </row>
    <row r="39" customFormat="false" ht="15" hidden="false" customHeight="false" outlineLevel="0" collapsed="false">
      <c r="A39" s="3" t="s">
        <v>79</v>
      </c>
      <c r="E39" s="0" t="s">
        <v>80</v>
      </c>
      <c r="F39" s="13" t="n">
        <f aca="false">IFERROR(ROUNDUP($F$31/$F$34,0),0)</f>
        <v>0</v>
      </c>
    </row>
    <row r="40" customFormat="false" ht="15" hidden="false" customHeight="false" outlineLevel="0" collapsed="false">
      <c r="A40" s="0" t="s">
        <v>81</v>
      </c>
      <c r="B40" s="14" t="n">
        <v>5</v>
      </c>
    </row>
    <row r="41" customFormat="false" ht="15" hidden="false" customHeight="false" outlineLevel="0" collapsed="false">
      <c r="A41" s="0" t="s">
        <v>82</v>
      </c>
      <c r="B41" s="19" t="n">
        <v>0.15</v>
      </c>
    </row>
    <row r="42" customFormat="false" ht="15" hidden="false" customHeight="false" outlineLevel="0" collapsed="false">
      <c r="A42" s="0" t="s">
        <v>83</v>
      </c>
      <c r="B42" s="6" t="n">
        <v>0.03</v>
      </c>
    </row>
    <row r="44" customFormat="false" ht="15" hidden="false" customHeight="false" outlineLevel="0" collapsed="false">
      <c r="A44" s="3" t="s">
        <v>84</v>
      </c>
    </row>
    <row r="45" customFormat="false" ht="15" hidden="false" customHeight="false" outlineLevel="0" collapsed="false">
      <c r="A45" s="0" t="s">
        <v>85</v>
      </c>
      <c r="B45" s="6" t="n">
        <v>0.9</v>
      </c>
    </row>
    <row r="46" customFormat="false" ht="15" hidden="false" customHeight="false" outlineLevel="0" collapsed="false">
      <c r="A46" s="0" t="s">
        <v>86</v>
      </c>
      <c r="B46" s="20" t="n">
        <f aca="false">1-B45</f>
        <v>0.1</v>
      </c>
    </row>
    <row r="47" customFormat="false" ht="15" hidden="false" customHeight="false" outlineLevel="0" collapsed="false">
      <c r="A47" s="0" t="s">
        <v>87</v>
      </c>
      <c r="B47" s="6" t="n">
        <v>0.08</v>
      </c>
    </row>
    <row r="48" customFormat="false" ht="15" hidden="false" customHeight="false" outlineLevel="0" collapsed="false">
      <c r="A48" s="0" t="s">
        <v>88</v>
      </c>
      <c r="B48" s="6" t="n">
        <v>0.7</v>
      </c>
    </row>
    <row r="49" customFormat="false" ht="15" hidden="false" customHeight="false" outlineLevel="0" collapsed="false">
      <c r="A49" s="0" t="s">
        <v>89</v>
      </c>
      <c r="B49" s="20" t="n">
        <f aca="false">1-B48</f>
        <v>0.3</v>
      </c>
    </row>
    <row r="51" customFormat="false" ht="15" hidden="false" customHeight="false" outlineLevel="0" collapsed="false">
      <c r="A51" s="3" t="s">
        <v>90</v>
      </c>
    </row>
    <row r="52" customFormat="false" ht="15" hidden="false" customHeight="false" outlineLevel="0" collapsed="false">
      <c r="A52" s="0" t="s">
        <v>91</v>
      </c>
      <c r="B52" s="11" t="n">
        <f aca="false">MIN(B32*B2, PV(B34/12, B35*12, -('Annual CF'!D25/B33)/12))</f>
        <v>808500</v>
      </c>
    </row>
    <row r="53" customFormat="false" ht="15" hidden="false" customHeight="false" outlineLevel="0" collapsed="false">
      <c r="A53" s="0" t="s">
        <v>92</v>
      </c>
      <c r="B53" s="11" t="n">
        <f aca="false">PMT(B34/12,B35*12,-B52)</f>
        <v>5586.01968134425</v>
      </c>
    </row>
    <row r="54" customFormat="false" ht="15" hidden="false" customHeight="false" outlineLevel="0" collapsed="false">
      <c r="A54" s="0" t="s">
        <v>93</v>
      </c>
      <c r="B54" s="18" t="n">
        <f aca="false">B2+B2*B3+B52*B4-B52+$F$38</f>
        <v>299145</v>
      </c>
    </row>
    <row r="55" customFormat="false" ht="15" hidden="false" customHeight="false" outlineLevel="0" collapsed="false">
      <c r="A55" s="0" t="s">
        <v>94</v>
      </c>
      <c r="B55" s="11" t="n">
        <f aca="false">B54*B45</f>
        <v>269230.5</v>
      </c>
    </row>
    <row r="56" customFormat="false" ht="15" hidden="false" customHeight="false" outlineLevel="0" collapsed="false">
      <c r="A56" s="0" t="s">
        <v>95</v>
      </c>
      <c r="B56" s="11" t="n">
        <f aca="false">B54-B55</f>
        <v>29914.5</v>
      </c>
    </row>
    <row r="57" customFormat="false" ht="15" hidden="false" customHeight="false" outlineLevel="0" collapsed="false">
      <c r="A57" s="0" t="s">
        <v>96</v>
      </c>
      <c r="B57" s="21" t="n">
        <f aca="false">IFERROR('Annual CF'!D25/B2,0)</f>
        <v>0.120243042671614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2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3" t="s">
        <v>97</v>
      </c>
    </row>
    <row r="2" customFormat="false" ht="15" hidden="false" customHeight="false" outlineLevel="0" collapsed="false">
      <c r="B2" s="3" t="s">
        <v>98</v>
      </c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</row>
    <row r="4" customFormat="false" ht="15" hidden="false" customHeight="false" outlineLevel="0" collapsed="false">
      <c r="B4" s="3" t="s">
        <v>99</v>
      </c>
    </row>
    <row r="5" customFormat="false" ht="15" hidden="false" customHeight="false" outlineLevel="0" collapsed="false">
      <c r="B5" s="2" t="s">
        <v>100</v>
      </c>
      <c r="D5" s="22" t="n">
        <f aca="false">(SUMPRODUCT(Inputs!$E$3:$E$10,Inputs!$H$3:$H$10)+MIN(Inputs!$F$31,MAX(0,(D$2-Inputs!$F$36+1)*Inputs!$F$34))*Inputs!$F$33)*12*(1+Inputs!$B$13)^(D$2-1)</f>
        <v>224400</v>
      </c>
      <c r="E5" s="22" t="n">
        <f aca="false">(SUMPRODUCT(Inputs!$E$3:$E$10,Inputs!$H$3:$H$10)+MIN(Inputs!$F$31,MAX(0,(E$2-Inputs!$F$36+1)*Inputs!$F$34))*Inputs!$F$33)*12*(1+Inputs!$B$13)^(E$2-1)</f>
        <v>228888</v>
      </c>
      <c r="F5" s="22" t="n">
        <f aca="false">(SUMPRODUCT(Inputs!$E$3:$E$10,Inputs!$H$3:$H$10)+MIN(Inputs!$F$31,MAX(0,(F$2-Inputs!$F$36+1)*Inputs!$F$34))*Inputs!$F$33)*12*(1+Inputs!$B$13)^(F$2-1)</f>
        <v>233465.76</v>
      </c>
      <c r="G5" s="22" t="n">
        <f aca="false">(SUMPRODUCT(Inputs!$E$3:$E$10,Inputs!$H$3:$H$10)+MIN(Inputs!$F$31,MAX(0,(G$2-Inputs!$F$36+1)*Inputs!$F$34))*Inputs!$F$33)*12*(1+Inputs!$B$13)^(G$2-1)</f>
        <v>238135.0752</v>
      </c>
      <c r="H5" s="22" t="n">
        <f aca="false">(SUMPRODUCT(Inputs!$E$3:$E$10,Inputs!$H$3:$H$10)+MIN(Inputs!$F$31,MAX(0,(H$2-Inputs!$F$36+1)*Inputs!$F$34))*Inputs!$F$33)*12*(1+Inputs!$B$13)^(H$2-1)</f>
        <v>242897.776704</v>
      </c>
      <c r="I5" s="22" t="n">
        <f aca="false">(SUMPRODUCT(Inputs!$E$3:$E$10,Inputs!$H$3:$H$10)+MIN(Inputs!$F$31,MAX(0,(I$2-Inputs!$F$36+1)*Inputs!$F$34))*Inputs!$F$33)*12*(1+Inputs!$B$13)^(I$2-1)</f>
        <v>247755.73223808</v>
      </c>
      <c r="J5" s="22" t="n">
        <f aca="false">(SUMPRODUCT(Inputs!$E$3:$E$10,Inputs!$H$3:$H$10)+MIN(Inputs!$F$31,MAX(0,(J$2-Inputs!$F$36+1)*Inputs!$F$34))*Inputs!$F$33)*12*(1+Inputs!$B$13)^(J$2-1)</f>
        <v>252710.846882842</v>
      </c>
      <c r="K5" s="22" t="n">
        <f aca="false">(SUMPRODUCT(Inputs!$E$3:$E$10,Inputs!$H$3:$H$10)+MIN(Inputs!$F$31,MAX(0,(K$2-Inputs!$F$36+1)*Inputs!$F$34))*Inputs!$F$33)*12*(1+Inputs!$B$13)^(K$2-1)</f>
        <v>257765.063820498</v>
      </c>
      <c r="L5" s="22" t="n">
        <f aca="false">(SUMPRODUCT(Inputs!$E$3:$E$10,Inputs!$H$3:$H$10)+MIN(Inputs!$F$31,MAX(0,(L$2-Inputs!$F$36+1)*Inputs!$F$34))*Inputs!$F$33)*12*(1+Inputs!$B$13)^(L$2-1)</f>
        <v>262920.365096908</v>
      </c>
      <c r="M5" s="22" t="n">
        <f aca="false">(SUMPRODUCT(Inputs!$E$3:$E$10,Inputs!$H$3:$H$10)+MIN(Inputs!$F$31,MAX(0,(M$2-Inputs!$F$36+1)*Inputs!$F$34))*Inputs!$F$33)*12*(1+Inputs!$B$13)^(M$2-1)</f>
        <v>268178.772398847</v>
      </c>
      <c r="N5" s="22" t="n">
        <f aca="false">(SUMPRODUCT(Inputs!$E$3:$E$10,Inputs!$H$3:$H$10)+MIN(Inputs!$F$31,MAX(0,(N$2-Inputs!$F$36+1)*Inputs!$F$34))*Inputs!$F$33)*12*(1+Inputs!$B$13)^(N$2-1)</f>
        <v>273542.347846824</v>
      </c>
    </row>
    <row r="6" customFormat="false" ht="15" hidden="false" customHeight="false" outlineLevel="0" collapsed="false">
      <c r="B6" s="2" t="s">
        <v>101</v>
      </c>
      <c r="D6" s="22" t="n">
        <f aca="false">-(D5*Inputs!$B$9+(MIN(Inputs!$F$31,MAX(0,(D$2-Inputs!$F$36+1)*Inputs!$F$34))-MIN(Inputs!$F$31,MAX(0,(D$2-Inputs!$F$36)*Inputs!$F$34)))*Inputs!$F$35*Inputs!$H$11*(1+Inputs!$B$13)^(D$2-1))</f>
        <v>-15708</v>
      </c>
      <c r="E6" s="22" t="n">
        <f aca="false">-(E5*Inputs!$B$9+(MIN(Inputs!$F$31,MAX(0,(E$2-Inputs!$F$36+1)*Inputs!$F$34))-MIN(Inputs!$F$31,MAX(0,(E$2-Inputs!$F$36)*Inputs!$F$34)))*Inputs!$F$35*Inputs!$H$11*(1+Inputs!$B$13)^(E$2-1))</f>
        <v>-16022.16</v>
      </c>
      <c r="F6" s="22" t="n">
        <f aca="false">-(F5*Inputs!$B$9+(MIN(Inputs!$F$31,MAX(0,(F$2-Inputs!$F$36+1)*Inputs!$F$34))-MIN(Inputs!$F$31,MAX(0,(F$2-Inputs!$F$36)*Inputs!$F$34)))*Inputs!$F$35*Inputs!$H$11*(1+Inputs!$B$13)^(F$2-1))</f>
        <v>-16342.6032</v>
      </c>
      <c r="G6" s="22" t="n">
        <f aca="false">-(G5*Inputs!$B$9+(MIN(Inputs!$F$31,MAX(0,(G$2-Inputs!$F$36+1)*Inputs!$F$34))-MIN(Inputs!$F$31,MAX(0,(G$2-Inputs!$F$36)*Inputs!$F$34)))*Inputs!$F$35*Inputs!$H$11*(1+Inputs!$B$13)^(G$2-1))</f>
        <v>-16669.455264</v>
      </c>
      <c r="H6" s="22" t="n">
        <f aca="false">-(H5*Inputs!$B$9+(MIN(Inputs!$F$31,MAX(0,(H$2-Inputs!$F$36+1)*Inputs!$F$34))-MIN(Inputs!$F$31,MAX(0,(H$2-Inputs!$F$36)*Inputs!$F$34)))*Inputs!$F$35*Inputs!$H$11*(1+Inputs!$B$13)^(H$2-1))</f>
        <v>-17002.84436928</v>
      </c>
      <c r="I6" s="22" t="n">
        <f aca="false">-(I5*Inputs!$B$9+(MIN(Inputs!$F$31,MAX(0,(I$2-Inputs!$F$36+1)*Inputs!$F$34))-MIN(Inputs!$F$31,MAX(0,(I$2-Inputs!$F$36)*Inputs!$F$34)))*Inputs!$F$35*Inputs!$H$11*(1+Inputs!$B$13)^(I$2-1))</f>
        <v>-17342.9012566656</v>
      </c>
      <c r="J6" s="22" t="n">
        <f aca="false">-(J5*Inputs!$B$9+(MIN(Inputs!$F$31,MAX(0,(J$2-Inputs!$F$36+1)*Inputs!$F$34))-MIN(Inputs!$F$31,MAX(0,(J$2-Inputs!$F$36)*Inputs!$F$34)))*Inputs!$F$35*Inputs!$H$11*(1+Inputs!$B$13)^(J$2-1))</f>
        <v>-17689.7592817989</v>
      </c>
      <c r="K6" s="22" t="n">
        <f aca="false">-(K5*Inputs!$B$9+(MIN(Inputs!$F$31,MAX(0,(K$2-Inputs!$F$36+1)*Inputs!$F$34))-MIN(Inputs!$F$31,MAX(0,(K$2-Inputs!$F$36)*Inputs!$F$34)))*Inputs!$F$35*Inputs!$H$11*(1+Inputs!$B$13)^(K$2-1))</f>
        <v>-18043.5544674349</v>
      </c>
      <c r="L6" s="22" t="n">
        <f aca="false">-(L5*Inputs!$B$9+(MIN(Inputs!$F$31,MAX(0,(L$2-Inputs!$F$36+1)*Inputs!$F$34))-MIN(Inputs!$F$31,MAX(0,(L$2-Inputs!$F$36)*Inputs!$F$34)))*Inputs!$F$35*Inputs!$H$11*(1+Inputs!$B$13)^(L$2-1))</f>
        <v>-18404.4255567836</v>
      </c>
      <c r="M6" s="22" t="n">
        <f aca="false">-(M5*Inputs!$B$9+(MIN(Inputs!$F$31,MAX(0,(M$2-Inputs!$F$36+1)*Inputs!$F$34))-MIN(Inputs!$F$31,MAX(0,(M$2-Inputs!$F$36)*Inputs!$F$34)))*Inputs!$F$35*Inputs!$H$11*(1+Inputs!$B$13)^(M$2-1))</f>
        <v>-18772.5140679193</v>
      </c>
      <c r="N6" s="22" t="n">
        <f aca="false">-(N5*Inputs!$B$9+(MIN(Inputs!$F$31,MAX(0,(N$2-Inputs!$F$36+1)*Inputs!$F$34))-MIN(Inputs!$F$31,MAX(0,(N$2-Inputs!$F$36)*Inputs!$F$34)))*Inputs!$F$35*Inputs!$H$11*(1+Inputs!$B$13)^(N$2-1))</f>
        <v>-19147.9643492777</v>
      </c>
    </row>
    <row r="7" customFormat="false" ht="15" hidden="false" customHeight="false" outlineLevel="0" collapsed="false">
      <c r="B7" s="2" t="s">
        <v>102</v>
      </c>
      <c r="D7" s="22" t="n">
        <f aca="false">-D5*Inputs!$B$10</f>
        <v>-1122</v>
      </c>
      <c r="E7" s="22" t="n">
        <f aca="false">-E5*Inputs!$B$10</f>
        <v>-1144.44</v>
      </c>
      <c r="F7" s="22" t="n">
        <f aca="false">-F5*Inputs!$B$10</f>
        <v>-1167.3288</v>
      </c>
      <c r="G7" s="22" t="n">
        <f aca="false">-G5*Inputs!$B$10</f>
        <v>-1190.675376</v>
      </c>
      <c r="H7" s="22" t="n">
        <f aca="false">-H5*Inputs!$B$10</f>
        <v>-1214.48888352</v>
      </c>
      <c r="I7" s="22" t="n">
        <f aca="false">-I5*Inputs!$B$10</f>
        <v>-1238.7786611904</v>
      </c>
      <c r="J7" s="22" t="n">
        <f aca="false">-J5*Inputs!$B$10</f>
        <v>-1263.55423441421</v>
      </c>
      <c r="K7" s="22" t="n">
        <f aca="false">-K5*Inputs!$B$10</f>
        <v>-1288.82531910249</v>
      </c>
      <c r="L7" s="22" t="n">
        <f aca="false">-L5*Inputs!$B$10</f>
        <v>-1314.60182548454</v>
      </c>
      <c r="M7" s="22" t="n">
        <f aca="false">-M5*Inputs!$B$10</f>
        <v>-1340.89386199423</v>
      </c>
      <c r="N7" s="22" t="n">
        <f aca="false">-N5*Inputs!$B$10</f>
        <v>-1367.71173923412</v>
      </c>
    </row>
    <row r="8" customFormat="false" ht="15" hidden="false" customHeight="false" outlineLevel="0" collapsed="false">
      <c r="B8" s="2" t="s">
        <v>103</v>
      </c>
      <c r="D8" s="22" t="n">
        <f aca="false">-D5*Inputs!$B$11</f>
        <v>-0</v>
      </c>
      <c r="E8" s="22" t="n">
        <f aca="false">-E5*Inputs!$B$11</f>
        <v>-0</v>
      </c>
      <c r="F8" s="22" t="n">
        <f aca="false">-F5*Inputs!$B$11</f>
        <v>-0</v>
      </c>
      <c r="G8" s="22" t="n">
        <f aca="false">-G5*Inputs!$B$11</f>
        <v>-0</v>
      </c>
      <c r="H8" s="22" t="n">
        <f aca="false">-H5*Inputs!$B$11</f>
        <v>-0</v>
      </c>
      <c r="I8" s="22" t="n">
        <f aca="false">-I5*Inputs!$B$11</f>
        <v>-0</v>
      </c>
      <c r="J8" s="22" t="n">
        <f aca="false">-J5*Inputs!$B$11</f>
        <v>-0</v>
      </c>
      <c r="K8" s="22" t="n">
        <f aca="false">-K5*Inputs!$B$11</f>
        <v>-0</v>
      </c>
      <c r="L8" s="22" t="n">
        <f aca="false">-L5*Inputs!$B$11</f>
        <v>-0</v>
      </c>
      <c r="M8" s="22" t="n">
        <f aca="false">-M5*Inputs!$B$11</f>
        <v>-0</v>
      </c>
      <c r="N8" s="22" t="n">
        <f aca="false">-N5*Inputs!$B$11</f>
        <v>-0</v>
      </c>
    </row>
    <row r="9" customFormat="false" ht="15" hidden="false" customHeight="false" outlineLevel="0" collapsed="false">
      <c r="B9" s="3" t="s">
        <v>104</v>
      </c>
      <c r="D9" s="18" t="n">
        <f aca="false">SUM(D5:D8)</f>
        <v>207570</v>
      </c>
      <c r="E9" s="18" t="n">
        <f aca="false">SUM(E5:E8)</f>
        <v>211721.4</v>
      </c>
      <c r="F9" s="18" t="n">
        <f aca="false">SUM(F5:F8)</f>
        <v>215955.828</v>
      </c>
      <c r="G9" s="18" t="n">
        <f aca="false">SUM(G5:G8)</f>
        <v>220274.94456</v>
      </c>
      <c r="H9" s="18" t="n">
        <f aca="false">SUM(H5:H8)</f>
        <v>224680.4434512</v>
      </c>
      <c r="I9" s="18" t="n">
        <f aca="false">SUM(I5:I8)</f>
        <v>229174.052320224</v>
      </c>
      <c r="J9" s="18" t="n">
        <f aca="false">SUM(J5:J8)</f>
        <v>233757.533366629</v>
      </c>
      <c r="K9" s="18" t="n">
        <f aca="false">SUM(K5:K8)</f>
        <v>238432.684033961</v>
      </c>
      <c r="L9" s="18" t="n">
        <f aca="false">SUM(L5:L8)</f>
        <v>243201.33771464</v>
      </c>
      <c r="M9" s="18" t="n">
        <f aca="false">SUM(M5:M8)</f>
        <v>248065.364468933</v>
      </c>
      <c r="N9" s="18" t="n">
        <f aca="false">SUM(N5:N8)</f>
        <v>253026.671758312</v>
      </c>
    </row>
    <row r="10" customFormat="false" ht="15" hidden="false" customHeight="false" outlineLevel="0" collapsed="false">
      <c r="B10" s="2" t="s">
        <v>105</v>
      </c>
      <c r="D10" s="22" t="n">
        <f aca="false">Inputs!$B$5*Inputs!$B$12*12*(1-Inputs!$B$9)*(1+Inputs!$B$14)^(D$2-1)</f>
        <v>0</v>
      </c>
      <c r="E10" s="22" t="n">
        <f aca="false">Inputs!$B$5*Inputs!$B$12*12*(1-Inputs!$B$9)*(1+Inputs!$B$14)^(E$2-1)</f>
        <v>0</v>
      </c>
      <c r="F10" s="22" t="n">
        <f aca="false">Inputs!$B$5*Inputs!$B$12*12*(1-Inputs!$B$9)*(1+Inputs!$B$14)^(F$2-1)</f>
        <v>0</v>
      </c>
      <c r="G10" s="22" t="n">
        <f aca="false">Inputs!$B$5*Inputs!$B$12*12*(1-Inputs!$B$9)*(1+Inputs!$B$14)^(G$2-1)</f>
        <v>0</v>
      </c>
      <c r="H10" s="22" t="n">
        <f aca="false">Inputs!$B$5*Inputs!$B$12*12*(1-Inputs!$B$9)*(1+Inputs!$B$14)^(H$2-1)</f>
        <v>0</v>
      </c>
      <c r="I10" s="22" t="n">
        <f aca="false">Inputs!$B$5*Inputs!$B$12*12*(1-Inputs!$B$9)*(1+Inputs!$B$14)^(I$2-1)</f>
        <v>0</v>
      </c>
      <c r="J10" s="22" t="n">
        <f aca="false">Inputs!$B$5*Inputs!$B$12*12*(1-Inputs!$B$9)*(1+Inputs!$B$14)^(J$2-1)</f>
        <v>0</v>
      </c>
      <c r="K10" s="22" t="n">
        <f aca="false">Inputs!$B$5*Inputs!$B$12*12*(1-Inputs!$B$9)*(1+Inputs!$B$14)^(K$2-1)</f>
        <v>0</v>
      </c>
      <c r="L10" s="22" t="n">
        <f aca="false">Inputs!$B$5*Inputs!$B$12*12*(1-Inputs!$B$9)*(1+Inputs!$B$14)^(L$2-1)</f>
        <v>0</v>
      </c>
      <c r="M10" s="22" t="n">
        <f aca="false">Inputs!$B$5*Inputs!$B$12*12*(1-Inputs!$B$9)*(1+Inputs!$B$14)^(M$2-1)</f>
        <v>0</v>
      </c>
      <c r="N10" s="22" t="n">
        <f aca="false">Inputs!$B$5*Inputs!$B$12*12*(1-Inputs!$B$9)*(1+Inputs!$B$14)^(N$2-1)</f>
        <v>0</v>
      </c>
    </row>
    <row r="11" customFormat="false" ht="15" hidden="false" customHeight="false" outlineLevel="0" collapsed="false">
      <c r="B11" s="3" t="s">
        <v>106</v>
      </c>
      <c r="D11" s="18" t="n">
        <f aca="false">D9+D10</f>
        <v>207570</v>
      </c>
      <c r="E11" s="18" t="n">
        <f aca="false">E9+E10</f>
        <v>211721.4</v>
      </c>
      <c r="F11" s="18" t="n">
        <f aca="false">F9+F10</f>
        <v>215955.828</v>
      </c>
      <c r="G11" s="18" t="n">
        <f aca="false">G9+G10</f>
        <v>220274.94456</v>
      </c>
      <c r="H11" s="18" t="n">
        <f aca="false">H9+H10</f>
        <v>224680.4434512</v>
      </c>
      <c r="I11" s="18" t="n">
        <f aca="false">I9+I10</f>
        <v>229174.052320224</v>
      </c>
      <c r="J11" s="18" t="n">
        <f aca="false">J9+J10</f>
        <v>233757.533366629</v>
      </c>
      <c r="K11" s="18" t="n">
        <f aca="false">K9+K10</f>
        <v>238432.684033961</v>
      </c>
      <c r="L11" s="18" t="n">
        <f aca="false">L9+L10</f>
        <v>243201.33771464</v>
      </c>
      <c r="M11" s="18" t="n">
        <f aca="false">M9+M10</f>
        <v>248065.364468933</v>
      </c>
      <c r="N11" s="18" t="n">
        <f aca="false">N9+N10</f>
        <v>253026.671758312</v>
      </c>
    </row>
    <row r="13" customFormat="false" ht="15" hidden="false" customHeight="false" outlineLevel="0" collapsed="false">
      <c r="B13" s="3" t="s">
        <v>107</v>
      </c>
    </row>
    <row r="14" customFormat="false" ht="15" hidden="false" customHeight="false" outlineLevel="0" collapsed="false">
      <c r="B14" s="2" t="s">
        <v>108</v>
      </c>
      <c r="D14" s="22" t="n">
        <f aca="false">-Inputs!$B$17*Inputs!$B$5*(1+Inputs!$B$29)^(D$2-1)</f>
        <v>-0</v>
      </c>
      <c r="E14" s="22" t="n">
        <f aca="false">-Inputs!$B$17*Inputs!$B$5*(1+Inputs!$B$29)^(E$2-1)</f>
        <v>-0</v>
      </c>
      <c r="F14" s="22" t="n">
        <f aca="false">-Inputs!$B$17*Inputs!$B$5*(1+Inputs!$B$29)^(F$2-1)</f>
        <v>-0</v>
      </c>
      <c r="G14" s="22" t="n">
        <f aca="false">-Inputs!$B$17*Inputs!$B$5*(1+Inputs!$B$29)^(G$2-1)</f>
        <v>-0</v>
      </c>
      <c r="H14" s="22" t="n">
        <f aca="false">-Inputs!$B$17*Inputs!$B$5*(1+Inputs!$B$29)^(H$2-1)</f>
        <v>-0</v>
      </c>
      <c r="I14" s="22" t="n">
        <f aca="false">-Inputs!$B$17*Inputs!$B$5*(1+Inputs!$B$29)^(I$2-1)</f>
        <v>-0</v>
      </c>
      <c r="J14" s="22" t="n">
        <f aca="false">-Inputs!$B$17*Inputs!$B$5*(1+Inputs!$B$29)^(J$2-1)</f>
        <v>-0</v>
      </c>
      <c r="K14" s="22" t="n">
        <f aca="false">-Inputs!$B$17*Inputs!$B$5*(1+Inputs!$B$29)^(K$2-1)</f>
        <v>-0</v>
      </c>
      <c r="L14" s="22" t="n">
        <f aca="false">-Inputs!$B$17*Inputs!$B$5*(1+Inputs!$B$29)^(L$2-1)</f>
        <v>-0</v>
      </c>
      <c r="M14" s="22" t="n">
        <f aca="false">-Inputs!$B$17*Inputs!$B$5*(1+Inputs!$B$29)^(M$2-1)</f>
        <v>-0</v>
      </c>
      <c r="N14" s="22" t="n">
        <f aca="false">-Inputs!$B$17*Inputs!$B$5*(1+Inputs!$B$29)^(N$2-1)</f>
        <v>-0</v>
      </c>
    </row>
    <row r="15" customFormat="false" ht="15" hidden="false" customHeight="false" outlineLevel="0" collapsed="false">
      <c r="B15" s="2" t="s">
        <v>43</v>
      </c>
      <c r="D15" s="22" t="n">
        <f aca="false">-Inputs!$B$18*Inputs!$B$5*(1+Inputs!$B$29)^(D$2-1)</f>
        <v>-3200</v>
      </c>
      <c r="E15" s="22" t="n">
        <f aca="false">-Inputs!$B$18*Inputs!$B$5*(1+Inputs!$B$29)^(E$2-1)</f>
        <v>-3280</v>
      </c>
      <c r="F15" s="22" t="n">
        <f aca="false">-Inputs!$B$18*Inputs!$B$5*(1+Inputs!$B$29)^(F$2-1)</f>
        <v>-3362</v>
      </c>
      <c r="G15" s="22" t="n">
        <f aca="false">-Inputs!$B$18*Inputs!$B$5*(1+Inputs!$B$29)^(G$2-1)</f>
        <v>-3446.05</v>
      </c>
      <c r="H15" s="22" t="n">
        <f aca="false">-Inputs!$B$18*Inputs!$B$5*(1+Inputs!$B$29)^(H$2-1)</f>
        <v>-3532.20125</v>
      </c>
      <c r="I15" s="22" t="n">
        <f aca="false">-Inputs!$B$18*Inputs!$B$5*(1+Inputs!$B$29)^(I$2-1)</f>
        <v>-3620.50628125</v>
      </c>
      <c r="J15" s="22" t="n">
        <f aca="false">-Inputs!$B$18*Inputs!$B$5*(1+Inputs!$B$29)^(J$2-1)</f>
        <v>-3711.01893828125</v>
      </c>
      <c r="K15" s="22" t="n">
        <f aca="false">-Inputs!$B$18*Inputs!$B$5*(1+Inputs!$B$29)^(K$2-1)</f>
        <v>-3803.79441173828</v>
      </c>
      <c r="L15" s="22" t="n">
        <f aca="false">-Inputs!$B$18*Inputs!$B$5*(1+Inputs!$B$29)^(L$2-1)</f>
        <v>-3898.88927203174</v>
      </c>
      <c r="M15" s="22" t="n">
        <f aca="false">-Inputs!$B$18*Inputs!$B$5*(1+Inputs!$B$29)^(M$2-1)</f>
        <v>-3996.36150383253</v>
      </c>
      <c r="N15" s="22" t="n">
        <f aca="false">-Inputs!$B$18*Inputs!$B$5*(1+Inputs!$B$29)^(N$2-1)</f>
        <v>-4096.27054142834</v>
      </c>
    </row>
    <row r="16" customFormat="false" ht="15" hidden="false" customHeight="false" outlineLevel="0" collapsed="false">
      <c r="B16" s="2" t="s">
        <v>45</v>
      </c>
      <c r="D16" s="22" t="n">
        <f aca="false">-Inputs!$B$19*Inputs!$B$5*(1+Inputs!$B$29)^(D$2-1)</f>
        <v>-3200</v>
      </c>
      <c r="E16" s="22" t="n">
        <f aca="false">-Inputs!$B$19*Inputs!$B$5*(1+Inputs!$B$29)^(E$2-1)</f>
        <v>-3280</v>
      </c>
      <c r="F16" s="22" t="n">
        <f aca="false">-Inputs!$B$19*Inputs!$B$5*(1+Inputs!$B$29)^(F$2-1)</f>
        <v>-3362</v>
      </c>
      <c r="G16" s="22" t="n">
        <f aca="false">-Inputs!$B$19*Inputs!$B$5*(1+Inputs!$B$29)^(G$2-1)</f>
        <v>-3446.05</v>
      </c>
      <c r="H16" s="22" t="n">
        <f aca="false">-Inputs!$B$19*Inputs!$B$5*(1+Inputs!$B$29)^(H$2-1)</f>
        <v>-3532.20125</v>
      </c>
      <c r="I16" s="22" t="n">
        <f aca="false">-Inputs!$B$19*Inputs!$B$5*(1+Inputs!$B$29)^(I$2-1)</f>
        <v>-3620.50628125</v>
      </c>
      <c r="J16" s="22" t="n">
        <f aca="false">-Inputs!$B$19*Inputs!$B$5*(1+Inputs!$B$29)^(J$2-1)</f>
        <v>-3711.01893828125</v>
      </c>
      <c r="K16" s="22" t="n">
        <f aca="false">-Inputs!$B$19*Inputs!$B$5*(1+Inputs!$B$29)^(K$2-1)</f>
        <v>-3803.79441173828</v>
      </c>
      <c r="L16" s="22" t="n">
        <f aca="false">-Inputs!$B$19*Inputs!$B$5*(1+Inputs!$B$29)^(L$2-1)</f>
        <v>-3898.88927203174</v>
      </c>
      <c r="M16" s="22" t="n">
        <f aca="false">-Inputs!$B$19*Inputs!$B$5*(1+Inputs!$B$29)^(M$2-1)</f>
        <v>-3996.36150383253</v>
      </c>
      <c r="N16" s="22" t="n">
        <f aca="false">-Inputs!$B$19*Inputs!$B$5*(1+Inputs!$B$29)^(N$2-1)</f>
        <v>-4096.27054142834</v>
      </c>
    </row>
    <row r="17" customFormat="false" ht="15" hidden="false" customHeight="false" outlineLevel="0" collapsed="false">
      <c r="B17" s="2" t="s">
        <v>47</v>
      </c>
      <c r="D17" s="22" t="n">
        <f aca="false">-Inputs!$B$20*Inputs!$B$5*(1+Inputs!$B$29)^(D$2-1)</f>
        <v>-12800</v>
      </c>
      <c r="E17" s="22" t="n">
        <f aca="false">-Inputs!$B$20*Inputs!$B$5*(1+Inputs!$B$29)^(E$2-1)</f>
        <v>-13120</v>
      </c>
      <c r="F17" s="22" t="n">
        <f aca="false">-Inputs!$B$20*Inputs!$B$5*(1+Inputs!$B$29)^(F$2-1)</f>
        <v>-13448</v>
      </c>
      <c r="G17" s="22" t="n">
        <f aca="false">-Inputs!$B$20*Inputs!$B$5*(1+Inputs!$B$29)^(G$2-1)</f>
        <v>-13784.2</v>
      </c>
      <c r="H17" s="22" t="n">
        <f aca="false">-Inputs!$B$20*Inputs!$B$5*(1+Inputs!$B$29)^(H$2-1)</f>
        <v>-14128.805</v>
      </c>
      <c r="I17" s="22" t="n">
        <f aca="false">-Inputs!$B$20*Inputs!$B$5*(1+Inputs!$B$29)^(I$2-1)</f>
        <v>-14482.025125</v>
      </c>
      <c r="J17" s="22" t="n">
        <f aca="false">-Inputs!$B$20*Inputs!$B$5*(1+Inputs!$B$29)^(J$2-1)</f>
        <v>-14844.075753125</v>
      </c>
      <c r="K17" s="22" t="n">
        <f aca="false">-Inputs!$B$20*Inputs!$B$5*(1+Inputs!$B$29)^(K$2-1)</f>
        <v>-15215.1776469531</v>
      </c>
      <c r="L17" s="22" t="n">
        <f aca="false">-Inputs!$B$20*Inputs!$B$5*(1+Inputs!$B$29)^(L$2-1)</f>
        <v>-15595.5570881269</v>
      </c>
      <c r="M17" s="22" t="n">
        <f aca="false">-Inputs!$B$20*Inputs!$B$5*(1+Inputs!$B$29)^(M$2-1)</f>
        <v>-15985.4460153301</v>
      </c>
      <c r="N17" s="22" t="n">
        <f aca="false">-Inputs!$B$20*Inputs!$B$5*(1+Inputs!$B$29)^(N$2-1)</f>
        <v>-16385.0821657134</v>
      </c>
    </row>
    <row r="18" customFormat="false" ht="15" hidden="false" customHeight="false" outlineLevel="0" collapsed="false">
      <c r="B18" s="2" t="s">
        <v>49</v>
      </c>
      <c r="D18" s="22" t="n">
        <f aca="false">-Inputs!$B$21*Inputs!$B$5*(1+Inputs!$B$29)^(D$2-1)</f>
        <v>-0</v>
      </c>
      <c r="E18" s="22" t="n">
        <f aca="false">-Inputs!$B$21*Inputs!$B$5*(1+Inputs!$B$29)^(E$2-1)</f>
        <v>-0</v>
      </c>
      <c r="F18" s="22" t="n">
        <f aca="false">-Inputs!$B$21*Inputs!$B$5*(1+Inputs!$B$29)^(F$2-1)</f>
        <v>-0</v>
      </c>
      <c r="G18" s="22" t="n">
        <f aca="false">-Inputs!$B$21*Inputs!$B$5*(1+Inputs!$B$29)^(G$2-1)</f>
        <v>-0</v>
      </c>
      <c r="H18" s="22" t="n">
        <f aca="false">-Inputs!$B$21*Inputs!$B$5*(1+Inputs!$B$29)^(H$2-1)</f>
        <v>-0</v>
      </c>
      <c r="I18" s="22" t="n">
        <f aca="false">-Inputs!$B$21*Inputs!$B$5*(1+Inputs!$B$29)^(I$2-1)</f>
        <v>-0</v>
      </c>
      <c r="J18" s="22" t="n">
        <f aca="false">-Inputs!$B$21*Inputs!$B$5*(1+Inputs!$B$29)^(J$2-1)</f>
        <v>-0</v>
      </c>
      <c r="K18" s="22" t="n">
        <f aca="false">-Inputs!$B$21*Inputs!$B$5*(1+Inputs!$B$29)^(K$2-1)</f>
        <v>-0</v>
      </c>
      <c r="L18" s="22" t="n">
        <f aca="false">-Inputs!$B$21*Inputs!$B$5*(1+Inputs!$B$29)^(L$2-1)</f>
        <v>-0</v>
      </c>
      <c r="M18" s="22" t="n">
        <f aca="false">-Inputs!$B$21*Inputs!$B$5*(1+Inputs!$B$29)^(M$2-1)</f>
        <v>-0</v>
      </c>
      <c r="N18" s="22" t="n">
        <f aca="false">-Inputs!$B$21*Inputs!$B$5*(1+Inputs!$B$29)^(N$2-1)</f>
        <v>-0</v>
      </c>
    </row>
    <row r="19" customFormat="false" ht="15" hidden="false" customHeight="false" outlineLevel="0" collapsed="false">
      <c r="B19" s="2" t="s">
        <v>50</v>
      </c>
      <c r="D19" s="22" t="n">
        <f aca="false">-Inputs!$B$22*Inputs!$B$5*(1+Inputs!$B$29)^(D$2-1)</f>
        <v>-9600</v>
      </c>
      <c r="E19" s="22" t="n">
        <f aca="false">-Inputs!$B$22*Inputs!$B$5*(1+Inputs!$B$29)^(E$2-1)</f>
        <v>-9840</v>
      </c>
      <c r="F19" s="22" t="n">
        <f aca="false">-Inputs!$B$22*Inputs!$B$5*(1+Inputs!$B$29)^(F$2-1)</f>
        <v>-10086</v>
      </c>
      <c r="G19" s="22" t="n">
        <f aca="false">-Inputs!$B$22*Inputs!$B$5*(1+Inputs!$B$29)^(G$2-1)</f>
        <v>-10338.15</v>
      </c>
      <c r="H19" s="22" t="n">
        <f aca="false">-Inputs!$B$22*Inputs!$B$5*(1+Inputs!$B$29)^(H$2-1)</f>
        <v>-10596.60375</v>
      </c>
      <c r="I19" s="22" t="n">
        <f aca="false">-Inputs!$B$22*Inputs!$B$5*(1+Inputs!$B$29)^(I$2-1)</f>
        <v>-10861.51884375</v>
      </c>
      <c r="J19" s="22" t="n">
        <f aca="false">-Inputs!$B$22*Inputs!$B$5*(1+Inputs!$B$29)^(J$2-1)</f>
        <v>-11133.0568148437</v>
      </c>
      <c r="K19" s="22" t="n">
        <f aca="false">-Inputs!$B$22*Inputs!$B$5*(1+Inputs!$B$29)^(K$2-1)</f>
        <v>-11411.3832352148</v>
      </c>
      <c r="L19" s="22" t="n">
        <f aca="false">-Inputs!$B$22*Inputs!$B$5*(1+Inputs!$B$29)^(L$2-1)</f>
        <v>-11696.6678160952</v>
      </c>
      <c r="M19" s="22" t="n">
        <f aca="false">-Inputs!$B$22*Inputs!$B$5*(1+Inputs!$B$29)^(M$2-1)</f>
        <v>-11989.0845114976</v>
      </c>
      <c r="N19" s="22" t="n">
        <f aca="false">-Inputs!$B$22*Inputs!$B$5*(1+Inputs!$B$29)^(N$2-1)</f>
        <v>-12288.811624285</v>
      </c>
    </row>
    <row r="20" customFormat="false" ht="15" hidden="false" customHeight="false" outlineLevel="0" collapsed="false">
      <c r="B20" s="2" t="s">
        <v>52</v>
      </c>
      <c r="D20" s="22" t="n">
        <f aca="false">-Inputs!$B$23*Inputs!$B$5*(1+Inputs!$B$29)^(D$2-1)</f>
        <v>-1600</v>
      </c>
      <c r="E20" s="22" t="n">
        <f aca="false">-Inputs!$B$23*Inputs!$B$5*(1+Inputs!$B$29)^(E$2-1)</f>
        <v>-1640</v>
      </c>
      <c r="F20" s="22" t="n">
        <f aca="false">-Inputs!$B$23*Inputs!$B$5*(1+Inputs!$B$29)^(F$2-1)</f>
        <v>-1681</v>
      </c>
      <c r="G20" s="22" t="n">
        <f aca="false">-Inputs!$B$23*Inputs!$B$5*(1+Inputs!$B$29)^(G$2-1)</f>
        <v>-1723.025</v>
      </c>
      <c r="H20" s="22" t="n">
        <f aca="false">-Inputs!$B$23*Inputs!$B$5*(1+Inputs!$B$29)^(H$2-1)</f>
        <v>-1766.100625</v>
      </c>
      <c r="I20" s="22" t="n">
        <f aca="false">-Inputs!$B$23*Inputs!$B$5*(1+Inputs!$B$29)^(I$2-1)</f>
        <v>-1810.253140625</v>
      </c>
      <c r="J20" s="22" t="n">
        <f aca="false">-Inputs!$B$23*Inputs!$B$5*(1+Inputs!$B$29)^(J$2-1)</f>
        <v>-1855.50946914062</v>
      </c>
      <c r="K20" s="22" t="n">
        <f aca="false">-Inputs!$B$23*Inputs!$B$5*(1+Inputs!$B$29)^(K$2-1)</f>
        <v>-1901.89720586914</v>
      </c>
      <c r="L20" s="22" t="n">
        <f aca="false">-Inputs!$B$23*Inputs!$B$5*(1+Inputs!$B$29)^(L$2-1)</f>
        <v>-1949.44463601587</v>
      </c>
      <c r="M20" s="22" t="n">
        <f aca="false">-Inputs!$B$23*Inputs!$B$5*(1+Inputs!$B$29)^(M$2-1)</f>
        <v>-1998.18075191626</v>
      </c>
      <c r="N20" s="22" t="n">
        <f aca="false">-Inputs!$B$23*Inputs!$B$5*(1+Inputs!$B$29)^(N$2-1)</f>
        <v>-2048.13527071417</v>
      </c>
    </row>
    <row r="21" customFormat="false" ht="15" hidden="false" customHeight="false" outlineLevel="0" collapsed="false">
      <c r="B21" s="2" t="s">
        <v>54</v>
      </c>
      <c r="D21" s="22" t="n">
        <f aca="false">-Inputs!$B$24*Inputs!$B$5*(1+Inputs!$B$29)^(D$2-1)</f>
        <v>-16000</v>
      </c>
      <c r="E21" s="22" t="n">
        <f aca="false">-Inputs!$B$24*Inputs!$B$5*(1+Inputs!$B$29)^(E$2-1)</f>
        <v>-16400</v>
      </c>
      <c r="F21" s="22" t="n">
        <f aca="false">-Inputs!$B$24*Inputs!$B$5*(1+Inputs!$B$29)^(F$2-1)</f>
        <v>-16810</v>
      </c>
      <c r="G21" s="22" t="n">
        <f aca="false">-Inputs!$B$24*Inputs!$B$5*(1+Inputs!$B$29)^(G$2-1)</f>
        <v>-17230.25</v>
      </c>
      <c r="H21" s="22" t="n">
        <f aca="false">-Inputs!$B$24*Inputs!$B$5*(1+Inputs!$B$29)^(H$2-1)</f>
        <v>-17661.00625</v>
      </c>
      <c r="I21" s="22" t="n">
        <f aca="false">-Inputs!$B$24*Inputs!$B$5*(1+Inputs!$B$29)^(I$2-1)</f>
        <v>-18102.53140625</v>
      </c>
      <c r="J21" s="22" t="n">
        <f aca="false">-Inputs!$B$24*Inputs!$B$5*(1+Inputs!$B$29)^(J$2-1)</f>
        <v>-18555.0946914062</v>
      </c>
      <c r="K21" s="22" t="n">
        <f aca="false">-Inputs!$B$24*Inputs!$B$5*(1+Inputs!$B$29)^(K$2-1)</f>
        <v>-19018.9720586914</v>
      </c>
      <c r="L21" s="22" t="n">
        <f aca="false">-Inputs!$B$24*Inputs!$B$5*(1+Inputs!$B$29)^(L$2-1)</f>
        <v>-19494.4463601587</v>
      </c>
      <c r="M21" s="22" t="n">
        <f aca="false">-Inputs!$B$24*Inputs!$B$5*(1+Inputs!$B$29)^(M$2-1)</f>
        <v>-19981.8075191626</v>
      </c>
      <c r="N21" s="22" t="n">
        <f aca="false">-Inputs!$B$24*Inputs!$B$5*(1+Inputs!$B$29)^(N$2-1)</f>
        <v>-20481.3527071417</v>
      </c>
    </row>
    <row r="22" customFormat="false" ht="15" hidden="false" customHeight="false" outlineLevel="0" collapsed="false">
      <c r="B22" s="2" t="s">
        <v>109</v>
      </c>
      <c r="D22" s="22" t="n">
        <f aca="false">-Inputs!$B$25*(1+Inputs!$B$29)^(D$2-1)</f>
        <v>-10791</v>
      </c>
      <c r="E22" s="22" t="n">
        <f aca="false">-Inputs!$B$25*(1+Inputs!$B$29)^(E$2-1)</f>
        <v>-11060.775</v>
      </c>
      <c r="F22" s="22" t="n">
        <f aca="false">-Inputs!$B$25*(1+Inputs!$B$29)^(F$2-1)</f>
        <v>-11337.294375</v>
      </c>
      <c r="G22" s="22" t="n">
        <f aca="false">-Inputs!$B$25*(1+Inputs!$B$29)^(G$2-1)</f>
        <v>-11620.726734375</v>
      </c>
      <c r="H22" s="22" t="n">
        <f aca="false">-Inputs!$B$25*(1+Inputs!$B$29)^(H$2-1)</f>
        <v>-11911.2449027344</v>
      </c>
      <c r="I22" s="22" t="n">
        <f aca="false">-Inputs!$B$25*(1+Inputs!$B$29)^(I$2-1)</f>
        <v>-12209.0260253027</v>
      </c>
      <c r="J22" s="22" t="n">
        <f aca="false">-Inputs!$B$25*(1+Inputs!$B$29)^(J$2-1)</f>
        <v>-12514.2516759353</v>
      </c>
      <c r="K22" s="22" t="n">
        <f aca="false">-Inputs!$B$25*(1+Inputs!$B$29)^(K$2-1)</f>
        <v>-12827.1079678337</v>
      </c>
      <c r="L22" s="22" t="n">
        <f aca="false">-Inputs!$B$25*(1+Inputs!$B$29)^(L$2-1)</f>
        <v>-13147.7856670295</v>
      </c>
      <c r="M22" s="22" t="n">
        <f aca="false">-Inputs!$B$25*(1+Inputs!$B$29)^(M$2-1)</f>
        <v>-13476.4803087053</v>
      </c>
      <c r="N22" s="22" t="n">
        <f aca="false">-Inputs!$B$25*(1+Inputs!$B$29)^(N$2-1)</f>
        <v>-13813.3923164229</v>
      </c>
    </row>
    <row r="23" customFormat="false" ht="15" hidden="false" customHeight="false" outlineLevel="0" collapsed="false">
      <c r="B23" s="2" t="s">
        <v>110</v>
      </c>
      <c r="D23" s="22" t="n">
        <f aca="false">-D11*Inputs!$B$26</f>
        <v>-20757</v>
      </c>
      <c r="E23" s="22" t="n">
        <f aca="false">-E11*Inputs!$B$26</f>
        <v>-21172.14</v>
      </c>
      <c r="F23" s="22" t="n">
        <f aca="false">-F11*Inputs!$B$26</f>
        <v>-21595.5828</v>
      </c>
      <c r="G23" s="22" t="n">
        <f aca="false">-G11*Inputs!$B$26</f>
        <v>-22027.494456</v>
      </c>
      <c r="H23" s="22" t="n">
        <f aca="false">-H11*Inputs!$B$26</f>
        <v>-22468.04434512</v>
      </c>
      <c r="I23" s="22" t="n">
        <f aca="false">-I11*Inputs!$B$26</f>
        <v>-22917.4052320224</v>
      </c>
      <c r="J23" s="22" t="n">
        <f aca="false">-J11*Inputs!$B$26</f>
        <v>-23375.7533366629</v>
      </c>
      <c r="K23" s="22" t="n">
        <f aca="false">-K11*Inputs!$B$26</f>
        <v>-23843.2684033961</v>
      </c>
      <c r="L23" s="22" t="n">
        <f aca="false">-L11*Inputs!$B$26</f>
        <v>-24320.133771464</v>
      </c>
      <c r="M23" s="22" t="n">
        <f aca="false">-M11*Inputs!$B$26</f>
        <v>-24806.5364468933</v>
      </c>
      <c r="N23" s="22" t="n">
        <f aca="false">-N11*Inputs!$B$26</f>
        <v>-25302.6671758312</v>
      </c>
    </row>
    <row r="24" customFormat="false" ht="15" hidden="false" customHeight="false" outlineLevel="0" collapsed="false">
      <c r="B24" s="3" t="s">
        <v>111</v>
      </c>
      <c r="D24" s="18" t="n">
        <f aca="false">SUM(D14:D23)</f>
        <v>-77948</v>
      </c>
      <c r="E24" s="18" t="n">
        <f aca="false">SUM(E14:E23)</f>
        <v>-79792.915</v>
      </c>
      <c r="F24" s="18" t="n">
        <f aca="false">SUM(F14:F23)</f>
        <v>-81681.877175</v>
      </c>
      <c r="G24" s="18" t="n">
        <f aca="false">SUM(G14:G23)</f>
        <v>-83615.946190375</v>
      </c>
      <c r="H24" s="18" t="n">
        <f aca="false">SUM(H14:H23)</f>
        <v>-85596.2073728544</v>
      </c>
      <c r="I24" s="18" t="n">
        <f aca="false">SUM(I14:I23)</f>
        <v>-87623.7723354501</v>
      </c>
      <c r="J24" s="18" t="n">
        <f aca="false">SUM(J14:J23)</f>
        <v>-89699.7796176762</v>
      </c>
      <c r="K24" s="18" t="n">
        <f aca="false">SUM(K14:K23)</f>
        <v>-91825.3953414348</v>
      </c>
      <c r="L24" s="18" t="n">
        <f aca="false">SUM(L14:L23)</f>
        <v>-94001.8138829537</v>
      </c>
      <c r="M24" s="18" t="n">
        <f aca="false">SUM(M14:M23)</f>
        <v>-96230.2585611702</v>
      </c>
      <c r="N24" s="18" t="n">
        <f aca="false">SUM(N14:N23)</f>
        <v>-98511.982342965</v>
      </c>
    </row>
    <row r="25" customFormat="false" ht="15" hidden="false" customHeight="false" outlineLevel="0" collapsed="false">
      <c r="B25" s="3" t="s">
        <v>112</v>
      </c>
      <c r="D25" s="18" t="n">
        <f aca="false">D11+D24</f>
        <v>129622</v>
      </c>
      <c r="E25" s="18" t="n">
        <f aca="false">E11+E24</f>
        <v>131928.485</v>
      </c>
      <c r="F25" s="18" t="n">
        <f aca="false">F11+F24</f>
        <v>134273.950825</v>
      </c>
      <c r="G25" s="18" t="n">
        <f aca="false">G11+G24</f>
        <v>136658.998369625</v>
      </c>
      <c r="H25" s="18" t="n">
        <f aca="false">H11+H24</f>
        <v>139084.236078346</v>
      </c>
      <c r="I25" s="18" t="n">
        <f aca="false">I11+I24</f>
        <v>141550.279984774</v>
      </c>
      <c r="J25" s="18" t="n">
        <f aca="false">J11+J24</f>
        <v>144057.753748952</v>
      </c>
      <c r="K25" s="18" t="n">
        <f aca="false">K11+K24</f>
        <v>146607.288692526</v>
      </c>
      <c r="L25" s="18" t="n">
        <f aca="false">L11+L24</f>
        <v>149199.523831687</v>
      </c>
      <c r="M25" s="18" t="n">
        <f aca="false">M11+M24</f>
        <v>151835.105907763</v>
      </c>
      <c r="N25" s="18" t="n">
        <f aca="false">N11+N24</f>
        <v>154514.689415347</v>
      </c>
    </row>
    <row r="26" customFormat="false" ht="15" hidden="false" customHeight="false" outlineLevel="0" collapsed="false">
      <c r="B26" s="2" t="s">
        <v>113</v>
      </c>
      <c r="D26" s="22" t="n">
        <f aca="false">-Inputs!$B$5*Inputs!$B$28*(1+Inputs!$B$29)^(D$2-1)</f>
        <v>-6400</v>
      </c>
      <c r="E26" s="22" t="n">
        <f aca="false">-Inputs!$B$5*Inputs!$B$28*(1+Inputs!$B$29)^(E$2-1)</f>
        <v>-6560</v>
      </c>
      <c r="F26" s="22" t="n">
        <f aca="false">-Inputs!$B$5*Inputs!$B$28*(1+Inputs!$B$29)^(F$2-1)</f>
        <v>-6724</v>
      </c>
      <c r="G26" s="22" t="n">
        <f aca="false">-Inputs!$B$5*Inputs!$B$28*(1+Inputs!$B$29)^(G$2-1)</f>
        <v>-6892.1</v>
      </c>
      <c r="H26" s="22" t="n">
        <f aca="false">-Inputs!$B$5*Inputs!$B$28*(1+Inputs!$B$29)^(H$2-1)</f>
        <v>-7064.4025</v>
      </c>
      <c r="I26" s="22" t="n">
        <f aca="false">-Inputs!$B$5*Inputs!$B$28*(1+Inputs!$B$29)^(I$2-1)</f>
        <v>-7241.0125625</v>
      </c>
      <c r="J26" s="22" t="n">
        <f aca="false">-Inputs!$B$5*Inputs!$B$28*(1+Inputs!$B$29)^(J$2-1)</f>
        <v>-7422.0378765625</v>
      </c>
      <c r="K26" s="22" t="n">
        <f aca="false">-Inputs!$B$5*Inputs!$B$28*(1+Inputs!$B$29)^(K$2-1)</f>
        <v>-7607.58882347656</v>
      </c>
      <c r="L26" s="22" t="n">
        <f aca="false">-Inputs!$B$5*Inputs!$B$28*(1+Inputs!$B$29)^(L$2-1)</f>
        <v>-7797.77854406347</v>
      </c>
      <c r="M26" s="22" t="n">
        <f aca="false">-Inputs!$B$5*Inputs!$B$28*(1+Inputs!$B$29)^(M$2-1)</f>
        <v>-7992.72300766506</v>
      </c>
      <c r="N26" s="22" t="n">
        <f aca="false">-Inputs!$B$5*Inputs!$B$28*(1+Inputs!$B$29)^(N$2-1)</f>
        <v>-8192.54108285668</v>
      </c>
    </row>
    <row r="27" customFormat="false" ht="15" hidden="false" customHeight="false" outlineLevel="0" collapsed="false">
      <c r="B27" s="2" t="s">
        <v>114</v>
      </c>
      <c r="D27" s="22" t="n">
        <f aca="false">-D11*Inputs!$B$27</f>
        <v>-0</v>
      </c>
      <c r="E27" s="22" t="n">
        <f aca="false">-E11*Inputs!$B$27</f>
        <v>-0</v>
      </c>
      <c r="F27" s="22" t="n">
        <f aca="false">-F11*Inputs!$B$27</f>
        <v>-0</v>
      </c>
      <c r="G27" s="22" t="n">
        <f aca="false">-G11*Inputs!$B$27</f>
        <v>-0</v>
      </c>
      <c r="H27" s="22" t="n">
        <f aca="false">-H11*Inputs!$B$27</f>
        <v>-0</v>
      </c>
      <c r="I27" s="22" t="n">
        <f aca="false">-I11*Inputs!$B$27</f>
        <v>-0</v>
      </c>
      <c r="J27" s="22" t="n">
        <f aca="false">-J11*Inputs!$B$27</f>
        <v>-0</v>
      </c>
      <c r="K27" s="22" t="n">
        <f aca="false">-K11*Inputs!$B$27</f>
        <v>-0</v>
      </c>
      <c r="L27" s="22" t="n">
        <f aca="false">-L11*Inputs!$B$27</f>
        <v>-0</v>
      </c>
      <c r="M27" s="22" t="n">
        <f aca="false">-M11*Inputs!$B$27</f>
        <v>-0</v>
      </c>
      <c r="N27" s="22" t="n">
        <f aca="false">-N11*Inputs!$B$27</f>
        <v>-0</v>
      </c>
    </row>
    <row r="28" customFormat="false" ht="15" hidden="false" customHeight="false" outlineLevel="0" collapsed="false">
      <c r="B28" s="3" t="s">
        <v>115</v>
      </c>
      <c r="D28" s="18" t="n">
        <f aca="false">D25+D26+D27</f>
        <v>123222</v>
      </c>
      <c r="E28" s="18" t="n">
        <f aca="false">E25+E26+E27</f>
        <v>125368.485</v>
      </c>
      <c r="F28" s="18" t="n">
        <f aca="false">F25+F26+F27</f>
        <v>127549.950825</v>
      </c>
      <c r="G28" s="18" t="n">
        <f aca="false">G25+G26+G27</f>
        <v>129766.898369625</v>
      </c>
      <c r="H28" s="18" t="n">
        <f aca="false">H25+H26+H27</f>
        <v>132019.833578346</v>
      </c>
      <c r="I28" s="18" t="n">
        <f aca="false">I25+I26+I27</f>
        <v>134309.267422274</v>
      </c>
      <c r="J28" s="18" t="n">
        <f aca="false">J25+J26+J27</f>
        <v>136635.71587239</v>
      </c>
      <c r="K28" s="18" t="n">
        <f aca="false">K25+K26+K27</f>
        <v>138999.69986905</v>
      </c>
      <c r="L28" s="18" t="n">
        <f aca="false">L25+L26+L27</f>
        <v>141401.745287623</v>
      </c>
      <c r="M28" s="18" t="n">
        <f aca="false">M25+M26+M27</f>
        <v>143842.382900098</v>
      </c>
      <c r="N28" s="18" t="n">
        <f aca="false">N25+N26+N27</f>
        <v>146322.14833249</v>
      </c>
    </row>
    <row r="30" customFormat="false" ht="15" hidden="false" customHeight="false" outlineLevel="0" collapsed="false">
      <c r="B30" s="3" t="s">
        <v>116</v>
      </c>
    </row>
    <row r="31" customFormat="false" ht="15" hidden="false" customHeight="false" outlineLevel="0" collapsed="false">
      <c r="B31" s="0" t="s">
        <v>117</v>
      </c>
      <c r="D31" s="11" t="n">
        <f aca="false">IF(D$2=1,Inputs!$B$52,IF(AND(Inputs!$F$14&gt;0,D$2=Inputs!$F$14+1),Inputs!$F$24,C35))</f>
        <v>808500</v>
      </c>
      <c r="E31" s="11" t="n">
        <f aca="false">IF(E$2=1,Inputs!$B$52,IF(AND(Inputs!$F$14&gt;0,E$2=Inputs!$F$14+1),Inputs!$F$24,D35))</f>
        <v>795648.760218483</v>
      </c>
      <c r="F31" s="11" t="n">
        <f aca="false">IF(F$2=1,Inputs!$B$52,IF(AND(Inputs!$F$14&gt;0,F$2=Inputs!$F$14+1),Inputs!$F$24,E35))</f>
        <v>781902.71512859</v>
      </c>
      <c r="G31" s="11" t="n">
        <f aca="false">IF(G$2=1,Inputs!$B$52,IF(AND(Inputs!$F$14&gt;0,G$2=Inputs!$F$14+1),Inputs!$F$24,F35))</f>
        <v>767199.561283064</v>
      </c>
      <c r="H31" s="11" t="n">
        <f aca="false">IF(H$2=1,Inputs!$B$52,IF(AND(Inputs!$F$14&gt;0,H$2=Inputs!$F$14+1),Inputs!$F$24,G35))</f>
        <v>751472.657174176</v>
      </c>
      <c r="I31" s="11" t="n">
        <f aca="false">IF(I$2=1,Inputs!$B$52,IF(AND(Inputs!$F$14&gt;0,I$2=Inputs!$F$14+1),Inputs!$F$24,H35))</f>
        <v>734650.721183524</v>
      </c>
      <c r="J31" s="11" t="n">
        <f aca="false">IF(J$2=1,Inputs!$B$52,IF(AND(Inputs!$F$14&gt;0,J$2=Inputs!$F$14+1),Inputs!$F$24,I35))</f>
        <v>716657.5085007</v>
      </c>
      <c r="K31" s="11" t="n">
        <f aca="false">IF(K$2=1,Inputs!$B$52,IF(AND(Inputs!$F$14&gt;0,K$2=Inputs!$F$14+1),Inputs!$F$24,J35))</f>
        <v>697411.465546473</v>
      </c>
      <c r="L31" s="11" t="n">
        <f aca="false">IF(L$2=1,Inputs!$B$52,IF(AND(Inputs!$F$14&gt;0,L$2=Inputs!$F$14+1),Inputs!$F$24,K35))</f>
        <v>676825.360334171</v>
      </c>
      <c r="M31" s="11" t="n">
        <f aca="false">IF(M$2=1,Inputs!$B$52,IF(AND(Inputs!$F$14&gt;0,M$2=Inputs!$F$14+1),Inputs!$F$24,L35))</f>
        <v>654805.887093886</v>
      </c>
      <c r="N31" s="11" t="n">
        <f aca="false">IF(N$2=1,Inputs!$B$52,IF(AND(Inputs!$F$14&gt;0,N$2=Inputs!$F$14+1),Inputs!$F$24,M35))</f>
        <v>631253.243367482</v>
      </c>
    </row>
    <row r="32" customFormat="false" ht="15" hidden="false" customHeight="false" outlineLevel="0" collapsed="false">
      <c r="B32" s="2" t="s">
        <v>118</v>
      </c>
      <c r="D32" s="22" t="n">
        <f aca="false">IF(D$2&lt;=Inputs!$B$36,D31*IF(AND(Inputs!$F$14&gt;0,D$2&gt;Inputs!$F$14),Inputs!$F$18,Inputs!$B$34),12*IF(AND(Inputs!$F$14&gt;0,D$2&gt;Inputs!$F$14),Inputs!$F$28,Inputs!$B$53)-(D31-D35))</f>
        <v>54180.996394614</v>
      </c>
      <c r="E32" s="22" t="n">
        <f aca="false">IF(E$2&lt;=Inputs!$B$36,E31*IF(AND(Inputs!$F$14&gt;0,E$2&gt;Inputs!$F$14),Inputs!$F$18,Inputs!$B$34),12*IF(AND(Inputs!$F$14&gt;0,E$2&gt;Inputs!$F$14),Inputs!$F$28,Inputs!$B$53)-(E31-E35))</f>
        <v>53286.1910862375</v>
      </c>
      <c r="F32" s="22" t="n">
        <f aca="false">IF(F$2&lt;=Inputs!$B$36,F31*IF(AND(Inputs!$F$14&gt;0,F$2&gt;Inputs!$F$14),Inputs!$F$18,Inputs!$B$34),12*IF(AND(Inputs!$F$14&gt;0,F$2&gt;Inputs!$F$14),Inputs!$F$28,Inputs!$B$53)-(F31-F35))</f>
        <v>52329.0823306052</v>
      </c>
      <c r="G32" s="22" t="n">
        <f aca="false">IF(G$2&lt;=Inputs!$B$36,G31*IF(AND(Inputs!$F$14&gt;0,G$2&gt;Inputs!$F$14),Inputs!$F$18,Inputs!$B$34),12*IF(AND(Inputs!$F$14&gt;0,G$2&gt;Inputs!$F$14),Inputs!$F$28,Inputs!$B$53)-(G31-G35))</f>
        <v>51305.3320672435</v>
      </c>
      <c r="H32" s="22" t="n">
        <f aca="false">IF(H$2&lt;=Inputs!$B$36,H31*IF(AND(Inputs!$F$14&gt;0,H$2&gt;Inputs!$F$14),Inputs!$F$18,Inputs!$B$34),12*IF(AND(Inputs!$F$14&gt;0,H$2&gt;Inputs!$F$14),Inputs!$F$28,Inputs!$B$53)-(H31-H35))</f>
        <v>50210.3001854789</v>
      </c>
      <c r="I32" s="22" t="n">
        <f aca="false">IF(I$2&lt;=Inputs!$B$36,I31*IF(AND(Inputs!$F$14&gt;0,I$2&gt;Inputs!$F$14),Inputs!$F$18,Inputs!$B$34),12*IF(AND(Inputs!$F$14&gt;0,I$2&gt;Inputs!$F$14),Inputs!$F$28,Inputs!$B$53)-(I31-I35))</f>
        <v>49039.0234933068</v>
      </c>
      <c r="J32" s="22" t="n">
        <f aca="false">IF(J$2&lt;=Inputs!$B$36,J31*IF(AND(Inputs!$F$14&gt;0,J$2&gt;Inputs!$F$14),Inputs!$F$18,Inputs!$B$34),12*IF(AND(Inputs!$F$14&gt;0,J$2&gt;Inputs!$F$14),Inputs!$F$28,Inputs!$B$53)-(J31-J35))</f>
        <v>47786.193221904</v>
      </c>
      <c r="K32" s="22" t="n">
        <f aca="false">IF(K$2&lt;=Inputs!$B$36,K31*IF(AND(Inputs!$F$14&gt;0,K$2&gt;Inputs!$F$14),Inputs!$F$18,Inputs!$B$34),12*IF(AND(Inputs!$F$14&gt;0,K$2&gt;Inputs!$F$14),Inputs!$F$28,Inputs!$B$53)-(K31-K35))</f>
        <v>46446.1309638288</v>
      </c>
      <c r="L32" s="22" t="n">
        <f aca="false">IF(L$2&lt;=Inputs!$B$36,L31*IF(AND(Inputs!$F$14&gt;0,L$2&gt;Inputs!$F$14),Inputs!$F$18,Inputs!$B$34),12*IF(AND(Inputs!$F$14&gt;0,L$2&gt;Inputs!$F$14),Inputs!$F$28,Inputs!$B$53)-(L31-L35))</f>
        <v>45012.762935846</v>
      </c>
      <c r="M32" s="22" t="n">
        <f aca="false">IF(M$2&lt;=Inputs!$B$36,M31*IF(AND(Inputs!$F$14&gt;0,M$2&gt;Inputs!$F$14),Inputs!$F$18,Inputs!$B$34),12*IF(AND(Inputs!$F$14&gt;0,M$2&gt;Inputs!$F$14),Inputs!$F$28,Inputs!$B$53)-(M31-M35))</f>
        <v>43479.5924497269</v>
      </c>
      <c r="N32" s="22" t="n">
        <f aca="false">IF(N$2&lt;=Inputs!$B$36,N31*IF(AND(Inputs!$F$14&gt;0,N$2&gt;Inputs!$F$14),Inputs!$F$18,Inputs!$B$34),12*IF(AND(Inputs!$F$14&gt;0,N$2&gt;Inputs!$F$14),Inputs!$F$28,Inputs!$B$53)-(N31-N35))</f>
        <v>41839.6704662465</v>
      </c>
    </row>
    <row r="33" customFormat="false" ht="15" hidden="false" customHeight="false" outlineLevel="0" collapsed="false">
      <c r="B33" s="2" t="s">
        <v>119</v>
      </c>
      <c r="D33" s="22" t="n">
        <f aca="false">D31-D35</f>
        <v>12851.239781517</v>
      </c>
      <c r="E33" s="22" t="n">
        <f aca="false">E31-E35</f>
        <v>13746.0450898935</v>
      </c>
      <c r="F33" s="22" t="n">
        <f aca="false">F31-F35</f>
        <v>14703.1538455258</v>
      </c>
      <c r="G33" s="22" t="n">
        <f aca="false">G31-G35</f>
        <v>15726.9041088875</v>
      </c>
      <c r="H33" s="22" t="n">
        <f aca="false">H31-H35</f>
        <v>16821.9359906521</v>
      </c>
      <c r="I33" s="22" t="n">
        <f aca="false">I31-I35</f>
        <v>17993.2126828242</v>
      </c>
      <c r="J33" s="22" t="n">
        <f aca="false">J31-J35</f>
        <v>19246.042954227</v>
      </c>
      <c r="K33" s="22" t="n">
        <f aca="false">K31-K35</f>
        <v>20586.1052123022</v>
      </c>
      <c r="L33" s="22" t="n">
        <f aca="false">L31-L35</f>
        <v>22019.4732402849</v>
      </c>
      <c r="M33" s="22" t="n">
        <f aca="false">M31-M35</f>
        <v>23552.6437264041</v>
      </c>
      <c r="N33" s="22" t="n">
        <f aca="false">N31-N35</f>
        <v>25192.5657098845</v>
      </c>
    </row>
    <row r="34" customFormat="false" ht="15" hidden="false" customHeight="false" outlineLevel="0" collapsed="false">
      <c r="B34" s="3" t="s">
        <v>120</v>
      </c>
      <c r="D34" s="18" t="n">
        <f aca="false">D32+D33</f>
        <v>67032.236176131</v>
      </c>
      <c r="E34" s="18" t="n">
        <f aca="false">E32+E33</f>
        <v>67032.236176131</v>
      </c>
      <c r="F34" s="18" t="n">
        <f aca="false">F32+F33</f>
        <v>67032.236176131</v>
      </c>
      <c r="G34" s="18" t="n">
        <f aca="false">G32+G33</f>
        <v>67032.236176131</v>
      </c>
      <c r="H34" s="18" t="n">
        <f aca="false">H32+H33</f>
        <v>67032.236176131</v>
      </c>
      <c r="I34" s="18" t="n">
        <f aca="false">I32+I33</f>
        <v>67032.236176131</v>
      </c>
      <c r="J34" s="18" t="n">
        <f aca="false">J32+J33</f>
        <v>67032.236176131</v>
      </c>
      <c r="K34" s="18" t="n">
        <f aca="false">K32+K33</f>
        <v>67032.236176131</v>
      </c>
      <c r="L34" s="18" t="n">
        <f aca="false">L32+L33</f>
        <v>67032.236176131</v>
      </c>
      <c r="M34" s="18" t="n">
        <f aca="false">M32+M33</f>
        <v>67032.236176131</v>
      </c>
      <c r="N34" s="18" t="n">
        <f aca="false">N32+N33</f>
        <v>67032.236176131</v>
      </c>
    </row>
    <row r="35" customFormat="false" ht="15" hidden="false" customHeight="false" outlineLevel="0" collapsed="false">
      <c r="B35" s="2" t="s">
        <v>121</v>
      </c>
      <c r="D35" s="22" t="n">
        <f aca="false">IF(D$2&lt;=Inputs!$B$36,D31,MAX(0,FV(IF(AND(Inputs!$F$14&gt;0,D$2&gt;Inputs!$F$14),Inputs!$F$18,Inputs!$B$34)/12,12,IF(AND(Inputs!$F$14&gt;0,D$2&gt;Inputs!$F$14),Inputs!$F$28,Inputs!$B$53),-D31)))</f>
        <v>795648.760218483</v>
      </c>
      <c r="E35" s="22" t="n">
        <f aca="false">IF(E$2&lt;=Inputs!$B$36,E31,MAX(0,FV(IF(AND(Inputs!$F$14&gt;0,E$2&gt;Inputs!$F$14),Inputs!$F$18,Inputs!$B$34)/12,12,IF(AND(Inputs!$F$14&gt;0,E$2&gt;Inputs!$F$14),Inputs!$F$28,Inputs!$B$53),-E31)))</f>
        <v>781902.71512859</v>
      </c>
      <c r="F35" s="22" t="n">
        <f aca="false">IF(F$2&lt;=Inputs!$B$36,F31,MAX(0,FV(IF(AND(Inputs!$F$14&gt;0,F$2&gt;Inputs!$F$14),Inputs!$F$18,Inputs!$B$34)/12,12,IF(AND(Inputs!$F$14&gt;0,F$2&gt;Inputs!$F$14),Inputs!$F$28,Inputs!$B$53),-F31)))</f>
        <v>767199.561283064</v>
      </c>
      <c r="G35" s="22" t="n">
        <f aca="false">IF(G$2&lt;=Inputs!$B$36,G31,MAX(0,FV(IF(AND(Inputs!$F$14&gt;0,G$2&gt;Inputs!$F$14),Inputs!$F$18,Inputs!$B$34)/12,12,IF(AND(Inputs!$F$14&gt;0,G$2&gt;Inputs!$F$14),Inputs!$F$28,Inputs!$B$53),-G31)))</f>
        <v>751472.657174176</v>
      </c>
      <c r="H35" s="22" t="n">
        <f aca="false">IF(H$2&lt;=Inputs!$B$36,H31,MAX(0,FV(IF(AND(Inputs!$F$14&gt;0,H$2&gt;Inputs!$F$14),Inputs!$F$18,Inputs!$B$34)/12,12,IF(AND(Inputs!$F$14&gt;0,H$2&gt;Inputs!$F$14),Inputs!$F$28,Inputs!$B$53),-H31)))</f>
        <v>734650.721183524</v>
      </c>
      <c r="I35" s="22" t="n">
        <f aca="false">IF(I$2&lt;=Inputs!$B$36,I31,MAX(0,FV(IF(AND(Inputs!$F$14&gt;0,I$2&gt;Inputs!$F$14),Inputs!$F$18,Inputs!$B$34)/12,12,IF(AND(Inputs!$F$14&gt;0,I$2&gt;Inputs!$F$14),Inputs!$F$28,Inputs!$B$53),-I31)))</f>
        <v>716657.5085007</v>
      </c>
      <c r="J35" s="22" t="n">
        <f aca="false">IF(J$2&lt;=Inputs!$B$36,J31,MAX(0,FV(IF(AND(Inputs!$F$14&gt;0,J$2&gt;Inputs!$F$14),Inputs!$F$18,Inputs!$B$34)/12,12,IF(AND(Inputs!$F$14&gt;0,J$2&gt;Inputs!$F$14),Inputs!$F$28,Inputs!$B$53),-J31)))</f>
        <v>697411.465546473</v>
      </c>
      <c r="K35" s="22" t="n">
        <f aca="false">IF(K$2&lt;=Inputs!$B$36,K31,MAX(0,FV(IF(AND(Inputs!$F$14&gt;0,K$2&gt;Inputs!$F$14),Inputs!$F$18,Inputs!$B$34)/12,12,IF(AND(Inputs!$F$14&gt;0,K$2&gt;Inputs!$F$14),Inputs!$F$28,Inputs!$B$53),-K31)))</f>
        <v>676825.360334171</v>
      </c>
      <c r="L35" s="22" t="n">
        <f aca="false">IF(L$2&lt;=Inputs!$B$36,L31,MAX(0,FV(IF(AND(Inputs!$F$14&gt;0,L$2&gt;Inputs!$F$14),Inputs!$F$18,Inputs!$B$34)/12,12,IF(AND(Inputs!$F$14&gt;0,L$2&gt;Inputs!$F$14),Inputs!$F$28,Inputs!$B$53),-L31)))</f>
        <v>654805.887093886</v>
      </c>
      <c r="M35" s="22" t="n">
        <f aca="false">IF(M$2&lt;=Inputs!$B$36,M31,MAX(0,FV(IF(AND(Inputs!$F$14&gt;0,M$2&gt;Inputs!$F$14),Inputs!$F$18,Inputs!$B$34)/12,12,IF(AND(Inputs!$F$14&gt;0,M$2&gt;Inputs!$F$14),Inputs!$F$28,Inputs!$B$53),-M31)))</f>
        <v>631253.243367482</v>
      </c>
      <c r="N35" s="22" t="n">
        <f aca="false">IF(N$2&lt;=Inputs!$B$36,N31,MAX(0,FV(IF(AND(Inputs!$F$14&gt;0,N$2&gt;Inputs!$F$14),Inputs!$F$18,Inputs!$B$34)/12,12,IF(AND(Inputs!$F$14&gt;0,N$2&gt;Inputs!$F$14),Inputs!$F$28,Inputs!$B$53),-N31)))</f>
        <v>606060.677657597</v>
      </c>
    </row>
    <row r="37" customFormat="false" ht="15" hidden="false" customHeight="false" outlineLevel="0" collapsed="false">
      <c r="B37" s="3" t="s">
        <v>122</v>
      </c>
      <c r="D37" s="18" t="n">
        <f aca="false">D28-D34</f>
        <v>56189.763823869</v>
      </c>
      <c r="E37" s="18" t="n">
        <f aca="false">E28-E34</f>
        <v>58336.248823869</v>
      </c>
      <c r="F37" s="18" t="n">
        <f aca="false">F28-F34</f>
        <v>60517.714648869</v>
      </c>
      <c r="G37" s="18" t="n">
        <f aca="false">G28-G34</f>
        <v>62734.662193494</v>
      </c>
      <c r="H37" s="18" t="n">
        <f aca="false">H28-H34</f>
        <v>64987.5974022147</v>
      </c>
      <c r="I37" s="18" t="n">
        <f aca="false">I28-I34</f>
        <v>67277.0312461429</v>
      </c>
      <c r="J37" s="18" t="n">
        <f aca="false">J28-J34</f>
        <v>69603.4796962587</v>
      </c>
      <c r="K37" s="18" t="n">
        <f aca="false">K28-K34</f>
        <v>71967.4636929187</v>
      </c>
      <c r="L37" s="18" t="n">
        <f aca="false">L28-L34</f>
        <v>74369.5091114921</v>
      </c>
      <c r="M37" s="18" t="n">
        <f aca="false">M28-M34</f>
        <v>76810.1467239668</v>
      </c>
      <c r="N37" s="18" t="n">
        <f aca="false">N28-N34</f>
        <v>79289.9121563591</v>
      </c>
    </row>
    <row r="38" customFormat="false" ht="15" hidden="false" customHeight="false" outlineLevel="0" collapsed="false">
      <c r="B38" s="2" t="s">
        <v>123</v>
      </c>
      <c r="D38" s="23" t="n">
        <f aca="false">IFERROR(D25/D34,"")</f>
        <v>1.93372632921585</v>
      </c>
      <c r="E38" s="23" t="n">
        <f aca="false">IFERROR(E25/E34,"")</f>
        <v>1.96813492322336</v>
      </c>
      <c r="F38" s="23" t="n">
        <f aca="false">IFERROR(F25/F34,"")</f>
        <v>2.0031250407966</v>
      </c>
      <c r="G38" s="23" t="n">
        <f aca="false">IFERROR(G25/G34,"")</f>
        <v>2.03870564619903</v>
      </c>
      <c r="H38" s="23" t="n">
        <f aca="false">IFERROR(H25/H34,"")</f>
        <v>2.07488581632416</v>
      </c>
      <c r="I38" s="23" t="n">
        <f aca="false">IFERROR(I25/I34,"")</f>
        <v>2.11167474128183</v>
      </c>
      <c r="J38" s="23" t="n">
        <f aca="false">IFERROR(J25/J34,"")</f>
        <v>2.14908172495443</v>
      </c>
      <c r="K38" s="23" t="n">
        <f aca="false">IFERROR(K25/K34,"")</f>
        <v>2.18711618552165</v>
      </c>
      <c r="L38" s="23" t="n">
        <f aca="false">IFERROR(L25/L34,"")</f>
        <v>2.22578765595193</v>
      </c>
      <c r="M38" s="23" t="n">
        <f aca="false">IFERROR(M25/M34,"")</f>
        <v>2.2651057844588</v>
      </c>
      <c r="N38" s="23" t="n">
        <f aca="false">IFERROR(N25/N34,"")</f>
        <v>2.30508033492051</v>
      </c>
    </row>
    <row r="39" customFormat="false" ht="15" hidden="false" customHeight="false" outlineLevel="0" collapsed="false">
      <c r="B39" s="2" t="s">
        <v>124</v>
      </c>
      <c r="D39" s="24" t="n">
        <f aca="false">IFERROR(D37/Inputs!$B$54,"")</f>
        <v>0.187834541188618</v>
      </c>
      <c r="E39" s="24" t="n">
        <f aca="false">IFERROR(E37/Inputs!$B$54,"")</f>
        <v>0.195009941078303</v>
      </c>
      <c r="F39" s="24" t="n">
        <f aca="false">IFERROR(F37/Inputs!$B$54,"")</f>
        <v>0.202302276985639</v>
      </c>
      <c r="G39" s="24" t="n">
        <f aca="false">IFERROR(G37/Inputs!$B$54,"")</f>
        <v>0.209713223331475</v>
      </c>
      <c r="H39" s="24" t="n">
        <f aca="false">IFERROR(H37/Inputs!$B$54,"")</f>
        <v>0.217244471417589</v>
      </c>
      <c r="I39" s="24" t="n">
        <f aca="false">IFERROR(I37/Inputs!$B$54,"")</f>
        <v>0.224897729349121</v>
      </c>
      <c r="J39" s="24" t="n">
        <f aca="false">IFERROR(J37/Inputs!$B$54,"")</f>
        <v>0.232674721945073</v>
      </c>
      <c r="K39" s="24" t="n">
        <f aca="false">IFERROR(K37/Inputs!$B$54,"")</f>
        <v>0.240577190636376</v>
      </c>
      <c r="L39" s="24" t="n">
        <f aca="false">IFERROR(L37/Inputs!$B$54,"")</f>
        <v>0.248606893351024</v>
      </c>
      <c r="M39" s="24" t="n">
        <f aca="false">IFERROR(M37/Inputs!$B$54,"")</f>
        <v>0.256765604385722</v>
      </c>
      <c r="N39" s="24" t="n">
        <f aca="false">IFERROR(N37/Inputs!$B$54,"")</f>
        <v>0.265055114263515</v>
      </c>
    </row>
    <row r="40" customFormat="false" ht="15" hidden="false" customHeight="false" outlineLevel="0" collapsed="false">
      <c r="B40" s="2" t="s">
        <v>125</v>
      </c>
      <c r="D40" s="23" t="n">
        <f aca="false">IFERROR((D25+D26)/D34,"")</f>
        <v>1.83824987840518</v>
      </c>
      <c r="E40" s="23" t="n">
        <f aca="false">IFERROR((E25+E26)/E34,"")</f>
        <v>1.87027156114242</v>
      </c>
      <c r="F40" s="23" t="n">
        <f aca="false">IFERROR((F25+F26)/F34,"")</f>
        <v>1.90281509466364</v>
      </c>
      <c r="G40" s="23" t="n">
        <f aca="false">IFERROR((G25+G26)/G34,"")</f>
        <v>1.93588795141274</v>
      </c>
      <c r="H40" s="23" t="n">
        <f aca="false">IFERROR((H25+H26)/H34,"")</f>
        <v>1.96949767916822</v>
      </c>
      <c r="I40" s="23" t="n">
        <f aca="false">IFERROR((I25+I26)/I34,"")</f>
        <v>2.00365190069698</v>
      </c>
      <c r="J40" s="23" t="n">
        <f aca="false">IFERROR((J25+J26)/J34,"")</f>
        <v>2.03835831335496</v>
      </c>
      <c r="K40" s="23" t="n">
        <f aca="false">IFERROR((K25+K26)/K34,"")</f>
        <v>2.0736246886322</v>
      </c>
      <c r="L40" s="23" t="n">
        <f aca="false">IFERROR((L25+L26)/L34,"")</f>
        <v>2.10945887164024</v>
      </c>
      <c r="M40" s="23" t="n">
        <f aca="false">IFERROR((M25+M26)/M34,"")</f>
        <v>2.14586878053932</v>
      </c>
      <c r="N40" s="23" t="n">
        <f aca="false">IFERROR((N25+N26)/N34,"")</f>
        <v>2.18286240590304</v>
      </c>
    </row>
    <row r="41" customFormat="false" ht="15" hidden="false" customHeight="false" outlineLevel="0" collapsed="false">
      <c r="B41" s="3" t="s">
        <v>126</v>
      </c>
    </row>
    <row r="42" customFormat="false" ht="15" hidden="false" customHeight="false" outlineLevel="0" collapsed="false">
      <c r="B42" s="0" t="s">
        <v>16</v>
      </c>
      <c r="C42" s="11" t="n">
        <f aca="false">-Inputs!$B$2</f>
        <v>-1078000</v>
      </c>
    </row>
    <row r="43" customFormat="false" ht="15" hidden="false" customHeight="false" outlineLevel="0" collapsed="false">
      <c r="B43" s="0" t="s">
        <v>127</v>
      </c>
      <c r="C43" s="11" t="n">
        <f aca="false">-Inputs!$B$2*Inputs!$B$3</f>
        <v>-21560</v>
      </c>
    </row>
    <row r="44" customFormat="false" ht="15" hidden="false" customHeight="false" outlineLevel="0" collapsed="false">
      <c r="B44" s="0" t="s">
        <v>128</v>
      </c>
      <c r="C44" s="11" t="n">
        <f aca="false">-Inputs!$B$52*Inputs!$B$4</f>
        <v>-8085</v>
      </c>
    </row>
    <row r="45" customFormat="false" ht="15" hidden="false" customHeight="false" outlineLevel="0" collapsed="false">
      <c r="B45" s="0" t="s">
        <v>129</v>
      </c>
      <c r="C45" s="11" t="n">
        <f aca="false">Inputs!$B$52</f>
        <v>808500</v>
      </c>
    </row>
    <row r="46" customFormat="false" ht="15" hidden="false" customHeight="false" outlineLevel="0" collapsed="false">
      <c r="B46" s="0" t="s">
        <v>130</v>
      </c>
      <c r="D46" s="11" t="n">
        <f aca="false">IF(D$2=Inputs!$B$40,E25/Inputs!$B$41,0)</f>
        <v>0</v>
      </c>
      <c r="E46" s="11" t="n">
        <f aca="false">IF(E$2=Inputs!$B$40,F25/Inputs!$B$41,0)</f>
        <v>0</v>
      </c>
      <c r="F46" s="11" t="n">
        <f aca="false">IF(F$2=Inputs!$B$40,G25/Inputs!$B$41,0)</f>
        <v>0</v>
      </c>
      <c r="G46" s="11" t="n">
        <f aca="false">IF(G$2=Inputs!$B$40,H25/Inputs!$B$41,0)</f>
        <v>0</v>
      </c>
      <c r="H46" s="11" t="n">
        <f aca="false">IF(H$2=Inputs!$B$40,I25/Inputs!$B$41,0)</f>
        <v>943668.533231826</v>
      </c>
      <c r="I46" s="11" t="n">
        <f aca="false">IF(I$2=Inputs!$B$40,J25/Inputs!$B$41,0)</f>
        <v>0</v>
      </c>
      <c r="J46" s="11" t="n">
        <f aca="false">IF(J$2=Inputs!$B$40,K25/Inputs!$B$41,0)</f>
        <v>0</v>
      </c>
      <c r="K46" s="11" t="n">
        <f aca="false">IF(K$2=Inputs!$B$40,L25/Inputs!$B$41,0)</f>
        <v>0</v>
      </c>
      <c r="L46" s="11" t="n">
        <f aca="false">IF(L$2=Inputs!$B$40,M25/Inputs!$B$41,0)</f>
        <v>0</v>
      </c>
      <c r="M46" s="11" t="n">
        <f aca="false">IF(M$2=Inputs!$B$40,N25/Inputs!$B$41,0)</f>
        <v>0</v>
      </c>
    </row>
    <row r="47" customFormat="false" ht="15" hidden="false" customHeight="false" outlineLevel="0" collapsed="false">
      <c r="B47" s="0" t="s">
        <v>131</v>
      </c>
      <c r="D47" s="11" t="n">
        <f aca="false">-D46*Inputs!$B$42</f>
        <v>-0</v>
      </c>
      <c r="E47" s="11" t="n">
        <f aca="false">-E46*Inputs!$B$42</f>
        <v>-0</v>
      </c>
      <c r="F47" s="11" t="n">
        <f aca="false">-F46*Inputs!$B$42</f>
        <v>-0</v>
      </c>
      <c r="G47" s="11" t="n">
        <f aca="false">-G46*Inputs!$B$42</f>
        <v>-0</v>
      </c>
      <c r="H47" s="11" t="n">
        <f aca="false">-H46*Inputs!$B$42</f>
        <v>-28310.0559969548</v>
      </c>
      <c r="I47" s="11" t="n">
        <f aca="false">-I46*Inputs!$B$42</f>
        <v>-0</v>
      </c>
      <c r="J47" s="11" t="n">
        <f aca="false">-J46*Inputs!$B$42</f>
        <v>-0</v>
      </c>
      <c r="K47" s="11" t="n">
        <f aca="false">-K46*Inputs!$B$42</f>
        <v>-0</v>
      </c>
      <c r="L47" s="11" t="n">
        <f aca="false">-L46*Inputs!$B$42</f>
        <v>-0</v>
      </c>
      <c r="M47" s="11" t="n">
        <f aca="false">-M46*Inputs!$B$42</f>
        <v>-0</v>
      </c>
    </row>
    <row r="48" customFormat="false" ht="15" hidden="false" customHeight="false" outlineLevel="0" collapsed="false">
      <c r="B48" s="0" t="s">
        <v>132</v>
      </c>
      <c r="D48" s="11" t="n">
        <f aca="false">IF(D$2=Inputs!$B$40,-D35,0)</f>
        <v>0</v>
      </c>
      <c r="E48" s="11" t="n">
        <f aca="false">IF(E$2=Inputs!$B$40,-E35,0)</f>
        <v>0</v>
      </c>
      <c r="F48" s="11" t="n">
        <f aca="false">IF(F$2=Inputs!$B$40,-F35,0)</f>
        <v>0</v>
      </c>
      <c r="G48" s="11" t="n">
        <f aca="false">IF(G$2=Inputs!$B$40,-G35,0)</f>
        <v>0</v>
      </c>
      <c r="H48" s="11" t="n">
        <f aca="false">IF(H$2=Inputs!$B$40,-H35,0)</f>
        <v>-734650.721183524</v>
      </c>
      <c r="I48" s="11" t="n">
        <f aca="false">IF(I$2=Inputs!$B$40,-I35,0)</f>
        <v>0</v>
      </c>
      <c r="J48" s="11" t="n">
        <f aca="false">IF(J$2=Inputs!$B$40,-J35,0)</f>
        <v>0</v>
      </c>
      <c r="K48" s="11" t="n">
        <f aca="false">IF(K$2=Inputs!$B$40,-K35,0)</f>
        <v>0</v>
      </c>
      <c r="L48" s="11" t="n">
        <f aca="false">IF(L$2=Inputs!$B$40,-L35,0)</f>
        <v>0</v>
      </c>
      <c r="M48" s="11" t="n">
        <f aca="false">IF(M$2=Inputs!$B$40,-M35,0)</f>
        <v>0</v>
      </c>
    </row>
    <row r="49" customFormat="false" ht="15" hidden="false" customHeight="false" outlineLevel="0" collapsed="false">
      <c r="B49" s="0" t="s">
        <v>133</v>
      </c>
      <c r="D49" s="11" t="n">
        <f aca="false">IF(AND(Inputs!$F$14&gt;0,D$2=Inputs!$F$14),Inputs!$F$27,0)</f>
        <v>0</v>
      </c>
      <c r="E49" s="11" t="n">
        <f aca="false">IF(AND(Inputs!$F$14&gt;0,E$2=Inputs!$F$14),Inputs!$F$27,0)</f>
        <v>0</v>
      </c>
      <c r="F49" s="11" t="n">
        <f aca="false">IF(AND(Inputs!$F$14&gt;0,F$2=Inputs!$F$14),Inputs!$F$27,0)</f>
        <v>0</v>
      </c>
      <c r="G49" s="11" t="n">
        <f aca="false">IF(AND(Inputs!$F$14&gt;0,G$2=Inputs!$F$14),Inputs!$F$27,0)</f>
        <v>0</v>
      </c>
      <c r="H49" s="11" t="n">
        <f aca="false">IF(AND(Inputs!$F$14&gt;0,H$2=Inputs!$F$14),Inputs!$F$27,0)</f>
        <v>0</v>
      </c>
      <c r="I49" s="11" t="n">
        <f aca="false">IF(AND(Inputs!$F$14&gt;0,I$2=Inputs!$F$14),Inputs!$F$27,0)</f>
        <v>0</v>
      </c>
      <c r="J49" s="11" t="n">
        <f aca="false">IF(AND(Inputs!$F$14&gt;0,J$2=Inputs!$F$14),Inputs!$F$27,0)</f>
        <v>0</v>
      </c>
      <c r="K49" s="11" t="n">
        <f aca="false">IF(AND(Inputs!$F$14&gt;0,K$2=Inputs!$F$14),Inputs!$F$27,0)</f>
        <v>0</v>
      </c>
      <c r="L49" s="11" t="n">
        <f aca="false">IF(AND(Inputs!$F$14&gt;0,L$2=Inputs!$F$14),Inputs!$F$27,0)</f>
        <v>0</v>
      </c>
      <c r="M49" s="11" t="n">
        <f aca="false">IF(AND(Inputs!$F$14&gt;0,M$2=Inputs!$F$14),Inputs!$F$27,0)</f>
        <v>0</v>
      </c>
      <c r="N49" s="11" t="n">
        <f aca="false">IF(AND(Inputs!$F$14&gt;0,N$2=Inputs!$F$14),Inputs!$F$27,0)</f>
        <v>0</v>
      </c>
    </row>
    <row r="50" customFormat="false" ht="15" hidden="false" customHeight="false" outlineLevel="0" collapsed="false">
      <c r="B50" s="3" t="s">
        <v>134</v>
      </c>
      <c r="C50" s="18" t="n">
        <f aca="false">C42+C43+C52</f>
        <v>-1099560</v>
      </c>
      <c r="D50" s="18" t="n">
        <f aca="false">IF(D$2&lt;=Inputs!$B$40,D28,0)+D46+D47</f>
        <v>123222</v>
      </c>
      <c r="E50" s="18" t="n">
        <f aca="false">IF(E$2&lt;=Inputs!$B$40,E28,0)+E46+E47</f>
        <v>125368.485</v>
      </c>
      <c r="F50" s="18" t="n">
        <f aca="false">IF(F$2&lt;=Inputs!$B$40,F28,0)+F46+F47</f>
        <v>127549.950825</v>
      </c>
      <c r="G50" s="18" t="n">
        <f aca="false">IF(G$2&lt;=Inputs!$B$40,G28,0)+G46+G47</f>
        <v>129766.898369625</v>
      </c>
      <c r="H50" s="18" t="n">
        <f aca="false">IF(H$2&lt;=Inputs!$B$40,H28,0)+H46+H47</f>
        <v>1047378.31081322</v>
      </c>
      <c r="I50" s="18" t="n">
        <f aca="false">IF(I$2&lt;=Inputs!$B$40,I28,0)+I46+I47</f>
        <v>0</v>
      </c>
      <c r="J50" s="18" t="n">
        <f aca="false">IF(J$2&lt;=Inputs!$B$40,J28,0)+J46+J47</f>
        <v>0</v>
      </c>
      <c r="K50" s="18" t="n">
        <f aca="false">IF(K$2&lt;=Inputs!$B$40,K28,0)+K46+K47</f>
        <v>0</v>
      </c>
      <c r="L50" s="18" t="n">
        <f aca="false">IF(L$2&lt;=Inputs!$B$40,L28,0)+L46+L47</f>
        <v>0</v>
      </c>
      <c r="M50" s="18" t="n">
        <f aca="false">IF(M$2&lt;=Inputs!$B$40,M28,0)+M46+M47</f>
        <v>0</v>
      </c>
      <c r="N50" s="18" t="n">
        <f aca="false">IF(N$2&lt;=Inputs!$B$40,N28,0)+0</f>
        <v>0</v>
      </c>
    </row>
    <row r="51" customFormat="false" ht="15" hidden="false" customHeight="false" outlineLevel="0" collapsed="false">
      <c r="B51" s="3" t="s">
        <v>135</v>
      </c>
      <c r="C51" s="18" t="n">
        <f aca="false">C42+C43+C44+C45+C52</f>
        <v>-299145</v>
      </c>
      <c r="D51" s="18" t="n">
        <f aca="false">IF(D$2&lt;=Inputs!$B$40,D37,0)+D46+D47+D48+D49</f>
        <v>56189.763823869</v>
      </c>
      <c r="E51" s="18" t="n">
        <f aca="false">IF(E$2&lt;=Inputs!$B$40,E37,0)+E46+E47+E48+E49</f>
        <v>58336.248823869</v>
      </c>
      <c r="F51" s="18" t="n">
        <f aca="false">IF(F$2&lt;=Inputs!$B$40,F37,0)+F46+F47+F48+F49</f>
        <v>60517.714648869</v>
      </c>
      <c r="G51" s="18" t="n">
        <f aca="false">IF(G$2&lt;=Inputs!$B$40,G37,0)+G46+G47+G48+G49</f>
        <v>62734.662193494</v>
      </c>
      <c r="H51" s="18" t="n">
        <f aca="false">IF(H$2&lt;=Inputs!$B$40,H37,0)+H46+H47+H48+H49</f>
        <v>245695.353453562</v>
      </c>
      <c r="I51" s="18" t="n">
        <f aca="false">IF(I$2&lt;=Inputs!$B$40,I37,0)+I46+I47+I48+I49</f>
        <v>0</v>
      </c>
      <c r="J51" s="18" t="n">
        <f aca="false">IF(J$2&lt;=Inputs!$B$40,J37,0)+J46+J47+J48+J49</f>
        <v>0</v>
      </c>
      <c r="K51" s="18" t="n">
        <f aca="false">IF(K$2&lt;=Inputs!$B$40,K37,0)+K46+K47+K48+K49</f>
        <v>0</v>
      </c>
      <c r="L51" s="18" t="n">
        <f aca="false">IF(L$2&lt;=Inputs!$B$40,L37,0)+L46+L47+L48+L49</f>
        <v>0</v>
      </c>
      <c r="M51" s="18" t="n">
        <f aca="false">IF(M$2&lt;=Inputs!$B$40,M37,0)+M46+M47+M48+M49</f>
        <v>0</v>
      </c>
      <c r="N51" s="18" t="n">
        <f aca="false">IF(N$2&lt;=Inputs!$B$40,N37,0)+0+0+N49</f>
        <v>0</v>
      </c>
    </row>
    <row r="52" customFormat="false" ht="15" hidden="false" customHeight="false" outlineLevel="0" collapsed="false">
      <c r="B52" s="0" t="s">
        <v>136</v>
      </c>
      <c r="C52" s="11" t="n">
        <f aca="false">-Inputs!$F$38</f>
        <v>-0</v>
      </c>
    </row>
    <row r="53" customFormat="false" ht="15" hidden="false" customHeight="false" outlineLevel="0" collapsed="false">
      <c r="B53" s="3" t="s">
        <v>137</v>
      </c>
    </row>
    <row r="54" customFormat="false" ht="15" hidden="false" customHeight="false" outlineLevel="0" collapsed="false">
      <c r="B54" s="0" t="s">
        <v>138</v>
      </c>
      <c r="C54" s="20" t="n">
        <f aca="false">IFERROR(IRR(C50:N50,0.1),"")</f>
        <v>0.0875708793589494</v>
      </c>
    </row>
    <row r="55" customFormat="false" ht="15" hidden="false" customHeight="false" outlineLevel="0" collapsed="false">
      <c r="B55" s="0" t="s">
        <v>139</v>
      </c>
      <c r="C55" s="25" t="n">
        <f aca="false">IFERROR(IRR(C51:N51,0.1),"")</f>
        <v>0.14068653021412</v>
      </c>
    </row>
    <row r="56" customFormat="false" ht="15" hidden="false" customHeight="false" outlineLevel="0" collapsed="false">
      <c r="B56" s="0" t="s">
        <v>140</v>
      </c>
      <c r="C56" s="26" t="n">
        <f aca="false">IFERROR(1+SUM(C51:N51)/(-C51),"")</f>
        <v>1.61618527116837</v>
      </c>
    </row>
    <row r="57" customFormat="false" ht="15" hidden="false" customHeight="false" outlineLevel="0" collapsed="false">
      <c r="B57" s="0" t="s">
        <v>141</v>
      </c>
      <c r="C57" s="11" t="n">
        <f aca="false">SUM(C51:N51)</f>
        <v>184328.742943663</v>
      </c>
    </row>
    <row r="58" customFormat="false" ht="15" hidden="false" customHeight="false" outlineLevel="0" collapsed="false">
      <c r="B58" s="0" t="s">
        <v>142</v>
      </c>
      <c r="C58" s="20" t="n">
        <f aca="false">IFERROR(AVERAGEIFS(D37:N37,D2:N2,"&lt;="&amp;Inputs!$B$40)/Inputs!$B$54,"")</f>
        <v>0.202420890800325</v>
      </c>
    </row>
    <row r="59" customFormat="false" ht="15" hidden="false" customHeight="false" outlineLevel="0" collapsed="false">
      <c r="B59" s="0" t="s">
        <v>143</v>
      </c>
      <c r="C59" s="27" t="n">
        <f aca="false">IFERROR(AVERAGEIFS(D25:N25,D2:N2,"&lt;="&amp;Inputs!$B$40)/AVERAGEIFS(D34:N34,D2:N2,"&lt;="&amp;Inputs!$B$40),"")</f>
        <v>2.0037155511518</v>
      </c>
    </row>
    <row r="61" customFormat="false" ht="15" hidden="false" customHeight="false" outlineLevel="0" collapsed="false">
      <c r="B61" s="3" t="s">
        <v>144</v>
      </c>
    </row>
    <row r="62" customFormat="false" ht="15" hidden="false" customHeight="false" outlineLevel="0" collapsed="false">
      <c r="B62" s="2" t="s">
        <v>145</v>
      </c>
      <c r="D62" s="28" t="n">
        <f aca="false">MIN(Inputs!$F$31,MAX(0,(D$2-Inputs!$F$36+1)*Inputs!$F$34))</f>
        <v>0</v>
      </c>
      <c r="E62" s="28" t="n">
        <f aca="false">MIN(Inputs!$F$31,MAX(0,(E$2-Inputs!$F$36+1)*Inputs!$F$34))</f>
        <v>0</v>
      </c>
      <c r="F62" s="28" t="n">
        <f aca="false">MIN(Inputs!$F$31,MAX(0,(F$2-Inputs!$F$36+1)*Inputs!$F$34))</f>
        <v>0</v>
      </c>
      <c r="G62" s="28" t="n">
        <f aca="false">MIN(Inputs!$F$31,MAX(0,(G$2-Inputs!$F$36+1)*Inputs!$F$34))</f>
        <v>0</v>
      </c>
      <c r="H62" s="28" t="n">
        <f aca="false">MIN(Inputs!$F$31,MAX(0,(H$2-Inputs!$F$36+1)*Inputs!$F$34))</f>
        <v>0</v>
      </c>
      <c r="I62" s="28" t="n">
        <f aca="false">MIN(Inputs!$F$31,MAX(0,(I$2-Inputs!$F$36+1)*Inputs!$F$34))</f>
        <v>0</v>
      </c>
      <c r="J62" s="28" t="n">
        <f aca="false">MIN(Inputs!$F$31,MAX(0,(J$2-Inputs!$F$36+1)*Inputs!$F$34))</f>
        <v>0</v>
      </c>
      <c r="K62" s="28" t="n">
        <f aca="false">MIN(Inputs!$F$31,MAX(0,(K$2-Inputs!$F$36+1)*Inputs!$F$34))</f>
        <v>0</v>
      </c>
      <c r="L62" s="28" t="n">
        <f aca="false">MIN(Inputs!$F$31,MAX(0,(L$2-Inputs!$F$36+1)*Inputs!$F$34))</f>
        <v>0</v>
      </c>
      <c r="M62" s="28" t="n">
        <f aca="false">MIN(Inputs!$F$31,MAX(0,(M$2-Inputs!$F$36+1)*Inputs!$F$34))</f>
        <v>0</v>
      </c>
      <c r="N62" s="28" t="n">
        <f aca="false">MIN(Inputs!$F$31,MAX(0,(N$2-Inputs!$F$36+1)*Inputs!$F$34))</f>
        <v>0</v>
      </c>
    </row>
    <row r="63" customFormat="false" ht="15" hidden="false" customHeight="false" outlineLevel="0" collapsed="false">
      <c r="B63" s="2" t="s">
        <v>146</v>
      </c>
      <c r="D63" s="22" t="n">
        <f aca="false">MIN(Inputs!$F$31,MAX(0,(D$2-Inputs!$F$36+1)*Inputs!$F$34))*Inputs!$F$33*12*(1+Inputs!$B$13)^(D$2-1)</f>
        <v>0</v>
      </c>
      <c r="E63" s="22" t="n">
        <f aca="false">MIN(Inputs!$F$31,MAX(0,(E$2-Inputs!$F$36+1)*Inputs!$F$34))*Inputs!$F$33*12*(1+Inputs!$B$13)^(E$2-1)</f>
        <v>0</v>
      </c>
      <c r="F63" s="22" t="n">
        <f aca="false">MIN(Inputs!$F$31,MAX(0,(F$2-Inputs!$F$36+1)*Inputs!$F$34))*Inputs!$F$33*12*(1+Inputs!$B$13)^(F$2-1)</f>
        <v>0</v>
      </c>
      <c r="G63" s="22" t="n">
        <f aca="false">MIN(Inputs!$F$31,MAX(0,(G$2-Inputs!$F$36+1)*Inputs!$F$34))*Inputs!$F$33*12*(1+Inputs!$B$13)^(G$2-1)</f>
        <v>0</v>
      </c>
      <c r="H63" s="22" t="n">
        <f aca="false">MIN(Inputs!$F$31,MAX(0,(H$2-Inputs!$F$36+1)*Inputs!$F$34))*Inputs!$F$33*12*(1+Inputs!$B$13)^(H$2-1)</f>
        <v>0</v>
      </c>
      <c r="I63" s="22" t="n">
        <f aca="false">MIN(Inputs!$F$31,MAX(0,(I$2-Inputs!$F$36+1)*Inputs!$F$34))*Inputs!$F$33*12*(1+Inputs!$B$13)^(I$2-1)</f>
        <v>0</v>
      </c>
      <c r="J63" s="22" t="n">
        <f aca="false">MIN(Inputs!$F$31,MAX(0,(J$2-Inputs!$F$36+1)*Inputs!$F$34))*Inputs!$F$33*12*(1+Inputs!$B$13)^(J$2-1)</f>
        <v>0</v>
      </c>
      <c r="K63" s="22" t="n">
        <f aca="false">MIN(Inputs!$F$31,MAX(0,(K$2-Inputs!$F$36+1)*Inputs!$F$34))*Inputs!$F$33*12*(1+Inputs!$B$13)^(K$2-1)</f>
        <v>0</v>
      </c>
      <c r="L63" s="22" t="n">
        <f aca="false">MIN(Inputs!$F$31,MAX(0,(L$2-Inputs!$F$36+1)*Inputs!$F$34))*Inputs!$F$33*12*(1+Inputs!$B$13)^(L$2-1)</f>
        <v>0</v>
      </c>
      <c r="M63" s="22" t="n">
        <f aca="false">MIN(Inputs!$F$31,MAX(0,(M$2-Inputs!$F$36+1)*Inputs!$F$34))*Inputs!$F$33*12*(1+Inputs!$B$13)^(M$2-1)</f>
        <v>0</v>
      </c>
      <c r="N63" s="22" t="n">
        <f aca="false">MIN(Inputs!$F$31,MAX(0,(N$2-Inputs!$F$36+1)*Inputs!$F$34))*Inputs!$F$33*12*(1+Inputs!$B$13)^(N$2-1)</f>
        <v>0</v>
      </c>
    </row>
    <row r="64" customFormat="false" ht="15" hidden="false" customHeight="false" outlineLevel="0" collapsed="false">
      <c r="B64" s="2" t="s">
        <v>147</v>
      </c>
      <c r="D64" s="22" t="n">
        <f aca="false">-(MIN(Inputs!$F$31,MAX(0,(D$2-Inputs!$F$36+1)*Inputs!$F$34))-MIN(Inputs!$F$31,MAX(0,(D$2-Inputs!$F$36)*Inputs!$F$34)))*Inputs!$F$35*Inputs!$H$11*(1+Inputs!$B$13)^(D$2-1)</f>
        <v>-0</v>
      </c>
      <c r="E64" s="22" t="n">
        <f aca="false">-(MIN(Inputs!$F$31,MAX(0,(E$2-Inputs!$F$36+1)*Inputs!$F$34))-MIN(Inputs!$F$31,MAX(0,(E$2-Inputs!$F$36)*Inputs!$F$34)))*Inputs!$F$35*Inputs!$H$11*(1+Inputs!$B$13)^(E$2-1)</f>
        <v>-0</v>
      </c>
      <c r="F64" s="22" t="n">
        <f aca="false">-(MIN(Inputs!$F$31,MAX(0,(F$2-Inputs!$F$36+1)*Inputs!$F$34))-MIN(Inputs!$F$31,MAX(0,(F$2-Inputs!$F$36)*Inputs!$F$34)))*Inputs!$F$35*Inputs!$H$11*(1+Inputs!$B$13)^(F$2-1)</f>
        <v>-0</v>
      </c>
      <c r="G64" s="22" t="n">
        <f aca="false">-(MIN(Inputs!$F$31,MAX(0,(G$2-Inputs!$F$36+1)*Inputs!$F$34))-MIN(Inputs!$F$31,MAX(0,(G$2-Inputs!$F$36)*Inputs!$F$34)))*Inputs!$F$35*Inputs!$H$11*(1+Inputs!$B$13)^(G$2-1)</f>
        <v>-0</v>
      </c>
      <c r="H64" s="22" t="n">
        <f aca="false">-(MIN(Inputs!$F$31,MAX(0,(H$2-Inputs!$F$36+1)*Inputs!$F$34))-MIN(Inputs!$F$31,MAX(0,(H$2-Inputs!$F$36)*Inputs!$F$34)))*Inputs!$F$35*Inputs!$H$11*(1+Inputs!$B$13)^(H$2-1)</f>
        <v>-0</v>
      </c>
      <c r="I64" s="22" t="n">
        <f aca="false">-(MIN(Inputs!$F$31,MAX(0,(I$2-Inputs!$F$36+1)*Inputs!$F$34))-MIN(Inputs!$F$31,MAX(0,(I$2-Inputs!$F$36)*Inputs!$F$34)))*Inputs!$F$35*Inputs!$H$11*(1+Inputs!$B$13)^(I$2-1)</f>
        <v>-0</v>
      </c>
      <c r="J64" s="22" t="n">
        <f aca="false">-(MIN(Inputs!$F$31,MAX(0,(J$2-Inputs!$F$36+1)*Inputs!$F$34))-MIN(Inputs!$F$31,MAX(0,(J$2-Inputs!$F$36)*Inputs!$F$34)))*Inputs!$F$35*Inputs!$H$11*(1+Inputs!$B$13)^(J$2-1)</f>
        <v>-0</v>
      </c>
      <c r="K64" s="22" t="n">
        <f aca="false">-(MIN(Inputs!$F$31,MAX(0,(K$2-Inputs!$F$36+1)*Inputs!$F$34))-MIN(Inputs!$F$31,MAX(0,(K$2-Inputs!$F$36)*Inputs!$F$34)))*Inputs!$F$35*Inputs!$H$11*(1+Inputs!$B$13)^(K$2-1)</f>
        <v>-0</v>
      </c>
      <c r="L64" s="22" t="n">
        <f aca="false">-(MIN(Inputs!$F$31,MAX(0,(L$2-Inputs!$F$36+1)*Inputs!$F$34))-MIN(Inputs!$F$31,MAX(0,(L$2-Inputs!$F$36)*Inputs!$F$34)))*Inputs!$F$35*Inputs!$H$11*(1+Inputs!$B$13)^(L$2-1)</f>
        <v>-0</v>
      </c>
      <c r="M64" s="22" t="n">
        <f aca="false">-(MIN(Inputs!$F$31,MAX(0,(M$2-Inputs!$F$36+1)*Inputs!$F$34))-MIN(Inputs!$F$31,MAX(0,(M$2-Inputs!$F$36)*Inputs!$F$34)))*Inputs!$F$35*Inputs!$H$11*(1+Inputs!$B$13)^(M$2-1)</f>
        <v>-0</v>
      </c>
      <c r="N64" s="22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14" min="3" style="0" width="12"/>
  </cols>
  <sheetData>
    <row r="1" customFormat="false" ht="15" hidden="false" customHeight="false" outlineLevel="0" collapsed="false">
      <c r="A1" s="3" t="s">
        <v>148</v>
      </c>
    </row>
    <row r="2" customFormat="false" ht="15" hidden="false" customHeight="false" outlineLevel="0" collapsed="false">
      <c r="B2" s="0" t="s">
        <v>94</v>
      </c>
      <c r="C2" s="29" t="n">
        <f aca="false">Inputs!$B$55</f>
        <v>269230.5</v>
      </c>
    </row>
    <row r="3" customFormat="false" ht="15" hidden="false" customHeight="false" outlineLevel="0" collapsed="false">
      <c r="B3" s="0" t="s">
        <v>95</v>
      </c>
      <c r="C3" s="29" t="n">
        <f aca="false">Inputs!$B$56</f>
        <v>29914.5</v>
      </c>
    </row>
    <row r="5" customFormat="false" ht="15" hidden="false" customHeight="false" outlineLevel="0" collapsed="false">
      <c r="B5" s="3" t="s">
        <v>98</v>
      </c>
      <c r="C5" s="3" t="n">
        <f aca="false">'Annual CF'!C2</f>
        <v>0</v>
      </c>
      <c r="D5" s="3" t="n">
        <f aca="false">'Annual CF'!D2</f>
        <v>1</v>
      </c>
      <c r="E5" s="3" t="n">
        <f aca="false">'Annual CF'!E2</f>
        <v>2</v>
      </c>
      <c r="F5" s="3" t="n">
        <f aca="false">'Annual CF'!F2</f>
        <v>3</v>
      </c>
      <c r="G5" s="3" t="n">
        <f aca="false">'Annual CF'!G2</f>
        <v>4</v>
      </c>
      <c r="H5" s="3" t="n">
        <f aca="false">'Annual CF'!H2</f>
        <v>5</v>
      </c>
      <c r="I5" s="3" t="n">
        <f aca="false">'Annual CF'!I2</f>
        <v>6</v>
      </c>
      <c r="J5" s="3" t="n">
        <f aca="false">'Annual CF'!J2</f>
        <v>7</v>
      </c>
      <c r="K5" s="3" t="n">
        <f aca="false">'Annual CF'!K2</f>
        <v>8</v>
      </c>
      <c r="L5" s="3" t="n">
        <f aca="false">'Annual CF'!L2</f>
        <v>9</v>
      </c>
      <c r="M5" s="3" t="n">
        <f aca="false">'Annual CF'!M2</f>
        <v>10</v>
      </c>
      <c r="N5" s="3" t="n">
        <f aca="false">'Annual CF'!N2</f>
        <v>11</v>
      </c>
    </row>
    <row r="6" customFormat="false" ht="15" hidden="false" customHeight="false" outlineLevel="0" collapsed="false">
      <c r="B6" s="3" t="s">
        <v>149</v>
      </c>
      <c r="D6" s="18" t="n">
        <f aca="false">'Annual CF'!D51</f>
        <v>56189.763823869</v>
      </c>
      <c r="E6" s="18" t="n">
        <f aca="false">'Annual CF'!E51</f>
        <v>58336.248823869</v>
      </c>
      <c r="F6" s="18" t="n">
        <f aca="false">'Annual CF'!F51</f>
        <v>60517.714648869</v>
      </c>
      <c r="G6" s="18" t="n">
        <f aca="false">'Annual CF'!G51</f>
        <v>62734.662193494</v>
      </c>
      <c r="H6" s="18" t="n">
        <f aca="false">'Annual CF'!H51</f>
        <v>245695.353453562</v>
      </c>
      <c r="I6" s="18" t="n">
        <f aca="false">'Annual CF'!I51</f>
        <v>0</v>
      </c>
      <c r="J6" s="18" t="n">
        <f aca="false">'Annual CF'!J51</f>
        <v>0</v>
      </c>
      <c r="K6" s="18" t="n">
        <f aca="false">'Annual CF'!K51</f>
        <v>0</v>
      </c>
      <c r="L6" s="18" t="n">
        <f aca="false">'Annual CF'!L51</f>
        <v>0</v>
      </c>
      <c r="M6" s="18" t="n">
        <f aca="false">'Annual CF'!M51</f>
        <v>0</v>
      </c>
      <c r="N6" s="18" t="n">
        <f aca="false">'Annual CF'!N51</f>
        <v>0</v>
      </c>
    </row>
    <row r="8" customFormat="false" ht="15" hidden="false" customHeight="false" outlineLevel="0" collapsed="false">
      <c r="B8" s="3" t="s">
        <v>150</v>
      </c>
    </row>
    <row r="9" customFormat="false" ht="15" hidden="false" customHeight="false" outlineLevel="0" collapsed="false">
      <c r="B9" s="0" t="s">
        <v>151</v>
      </c>
      <c r="D9" s="11" t="n">
        <f aca="false">IF(D$5=1,0,C12)</f>
        <v>0</v>
      </c>
      <c r="E9" s="11" t="n">
        <f aca="false">IF(E$5=1,0,D12)</f>
        <v>0</v>
      </c>
      <c r="F9" s="11" t="n">
        <f aca="false">IF(F$5=1,0,E12)</f>
        <v>0</v>
      </c>
      <c r="G9" s="11" t="n">
        <f aca="false">IF(G$5=1,0,F12)</f>
        <v>0</v>
      </c>
      <c r="H9" s="11" t="n">
        <f aca="false">IF(H$5=1,0,G12)</f>
        <v>0</v>
      </c>
      <c r="I9" s="11" t="n">
        <f aca="false">IF(I$5=1,0,H12)</f>
        <v>0</v>
      </c>
      <c r="J9" s="11" t="n">
        <f aca="false">IF(J$5=1,0,I12)</f>
        <v>0</v>
      </c>
      <c r="K9" s="11" t="n">
        <f aca="false">IF(K$5=1,0,J12)</f>
        <v>0</v>
      </c>
      <c r="L9" s="11" t="n">
        <f aca="false">IF(L$5=1,0,K12)</f>
        <v>0</v>
      </c>
      <c r="M9" s="11" t="n">
        <f aca="false">IF(M$5=1,0,L12)</f>
        <v>0</v>
      </c>
      <c r="N9" s="11" t="n">
        <f aca="false">IF(N$5=1,0,M12)</f>
        <v>0</v>
      </c>
    </row>
    <row r="10" customFormat="false" ht="15" hidden="false" customHeight="false" outlineLevel="0" collapsed="false">
      <c r="B10" s="0" t="s">
        <v>152</v>
      </c>
      <c r="D10" s="11" t="n">
        <f aca="false">IF(D$5&lt;=Inputs!$B$40,D15*Inputs!$B$47,0)</f>
        <v>21538.44</v>
      </c>
      <c r="E10" s="11" t="n">
        <f aca="false">IF(E$5&lt;=Inputs!$B$40,E15*Inputs!$B$47,0)</f>
        <v>18766.3340940905</v>
      </c>
      <c r="F10" s="11" t="n">
        <f aca="false">IF(F$5&lt;=Inputs!$B$40,F15*Inputs!$B$47,0)</f>
        <v>15600.7409157082</v>
      </c>
      <c r="G10" s="11" t="n">
        <f aca="false">IF(G$5&lt;=Inputs!$B$40,G15*Inputs!$B$47,0)</f>
        <v>12007.3830170553</v>
      </c>
      <c r="H10" s="11" t="n">
        <f aca="false">IF(H$5&lt;=Inputs!$B$40,H15*Inputs!$B$47,0)</f>
        <v>7949.20068294024</v>
      </c>
      <c r="I10" s="11" t="n">
        <f aca="false">IF(I$5&lt;=Inputs!$B$40,I15*Inputs!$B$47,0)</f>
        <v>0</v>
      </c>
      <c r="J10" s="11" t="n">
        <f aca="false">IF(J$5&lt;=Inputs!$B$40,J15*Inputs!$B$47,0)</f>
        <v>0</v>
      </c>
      <c r="K10" s="11" t="n">
        <f aca="false">IF(K$5&lt;=Inputs!$B$40,K15*Inputs!$B$47,0)</f>
        <v>0</v>
      </c>
      <c r="L10" s="11" t="n">
        <f aca="false">IF(L$5&lt;=Inputs!$B$40,L15*Inputs!$B$47,0)</f>
        <v>0</v>
      </c>
      <c r="M10" s="11" t="n">
        <f aca="false">IF(M$5&lt;=Inputs!$B$40,M15*Inputs!$B$47,0)</f>
        <v>0</v>
      </c>
      <c r="N10" s="11" t="n">
        <f aca="false">IF(N$5&lt;=Inputs!$B$40,N15*Inputs!$B$47,0)</f>
        <v>0</v>
      </c>
    </row>
    <row r="11" customFormat="false" ht="15" hidden="false" customHeight="false" outlineLevel="0" collapsed="false">
      <c r="B11" s="0" t="s">
        <v>153</v>
      </c>
      <c r="D11" s="11" t="n">
        <f aca="false">MIN(MAX(D6,0),D9+D10)</f>
        <v>21538.44</v>
      </c>
      <c r="E11" s="11" t="n">
        <f aca="false">MIN(MAX(E6,0),E9+E10)</f>
        <v>18766.3340940905</v>
      </c>
      <c r="F11" s="11" t="n">
        <f aca="false">MIN(MAX(F6,0),F9+F10)</f>
        <v>15600.7409157082</v>
      </c>
      <c r="G11" s="11" t="n">
        <f aca="false">MIN(MAX(G6,0),G9+G10)</f>
        <v>12007.3830170553</v>
      </c>
      <c r="H11" s="11" t="n">
        <f aca="false">MIN(MAX(H6,0),H9+H10)</f>
        <v>7949.20068294024</v>
      </c>
      <c r="I11" s="11" t="n">
        <f aca="false">MIN(MAX(I6,0),I9+I10)</f>
        <v>0</v>
      </c>
      <c r="J11" s="11" t="n">
        <f aca="false">MIN(MAX(J6,0),J9+J10)</f>
        <v>0</v>
      </c>
      <c r="K11" s="11" t="n">
        <f aca="false">MIN(MAX(K6,0),K9+K10)</f>
        <v>0</v>
      </c>
      <c r="L11" s="11" t="n">
        <f aca="false">MIN(MAX(L6,0),L9+L10)</f>
        <v>0</v>
      </c>
      <c r="M11" s="11" t="n">
        <f aca="false">MIN(MAX(M6,0),M9+M10)</f>
        <v>0</v>
      </c>
      <c r="N11" s="11" t="n">
        <f aca="false">MIN(MAX(N6,0),N9+N10)</f>
        <v>0</v>
      </c>
    </row>
    <row r="12" customFormat="false" ht="15" hidden="false" customHeight="false" outlineLevel="0" collapsed="false">
      <c r="B12" s="0" t="s">
        <v>154</v>
      </c>
      <c r="D12" s="11" t="n">
        <f aca="false">D9+D10-D11</f>
        <v>0</v>
      </c>
      <c r="E12" s="11" t="n">
        <f aca="false">E9+E10-E11</f>
        <v>0</v>
      </c>
      <c r="F12" s="11" t="n">
        <f aca="false">F9+F10-F11</f>
        <v>0</v>
      </c>
      <c r="G12" s="11" t="n">
        <f aca="false">G9+G10-G11</f>
        <v>0</v>
      </c>
      <c r="H12" s="11" t="n">
        <f aca="false">H9+H10-H11</f>
        <v>0</v>
      </c>
      <c r="I12" s="11" t="n">
        <f aca="false">I9+I10-I11</f>
        <v>0</v>
      </c>
      <c r="J12" s="11" t="n">
        <f aca="false">J9+J10-J11</f>
        <v>0</v>
      </c>
      <c r="K12" s="11" t="n">
        <f aca="false">K9+K10-K11</f>
        <v>0</v>
      </c>
      <c r="L12" s="11" t="n">
        <f aca="false">L9+L10-L11</f>
        <v>0</v>
      </c>
      <c r="M12" s="11" t="n">
        <f aca="false">M9+M10-M11</f>
        <v>0</v>
      </c>
      <c r="N12" s="11" t="n">
        <f aca="false">N9+N10-N11</f>
        <v>0</v>
      </c>
    </row>
    <row r="14" customFormat="false" ht="15" hidden="false" customHeight="false" outlineLevel="0" collapsed="false">
      <c r="B14" s="3" t="s">
        <v>155</v>
      </c>
    </row>
    <row r="15" customFormat="false" ht="15" hidden="false" customHeight="false" outlineLevel="0" collapsed="false">
      <c r="B15" s="0" t="s">
        <v>156</v>
      </c>
      <c r="D15" s="11" t="n">
        <f aca="false">IF(D$5=1,$C$2,C17)</f>
        <v>269230.5</v>
      </c>
      <c r="E15" s="11" t="n">
        <f aca="false">IF(E$5=1,$C$2,D17)</f>
        <v>234579.176176131</v>
      </c>
      <c r="F15" s="11" t="n">
        <f aca="false">IF(F$5=1,$C$2,E17)</f>
        <v>195009.261446353</v>
      </c>
      <c r="G15" s="11" t="n">
        <f aca="false">IF(G$5=1,$C$2,F17)</f>
        <v>150092.287713192</v>
      </c>
      <c r="H15" s="11" t="n">
        <f aca="false">IF(H$5=1,$C$2,G17)</f>
        <v>99365.008536753</v>
      </c>
      <c r="I15" s="11" t="n">
        <f aca="false">IF(I$5=1,$C$2,H17)</f>
        <v>0</v>
      </c>
      <c r="J15" s="11" t="n">
        <f aca="false">IF(J$5=1,$C$2,I17)</f>
        <v>0</v>
      </c>
      <c r="K15" s="11" t="n">
        <f aca="false">IF(K$5=1,$C$2,J17)</f>
        <v>0</v>
      </c>
      <c r="L15" s="11" t="n">
        <f aca="false">IF(L$5=1,$C$2,K17)</f>
        <v>0</v>
      </c>
      <c r="M15" s="11" t="n">
        <f aca="false">IF(M$5=1,$C$2,L17)</f>
        <v>0</v>
      </c>
      <c r="N15" s="11" t="n">
        <f aca="false">IF(N$5=1,$C$2,M17)</f>
        <v>0</v>
      </c>
    </row>
    <row r="16" customFormat="false" ht="15" hidden="false" customHeight="false" outlineLevel="0" collapsed="false">
      <c r="B16" s="0" t="s">
        <v>157</v>
      </c>
      <c r="D16" s="11" t="n">
        <f aca="false">MIN(MAX(D6-D11,0),D15)</f>
        <v>34651.323823869</v>
      </c>
      <c r="E16" s="11" t="n">
        <f aca="false">MIN(MAX(E6-E11,0),E15)</f>
        <v>39569.9147297785</v>
      </c>
      <c r="F16" s="11" t="n">
        <f aca="false">MIN(MAX(F6-F11,0),F15)</f>
        <v>44916.9737331608</v>
      </c>
      <c r="G16" s="11" t="n">
        <f aca="false">MIN(MAX(G6-G11,0),G15)</f>
        <v>50727.2791764387</v>
      </c>
      <c r="H16" s="11" t="n">
        <f aca="false">MIN(MAX(H6-H11,0),H15)</f>
        <v>99365.008536753</v>
      </c>
      <c r="I16" s="11" t="n">
        <f aca="false">MIN(MAX(I6-I11,0),I15)</f>
        <v>0</v>
      </c>
      <c r="J16" s="11" t="n">
        <f aca="false">MIN(MAX(J6-J11,0),J15)</f>
        <v>0</v>
      </c>
      <c r="K16" s="11" t="n">
        <f aca="false">MIN(MAX(K6-K11,0),K15)</f>
        <v>0</v>
      </c>
      <c r="L16" s="11" t="n">
        <f aca="false">MIN(MAX(L6-L11,0),L15)</f>
        <v>0</v>
      </c>
      <c r="M16" s="11" t="n">
        <f aca="false">MIN(MAX(M6-M11,0),M15)</f>
        <v>0</v>
      </c>
      <c r="N16" s="11" t="n">
        <f aca="false">MIN(MAX(N6-N11,0),N15)</f>
        <v>0</v>
      </c>
    </row>
    <row r="17" customFormat="false" ht="15" hidden="false" customHeight="false" outlineLevel="0" collapsed="false">
      <c r="B17" s="0" t="s">
        <v>158</v>
      </c>
      <c r="D17" s="11" t="n">
        <f aca="false">D15-D16</f>
        <v>234579.176176131</v>
      </c>
      <c r="E17" s="11" t="n">
        <f aca="false">E15-E16</f>
        <v>195009.261446353</v>
      </c>
      <c r="F17" s="11" t="n">
        <f aca="false">F15-F16</f>
        <v>150092.287713192</v>
      </c>
      <c r="G17" s="11" t="n">
        <f aca="false">G15-G16</f>
        <v>99365.008536753</v>
      </c>
      <c r="H17" s="11" t="n">
        <f aca="false">H15-H16</f>
        <v>0</v>
      </c>
      <c r="I17" s="11" t="n">
        <f aca="false">I15-I16</f>
        <v>0</v>
      </c>
      <c r="J17" s="11" t="n">
        <f aca="false">J15-J16</f>
        <v>0</v>
      </c>
      <c r="K17" s="11" t="n">
        <f aca="false">K15-K16</f>
        <v>0</v>
      </c>
      <c r="L17" s="11" t="n">
        <f aca="false">L15-L16</f>
        <v>0</v>
      </c>
      <c r="M17" s="11" t="n">
        <f aca="false">M15-M16</f>
        <v>0</v>
      </c>
      <c r="N17" s="11" t="n">
        <f aca="false">N15-N16</f>
        <v>0</v>
      </c>
    </row>
    <row r="18" customFormat="false" ht="15" hidden="false" customHeight="false" outlineLevel="0" collapsed="false">
      <c r="B18" s="0" t="s">
        <v>159</v>
      </c>
      <c r="D18" s="11" t="n">
        <f aca="false">IF(D$5=1,$C$3,C20)</f>
        <v>29914.5</v>
      </c>
      <c r="E18" s="11" t="n">
        <f aca="false">IF(E$5=1,$C$3,D20)</f>
        <v>29914.5</v>
      </c>
      <c r="F18" s="11" t="n">
        <f aca="false">IF(F$5=1,$C$3,E20)</f>
        <v>29914.5</v>
      </c>
      <c r="G18" s="11" t="n">
        <f aca="false">IF(G$5=1,$C$3,F20)</f>
        <v>29914.5</v>
      </c>
      <c r="H18" s="11" t="n">
        <f aca="false">IF(H$5=1,$C$3,G20)</f>
        <v>29914.5</v>
      </c>
      <c r="I18" s="11" t="n">
        <f aca="false">IF(I$5=1,$C$3,H20)</f>
        <v>0</v>
      </c>
      <c r="J18" s="11" t="n">
        <f aca="false">IF(J$5=1,$C$3,I20)</f>
        <v>0</v>
      </c>
      <c r="K18" s="11" t="n">
        <f aca="false">IF(K$5=1,$C$3,J20)</f>
        <v>0</v>
      </c>
      <c r="L18" s="11" t="n">
        <f aca="false">IF(L$5=1,$C$3,K20)</f>
        <v>0</v>
      </c>
      <c r="M18" s="11" t="n">
        <f aca="false">IF(M$5=1,$C$3,L20)</f>
        <v>0</v>
      </c>
      <c r="N18" s="11" t="n">
        <f aca="false">IF(N$5=1,$C$3,M20)</f>
        <v>0</v>
      </c>
    </row>
    <row r="19" customFormat="false" ht="15" hidden="false" customHeight="false" outlineLevel="0" collapsed="false">
      <c r="B19" s="0" t="s">
        <v>160</v>
      </c>
      <c r="D19" s="11" t="n">
        <f aca="false">MIN(MAX(D6-D11-D16,0),D18)</f>
        <v>0</v>
      </c>
      <c r="E19" s="11" t="n">
        <f aca="false">MIN(MAX(E6-E11-E16,0),E18)</f>
        <v>0</v>
      </c>
      <c r="F19" s="11" t="n">
        <f aca="false">MIN(MAX(F6-F11-F16,0),F18)</f>
        <v>0</v>
      </c>
      <c r="G19" s="11" t="n">
        <f aca="false">MIN(MAX(G6-G11-G16,0),G18)</f>
        <v>0</v>
      </c>
      <c r="H19" s="11" t="n">
        <f aca="false">MIN(MAX(H6-H11-H16,0),H18)</f>
        <v>29914.5</v>
      </c>
      <c r="I19" s="11" t="n">
        <f aca="false">MIN(MAX(I6-I11-I16,0),I18)</f>
        <v>0</v>
      </c>
      <c r="J19" s="11" t="n">
        <f aca="false">MIN(MAX(J6-J11-J16,0),J18)</f>
        <v>0</v>
      </c>
      <c r="K19" s="11" t="n">
        <f aca="false">MIN(MAX(K6-K11-K16,0),K18)</f>
        <v>0</v>
      </c>
      <c r="L19" s="11" t="n">
        <f aca="false">MIN(MAX(L6-L11-L16,0),L18)</f>
        <v>0</v>
      </c>
      <c r="M19" s="11" t="n">
        <f aca="false">MIN(MAX(M6-M11-M16,0),M18)</f>
        <v>0</v>
      </c>
      <c r="N19" s="11" t="n">
        <f aca="false">MIN(MAX(N6-N11-N16,0),N18)</f>
        <v>0</v>
      </c>
    </row>
    <row r="20" customFormat="false" ht="15" hidden="false" customHeight="false" outlineLevel="0" collapsed="false">
      <c r="B20" s="0" t="s">
        <v>161</v>
      </c>
      <c r="D20" s="11" t="n">
        <f aca="false">D18-D19</f>
        <v>29914.5</v>
      </c>
      <c r="E20" s="11" t="n">
        <f aca="false">E18-E19</f>
        <v>29914.5</v>
      </c>
      <c r="F20" s="11" t="n">
        <f aca="false">F18-F19</f>
        <v>29914.5</v>
      </c>
      <c r="G20" s="11" t="n">
        <f aca="false">G18-G19</f>
        <v>29914.5</v>
      </c>
      <c r="H20" s="11" t="n">
        <f aca="false">H18-H19</f>
        <v>0</v>
      </c>
      <c r="I20" s="11" t="n">
        <f aca="false">I18-I19</f>
        <v>0</v>
      </c>
      <c r="J20" s="11" t="n">
        <f aca="false">J18-J19</f>
        <v>0</v>
      </c>
      <c r="K20" s="11" t="n">
        <f aca="false">K18-K19</f>
        <v>0</v>
      </c>
      <c r="L20" s="11" t="n">
        <f aca="false">L18-L19</f>
        <v>0</v>
      </c>
      <c r="M20" s="11" t="n">
        <f aca="false">M18-M19</f>
        <v>0</v>
      </c>
      <c r="N20" s="11" t="n">
        <f aca="false">N18-N19</f>
        <v>0</v>
      </c>
    </row>
    <row r="22" customFormat="false" ht="15" hidden="false" customHeight="false" outlineLevel="0" collapsed="false">
      <c r="B22" s="3" t="s">
        <v>162</v>
      </c>
    </row>
    <row r="23" customFormat="false" ht="15" hidden="false" customHeight="false" outlineLevel="0" collapsed="false">
      <c r="B23" s="0" t="s">
        <v>163</v>
      </c>
      <c r="D23" s="11" t="n">
        <f aca="false">MAX(D6-D11-D16-D19,0)</f>
        <v>0</v>
      </c>
      <c r="E23" s="11" t="n">
        <f aca="false">MAX(E6-E11-E16-E19,0)</f>
        <v>0</v>
      </c>
      <c r="F23" s="11" t="n">
        <f aca="false">MAX(F6-F11-F16-F19,0)</f>
        <v>0</v>
      </c>
      <c r="G23" s="11" t="n">
        <f aca="false">MAX(G6-G11-G16-G19,0)</f>
        <v>0</v>
      </c>
      <c r="H23" s="11" t="n">
        <f aca="false">MAX(H6-H11-H16-H19,0)</f>
        <v>108466.644233869</v>
      </c>
      <c r="I23" s="11" t="n">
        <f aca="false">MAX(I6-I11-I16-I19,0)</f>
        <v>0</v>
      </c>
      <c r="J23" s="11" t="n">
        <f aca="false">MAX(J6-J11-J16-J19,0)</f>
        <v>0</v>
      </c>
      <c r="K23" s="11" t="n">
        <f aca="false">MAX(K6-K11-K16-K19,0)</f>
        <v>0</v>
      </c>
      <c r="L23" s="11" t="n">
        <f aca="false">MAX(L6-L11-L16-L19,0)</f>
        <v>0</v>
      </c>
      <c r="M23" s="11" t="n">
        <f aca="false">MAX(M6-M11-M16-M19,0)</f>
        <v>0</v>
      </c>
      <c r="N23" s="11" t="n">
        <f aca="false">MAX(N6-N11-N16-N19,0)</f>
        <v>0</v>
      </c>
    </row>
    <row r="24" customFormat="false" ht="15" hidden="false" customHeight="false" outlineLevel="0" collapsed="false">
      <c r="B24" s="0" t="s">
        <v>164</v>
      </c>
      <c r="D24" s="11" t="n">
        <f aca="false">D23*Inputs!$B$48</f>
        <v>0</v>
      </c>
      <c r="E24" s="11" t="n">
        <f aca="false">E23*Inputs!$B$48</f>
        <v>0</v>
      </c>
      <c r="F24" s="11" t="n">
        <f aca="false">F23*Inputs!$B$48</f>
        <v>0</v>
      </c>
      <c r="G24" s="11" t="n">
        <f aca="false">G23*Inputs!$B$48</f>
        <v>0</v>
      </c>
      <c r="H24" s="11" t="n">
        <f aca="false">H23*Inputs!$B$48</f>
        <v>75926.650963708</v>
      </c>
      <c r="I24" s="11" t="n">
        <f aca="false">I23*Inputs!$B$48</f>
        <v>0</v>
      </c>
      <c r="J24" s="11" t="n">
        <f aca="false">J23*Inputs!$B$48</f>
        <v>0</v>
      </c>
      <c r="K24" s="11" t="n">
        <f aca="false">K23*Inputs!$B$48</f>
        <v>0</v>
      </c>
      <c r="L24" s="11" t="n">
        <f aca="false">L23*Inputs!$B$48</f>
        <v>0</v>
      </c>
      <c r="M24" s="11" t="n">
        <f aca="false">M23*Inputs!$B$48</f>
        <v>0</v>
      </c>
      <c r="N24" s="11" t="n">
        <f aca="false">N23*Inputs!$B$48</f>
        <v>0</v>
      </c>
    </row>
    <row r="25" customFormat="false" ht="15" hidden="false" customHeight="false" outlineLevel="0" collapsed="false">
      <c r="B25" s="0" t="s">
        <v>165</v>
      </c>
      <c r="D25" s="11" t="n">
        <f aca="false">D23*Inputs!$B$49</f>
        <v>0</v>
      </c>
      <c r="E25" s="11" t="n">
        <f aca="false">E23*Inputs!$B$49</f>
        <v>0</v>
      </c>
      <c r="F25" s="11" t="n">
        <f aca="false">F23*Inputs!$B$49</f>
        <v>0</v>
      </c>
      <c r="G25" s="11" t="n">
        <f aca="false">G23*Inputs!$B$49</f>
        <v>0</v>
      </c>
      <c r="H25" s="11" t="n">
        <f aca="false">H23*Inputs!$B$49</f>
        <v>32539.9932701606</v>
      </c>
      <c r="I25" s="11" t="n">
        <f aca="false">I23*Inputs!$B$49</f>
        <v>0</v>
      </c>
      <c r="J25" s="11" t="n">
        <f aca="false">J23*Inputs!$B$49</f>
        <v>0</v>
      </c>
      <c r="K25" s="11" t="n">
        <f aca="false">K23*Inputs!$B$49</f>
        <v>0</v>
      </c>
      <c r="L25" s="11" t="n">
        <f aca="false">L23*Inputs!$B$49</f>
        <v>0</v>
      </c>
      <c r="M25" s="11" t="n">
        <f aca="false">M23*Inputs!$B$49</f>
        <v>0</v>
      </c>
      <c r="N25" s="11" t="n">
        <f aca="false">N23*Inputs!$B$49</f>
        <v>0</v>
      </c>
    </row>
    <row r="27" customFormat="false" ht="15" hidden="false" customHeight="false" outlineLevel="0" collapsed="false">
      <c r="B27" s="3" t="s">
        <v>166</v>
      </c>
      <c r="C27" s="11" t="n">
        <f aca="false">-$C$2</f>
        <v>-269230.5</v>
      </c>
      <c r="D27" s="11" t="n">
        <f aca="false">D11+D16+D24</f>
        <v>56189.763823869</v>
      </c>
      <c r="E27" s="11" t="n">
        <f aca="false">E11+E16+E24</f>
        <v>58336.248823869</v>
      </c>
      <c r="F27" s="11" t="n">
        <f aca="false">F11+F16+F24</f>
        <v>60517.714648869</v>
      </c>
      <c r="G27" s="11" t="n">
        <f aca="false">G11+G16+G24</f>
        <v>62734.662193494</v>
      </c>
      <c r="H27" s="11" t="n">
        <f aca="false">H11+H16+H24</f>
        <v>183240.860183401</v>
      </c>
      <c r="I27" s="11" t="n">
        <f aca="false">I11+I16+I24</f>
        <v>0</v>
      </c>
      <c r="J27" s="11" t="n">
        <f aca="false">J11+J16+J24</f>
        <v>0</v>
      </c>
      <c r="K27" s="11" t="n">
        <f aca="false">K11+K16+K24</f>
        <v>0</v>
      </c>
      <c r="L27" s="11" t="n">
        <f aca="false">L11+L16+L24</f>
        <v>0</v>
      </c>
      <c r="M27" s="11" t="n">
        <f aca="false">M11+M16+M24</f>
        <v>0</v>
      </c>
      <c r="N27" s="11" t="n">
        <f aca="false">N11+N16+N24</f>
        <v>0</v>
      </c>
    </row>
    <row r="28" customFormat="false" ht="15" hidden="false" customHeight="false" outlineLevel="0" collapsed="false">
      <c r="B28" s="3" t="s">
        <v>167</v>
      </c>
      <c r="C28" s="11" t="n">
        <f aca="false">-$C$3</f>
        <v>-29914.5</v>
      </c>
      <c r="D28" s="11" t="n">
        <f aca="false">D19+D25</f>
        <v>0</v>
      </c>
      <c r="E28" s="11" t="n">
        <f aca="false">E19+E25</f>
        <v>0</v>
      </c>
      <c r="F28" s="11" t="n">
        <f aca="false">F19+F25</f>
        <v>0</v>
      </c>
      <c r="G28" s="11" t="n">
        <f aca="false">G19+G25</f>
        <v>0</v>
      </c>
      <c r="H28" s="11" t="n">
        <f aca="false">H19+H25</f>
        <v>62454.4932701606</v>
      </c>
      <c r="I28" s="11" t="n">
        <f aca="false">I19+I25</f>
        <v>0</v>
      </c>
      <c r="J28" s="11" t="n">
        <f aca="false">J19+J25</f>
        <v>0</v>
      </c>
      <c r="K28" s="11" t="n">
        <f aca="false">K19+K25</f>
        <v>0</v>
      </c>
      <c r="L28" s="11" t="n">
        <f aca="false">L19+L25</f>
        <v>0</v>
      </c>
      <c r="M28" s="11" t="n">
        <f aca="false">M19+M25</f>
        <v>0</v>
      </c>
      <c r="N28" s="11" t="n">
        <f aca="false">N19+N25</f>
        <v>0</v>
      </c>
    </row>
    <row r="30" customFormat="false" ht="15" hidden="false" customHeight="false" outlineLevel="0" collapsed="false">
      <c r="B30" s="0" t="s">
        <v>168</v>
      </c>
      <c r="C30" s="25" t="n">
        <f aca="false">IFERROR(IRR(C27:N27,0.1),"")</f>
        <v>0.137578505871604</v>
      </c>
    </row>
    <row r="31" customFormat="false" ht="15" hidden="false" customHeight="false" outlineLevel="0" collapsed="false">
      <c r="B31" s="0" t="s">
        <v>169</v>
      </c>
      <c r="C31" s="26" t="n">
        <f aca="false">IFERROR(1+SUM(C27:N27)/$C$2,"")</f>
        <v>1.56378734828893</v>
      </c>
    </row>
    <row r="32" customFormat="false" ht="15" hidden="false" customHeight="false" outlineLevel="0" collapsed="false">
      <c r="B32" s="0" t="s">
        <v>170</v>
      </c>
      <c r="C32" s="11" t="n">
        <f aca="false">SUM(C27:N27)</f>
        <v>151788.749673502</v>
      </c>
    </row>
    <row r="33" customFormat="false" ht="15" hidden="false" customHeight="false" outlineLevel="0" collapsed="false">
      <c r="B33" s="0" t="s">
        <v>171</v>
      </c>
      <c r="C33" s="20" t="n">
        <f aca="false">IFERROR(IRR(C28:N28,0.1),"")</f>
        <v>0.158607640478826</v>
      </c>
    </row>
    <row r="34" customFormat="false" ht="15" hidden="false" customHeight="false" outlineLevel="0" collapsed="false">
      <c r="B34" s="0" t="s">
        <v>172</v>
      </c>
      <c r="C34" s="26" t="n">
        <f aca="false">IFERROR(1+SUM(C28:N28)/$C$3,"")</f>
        <v>2.08776657708337</v>
      </c>
    </row>
    <row r="35" customFormat="false" ht="15" hidden="false" customHeight="false" outlineLevel="0" collapsed="false">
      <c r="B35" s="0" t="s">
        <v>173</v>
      </c>
      <c r="C35" s="11" t="n">
        <f aca="false">SUM(C28:N28)</f>
        <v>32539.9932701606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3" t="s">
        <v>174</v>
      </c>
    </row>
    <row r="3" customFormat="false" ht="15" hidden="false" customHeight="false" outlineLevel="0" collapsed="false">
      <c r="A3" s="0" t="s">
        <v>175</v>
      </c>
      <c r="B3" s="11" t="n">
        <f aca="false">INDEX('Annual CF'!C25:N25,MATCH(Inputs!$B$40+1,'Annual CF'!C2:N2,0))</f>
        <v>141550.279984774</v>
      </c>
    </row>
    <row r="4" customFormat="false" ht="15" hidden="false" customHeight="false" outlineLevel="0" collapsed="false">
      <c r="A4" s="0" t="s">
        <v>176</v>
      </c>
      <c r="B4" s="11" t="n">
        <f aca="false">INDEX('Annual CF'!C35:N35,MATCH(Inputs!$B$40,'Annual CF'!C2:N2,0))</f>
        <v>734650.721183524</v>
      </c>
    </row>
    <row r="5" customFormat="false" ht="15" hidden="false" customHeight="false" outlineLevel="0" collapsed="false">
      <c r="A5" s="0" t="s">
        <v>177</v>
      </c>
      <c r="B5" s="11" t="n">
        <f aca="false">SUMIFS('Annual CF'!D37:N37,'Annual CF'!D2:N2,"&lt;="&amp;Inputs!$B$40)</f>
        <v>302765.986892316</v>
      </c>
    </row>
    <row r="6" customFormat="false" ht="15" hidden="false" customHeight="false" outlineLevel="0" collapsed="false">
      <c r="A6" s="0" t="s">
        <v>178</v>
      </c>
      <c r="B6" s="11" t="n">
        <f aca="false">Inputs!$B$54</f>
        <v>299145</v>
      </c>
    </row>
    <row r="8" customFormat="false" ht="15" hidden="false" customHeight="false" outlineLevel="0" collapsed="false">
      <c r="A8" s="5" t="s">
        <v>179</v>
      </c>
      <c r="B8" s="5" t="s">
        <v>180</v>
      </c>
      <c r="C8" s="5" t="s">
        <v>181</v>
      </c>
      <c r="D8" s="5" t="s">
        <v>141</v>
      </c>
      <c r="E8" s="5" t="s">
        <v>140</v>
      </c>
    </row>
    <row r="9" customFormat="false" ht="15" hidden="false" customHeight="false" outlineLevel="0" collapsed="false">
      <c r="A9" s="15" t="n">
        <v>0.05</v>
      </c>
      <c r="B9" s="11" t="n">
        <f aca="false">IFERROR($B$3/A9,0)</f>
        <v>2831005.59969548</v>
      </c>
      <c r="C9" s="11" t="n">
        <f aca="false">B9*(1-Inputs!$B$42)-$B$4</f>
        <v>2011424.71052109</v>
      </c>
      <c r="D9" s="11" t="n">
        <f aca="false">C9+$B$5-$B$6</f>
        <v>2015045.69741341</v>
      </c>
      <c r="E9" s="26" t="n">
        <f aca="false">IFERROR((C9+$B$5)/$B$6,0)</f>
        <v>7.73601663879859</v>
      </c>
    </row>
    <row r="10" customFormat="false" ht="15" hidden="false" customHeight="false" outlineLevel="0" collapsed="false">
      <c r="A10" s="15" t="n">
        <v>0.0525</v>
      </c>
      <c r="B10" s="11" t="n">
        <f aca="false">IFERROR($B$3/A10,0)</f>
        <v>2696195.80923379</v>
      </c>
      <c r="C10" s="11" t="n">
        <f aca="false">B10*(1-Inputs!$B$42)-$B$4</f>
        <v>1880659.21377325</v>
      </c>
      <c r="D10" s="11" t="n">
        <f aca="false">C10+$B$5-$B$6</f>
        <v>1884280.20066557</v>
      </c>
      <c r="E10" s="26" t="n">
        <f aca="false">IFERROR((C10+$B$5)/$B$6,0)</f>
        <v>7.29888582682501</v>
      </c>
    </row>
    <row r="11" customFormat="false" ht="15" hidden="false" customHeight="false" outlineLevel="0" collapsed="false">
      <c r="A11" s="15" t="n">
        <v>0.055</v>
      </c>
      <c r="B11" s="11" t="n">
        <f aca="false">IFERROR($B$3/A11,0)</f>
        <v>2573641.45426862</v>
      </c>
      <c r="C11" s="11" t="n">
        <f aca="false">B11*(1-Inputs!$B$42)-$B$4</f>
        <v>1761781.48945703</v>
      </c>
      <c r="D11" s="11" t="n">
        <f aca="false">C11+$B$5-$B$6</f>
        <v>1765402.47634935</v>
      </c>
      <c r="E11" s="26" t="n">
        <f aca="false">IFERROR((C11+$B$5)/$B$6,0)</f>
        <v>6.90149417957629</v>
      </c>
    </row>
    <row r="12" customFormat="false" ht="15" hidden="false" customHeight="false" outlineLevel="0" collapsed="false">
      <c r="A12" s="15" t="n">
        <v>0.0575</v>
      </c>
      <c r="B12" s="11" t="n">
        <f aca="false">IFERROR($B$3/A12,0)</f>
        <v>2461743.9997352</v>
      </c>
      <c r="C12" s="11" t="n">
        <f aca="false">B12*(1-Inputs!$B$42)-$B$4</f>
        <v>1653240.95855962</v>
      </c>
      <c r="D12" s="11" t="n">
        <f aca="false">C12+$B$5-$B$6</f>
        <v>1656861.94545193</v>
      </c>
      <c r="E12" s="26" t="n">
        <f aca="false">IFERROR((C12+$B$5)/$B$6,0)</f>
        <v>6.53865832774051</v>
      </c>
    </row>
    <row r="13" customFormat="false" ht="15" hidden="false" customHeight="false" outlineLevel="0" collapsed="false">
      <c r="A13" s="15" t="n">
        <v>0.06</v>
      </c>
      <c r="B13" s="11" t="n">
        <f aca="false">IFERROR($B$3/A13,0)</f>
        <v>2359171.33307957</v>
      </c>
      <c r="C13" s="11" t="n">
        <f aca="false">B13*(1-Inputs!$B$42)-$B$4</f>
        <v>1553745.47190365</v>
      </c>
      <c r="D13" s="11" t="n">
        <f aca="false">C13+$B$5-$B$6</f>
        <v>1557366.45879597</v>
      </c>
      <c r="E13" s="26" t="n">
        <f aca="false">IFERROR((C13+$B$5)/$B$6,0)</f>
        <v>6.20605879689104</v>
      </c>
    </row>
    <row r="14" customFormat="false" ht="15" hidden="false" customHeight="false" outlineLevel="0" collapsed="false">
      <c r="A14" s="15" t="n">
        <v>0.0625</v>
      </c>
      <c r="B14" s="11" t="n">
        <f aca="false">IFERROR($B$3/A14,0)</f>
        <v>2264804.47975638</v>
      </c>
      <c r="C14" s="11" t="n">
        <f aca="false">B14*(1-Inputs!$B$42)-$B$4</f>
        <v>1462209.62418017</v>
      </c>
      <c r="D14" s="11" t="n">
        <f aca="false">C14+$B$5-$B$6</f>
        <v>1465830.61107248</v>
      </c>
      <c r="E14" s="26" t="n">
        <f aca="false">IFERROR((C14+$B$5)/$B$6,0)</f>
        <v>5.90006722850953</v>
      </c>
    </row>
    <row r="15" customFormat="false" ht="15" hidden="false" customHeight="false" outlineLevel="0" collapsed="false">
      <c r="A15" s="15" t="n">
        <v>0.065</v>
      </c>
      <c r="B15" s="11" t="n">
        <f aca="false">IFERROR($B$3/A15,0)</f>
        <v>2177696.61515037</v>
      </c>
      <c r="C15" s="11" t="n">
        <f aca="false">B15*(1-Inputs!$B$42)-$B$4</f>
        <v>1377714.99551233</v>
      </c>
      <c r="D15" s="11" t="n">
        <f aca="false">C15+$B$5-$B$6</f>
        <v>1381335.98240465</v>
      </c>
      <c r="E15" s="26" t="n">
        <f aca="false">IFERROR((C15+$B$5)/$B$6,0)</f>
        <v>5.61761347308044</v>
      </c>
    </row>
    <row r="16" customFormat="false" ht="15" hidden="false" customHeight="false" outlineLevel="0" collapsed="false">
      <c r="A16" s="15" t="n">
        <v>0.0675</v>
      </c>
      <c r="B16" s="11" t="n">
        <f aca="false">IFERROR($B$3/A16,0)</f>
        <v>2097041.18495961</v>
      </c>
      <c r="C16" s="11" t="n">
        <f aca="false">B16*(1-Inputs!$B$42)-$B$4</f>
        <v>1299479.2282273</v>
      </c>
      <c r="D16" s="11" t="n">
        <f aca="false">C16+$B$5-$B$6</f>
        <v>1303100.21511962</v>
      </c>
      <c r="E16" s="26" t="n">
        <f aca="false">IFERROR((C16+$B$5)/$B$6,0)</f>
        <v>5.35608221805351</v>
      </c>
    </row>
    <row r="17" customFormat="false" ht="15" hidden="false" customHeight="false" outlineLevel="0" collapsed="false">
      <c r="A17" s="15" t="n">
        <v>0.07</v>
      </c>
      <c r="B17" s="11" t="n">
        <f aca="false">IFERROR($B$3/A17,0)</f>
        <v>2022146.85692534</v>
      </c>
      <c r="C17" s="11" t="n">
        <f aca="false">B17*(1-Inputs!$B$42)-$B$4</f>
        <v>1226831.73003406</v>
      </c>
      <c r="D17" s="11" t="n">
        <f aca="false">C17+$B$5-$B$6</f>
        <v>1230452.71692637</v>
      </c>
      <c r="E17" s="26" t="n">
        <f aca="false">IFERROR((C17+$B$5)/$B$6,0)</f>
        <v>5.11323176695707</v>
      </c>
    </row>
    <row r="18" customFormat="false" ht="15" hidden="false" customHeight="false" outlineLevel="0" collapsed="false">
      <c r="A18" s="15" t="n">
        <v>0.0725</v>
      </c>
      <c r="B18" s="11" t="n">
        <f aca="false">IFERROR($B$3/A18,0)</f>
        <v>1952417.6549624</v>
      </c>
      <c r="C18" s="11" t="n">
        <f aca="false">B18*(1-Inputs!$B$42)-$B$4</f>
        <v>1159194.40413</v>
      </c>
      <c r="D18" s="11" t="n">
        <f aca="false">C18+$B$5-$B$6</f>
        <v>1162815.39102232</v>
      </c>
      <c r="E18" s="26" t="n">
        <f aca="false">IFERROR((C18+$B$5)/$B$6,0)</f>
        <v>4.8871296228328</v>
      </c>
    </row>
    <row r="19" customFormat="false" ht="15" hidden="false" customHeight="false" outlineLevel="0" collapsed="false">
      <c r="A19" s="15" t="n">
        <v>0.075</v>
      </c>
      <c r="B19" s="11" t="n">
        <f aca="false">IFERROR($B$3/A19,0)</f>
        <v>1887337.06646365</v>
      </c>
      <c r="C19" s="11" t="n">
        <f aca="false">B19*(1-Inputs!$B$42)-$B$4</f>
        <v>1096066.23328622</v>
      </c>
      <c r="D19" s="11" t="n">
        <f aca="false">C19+$B$5-$B$6</f>
        <v>1099687.22017853</v>
      </c>
      <c r="E19" s="26" t="n">
        <f aca="false">IFERROR((C19+$B$5)/$B$6,0)</f>
        <v>4.67610095498348</v>
      </c>
    </row>
    <row r="20" customFormat="false" ht="15" hidden="false" customHeight="false" outlineLevel="0" collapsed="false">
      <c r="A20" s="15" t="n">
        <v>0.0775</v>
      </c>
      <c r="B20" s="11" t="n">
        <f aca="false">IFERROR($B$3/A20,0)</f>
        <v>1826455.22560999</v>
      </c>
      <c r="C20" s="11" t="n">
        <f aca="false">B20*(1-Inputs!$B$42)-$B$4</f>
        <v>1037010.84765816</v>
      </c>
      <c r="D20" s="11" t="n">
        <f aca="false">C20+$B$5-$B$6</f>
        <v>1040631.83455048</v>
      </c>
      <c r="E20" s="26" t="n">
        <f aca="false">IFERROR((C20+$B$5)/$B$6,0)</f>
        <v>4.47868703989864</v>
      </c>
    </row>
    <row r="21" customFormat="false" ht="15" hidden="false" customHeight="false" outlineLevel="0" collapsed="false">
      <c r="A21" s="15" t="n">
        <v>0.08</v>
      </c>
      <c r="B21" s="11" t="n">
        <f aca="false">IFERROR($B$3/A21,0)</f>
        <v>1769378.49980967</v>
      </c>
      <c r="C21" s="11" t="n">
        <f aca="false">B21*(1-Inputs!$B$42)-$B$4</f>
        <v>981646.423631859</v>
      </c>
      <c r="D21" s="11" t="n">
        <f aca="false">C21+$B$5-$B$6</f>
        <v>985267.410524175</v>
      </c>
      <c r="E21" s="26" t="n">
        <f aca="false">IFERROR((C21+$B$5)/$B$6,0)</f>
        <v>4.29361149450659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4" min="2" style="0" width="45"/>
  </cols>
  <sheetData>
    <row r="1" customFormat="false" ht="15" hidden="false" customHeight="false" outlineLevel="0" collapsed="false">
      <c r="A1" s="3" t="s">
        <v>182</v>
      </c>
    </row>
    <row r="3" customFormat="false" ht="15" hidden="false" customHeight="false" outlineLevel="0" collapsed="false">
      <c r="A3" s="0" t="s">
        <v>183</v>
      </c>
    </row>
    <row r="4" customFormat="false" ht="15" hidden="false" customHeight="false" outlineLevel="0" collapsed="false">
      <c r="A4" s="0" t="s">
        <v>184</v>
      </c>
      <c r="B4" s="0" t="s">
        <v>185</v>
      </c>
      <c r="C4" s="0" t="s">
        <v>186</v>
      </c>
      <c r="D4" s="0" t="s">
        <v>187</v>
      </c>
    </row>
    <row r="5" customFormat="false" ht="15" hidden="false" customHeight="false" outlineLevel="0" collapsed="false">
      <c r="A5" s="0" t="s">
        <v>108</v>
      </c>
      <c r="B5" s="11" t="n">
        <v>-1661.03</v>
      </c>
      <c r="C5" s="11" t="n">
        <v>-1476.9</v>
      </c>
      <c r="D5" s="11" t="n">
        <v>-1568.96</v>
      </c>
    </row>
    <row r="6" customFormat="false" ht="15" hidden="false" customHeight="false" outlineLevel="0" collapsed="false">
      <c r="A6" s="0" t="s">
        <v>43</v>
      </c>
      <c r="B6" s="11" t="n">
        <v>-476.09</v>
      </c>
      <c r="C6" s="11" t="n">
        <v>-400.82</v>
      </c>
      <c r="D6" s="11" t="n">
        <v>-438.45</v>
      </c>
    </row>
    <row r="7" customFormat="false" ht="15" hidden="false" customHeight="false" outlineLevel="0" collapsed="false">
      <c r="A7" s="0" t="s">
        <v>45</v>
      </c>
      <c r="B7" s="11" t="n">
        <v>-362.42</v>
      </c>
      <c r="C7" s="11" t="n">
        <v>-395.13</v>
      </c>
      <c r="D7" s="11" t="n">
        <v>-378.78</v>
      </c>
    </row>
    <row r="8" customFormat="false" ht="15" hidden="false" customHeight="false" outlineLevel="0" collapsed="false">
      <c r="A8" s="0" t="s">
        <v>47</v>
      </c>
      <c r="B8" s="11" t="n">
        <v>-572.19</v>
      </c>
      <c r="C8" s="11" t="n">
        <v>-372.59</v>
      </c>
      <c r="D8" s="11" t="n">
        <v>-472.39</v>
      </c>
    </row>
    <row r="9" customFormat="false" ht="15" hidden="false" customHeight="false" outlineLevel="0" collapsed="false">
      <c r="A9" s="0" t="s">
        <v>50</v>
      </c>
      <c r="B9" s="11" t="n">
        <v>-641.47</v>
      </c>
      <c r="C9" s="11" t="n">
        <v>-742.2</v>
      </c>
      <c r="D9" s="11" t="n">
        <v>-691.84</v>
      </c>
    </row>
    <row r="10" customFormat="false" ht="15" hidden="false" customHeight="false" outlineLevel="0" collapsed="false">
      <c r="A10" s="0" t="s">
        <v>52</v>
      </c>
      <c r="B10" s="11" t="n">
        <v>-105.04</v>
      </c>
      <c r="C10" s="11" t="n">
        <v>-85.33</v>
      </c>
      <c r="D10" s="11" t="n">
        <v>-95.19</v>
      </c>
    </row>
    <row r="11" customFormat="false" ht="15" hidden="false" customHeight="false" outlineLevel="0" collapsed="false">
      <c r="A11" s="0" t="s">
        <v>54</v>
      </c>
      <c r="B11" s="11" t="n">
        <v>-1094.69</v>
      </c>
      <c r="C11" s="11" t="n">
        <v>-1233.33</v>
      </c>
      <c r="D11" s="11" t="n">
        <v>-1164.01</v>
      </c>
    </row>
    <row r="13" customFormat="false" ht="15" hidden="false" customHeight="false" outlineLevel="0" collapsed="false">
      <c r="A13" s="0" t="s">
        <v>188</v>
      </c>
    </row>
    <row r="14" customFormat="false" ht="15" hidden="false" customHeight="false" outlineLevel="0" collapsed="false">
      <c r="A14" s="0" t="s">
        <v>189</v>
      </c>
      <c r="B14" s="0" t="s">
        <v>190</v>
      </c>
      <c r="C14" s="0" t="s">
        <v>191</v>
      </c>
      <c r="D14" s="0" t="s">
        <v>192</v>
      </c>
    </row>
    <row r="15" customFormat="false" ht="15" hidden="false" customHeight="false" outlineLevel="0" collapsed="false">
      <c r="A15" s="0" t="s">
        <v>193</v>
      </c>
      <c r="B15" s="0" t="s">
        <v>194</v>
      </c>
      <c r="C15" s="0" t="s">
        <v>195</v>
      </c>
      <c r="D15" s="0" t="s">
        <v>196</v>
      </c>
    </row>
    <row r="16" customFormat="false" ht="15" hidden="false" customHeight="false" outlineLevel="0" collapsed="false">
      <c r="A16" s="0" t="s">
        <v>197</v>
      </c>
      <c r="B16" s="0" t="s">
        <v>198</v>
      </c>
      <c r="C16" s="0" t="s">
        <v>199</v>
      </c>
      <c r="D16" s="0" t="s">
        <v>200</v>
      </c>
    </row>
    <row r="17" customFormat="false" ht="15" hidden="false" customHeight="false" outlineLevel="0" collapsed="false">
      <c r="A17" s="0" t="s">
        <v>201</v>
      </c>
      <c r="B17" s="0" t="s">
        <v>202</v>
      </c>
      <c r="C17" s="0" t="s">
        <v>203</v>
      </c>
      <c r="D17" s="0" t="s">
        <v>204</v>
      </c>
    </row>
    <row r="18" customFormat="false" ht="15" hidden="false" customHeight="false" outlineLevel="0" collapsed="false">
      <c r="A18" s="0" t="s">
        <v>205</v>
      </c>
      <c r="B18" s="0" t="s">
        <v>206</v>
      </c>
      <c r="C18" s="0" t="s">
        <v>207</v>
      </c>
      <c r="D18" s="0" t="s">
        <v>208</v>
      </c>
    </row>
    <row r="19" customFormat="false" ht="15" hidden="false" customHeight="false" outlineLevel="0" collapsed="false">
      <c r="A19" s="0" t="s">
        <v>209</v>
      </c>
      <c r="B19" s="0" t="s">
        <v>210</v>
      </c>
      <c r="C19" s="0" t="s">
        <v>211</v>
      </c>
      <c r="D19" s="0" t="s">
        <v>212</v>
      </c>
    </row>
    <row r="21" customFormat="false" ht="15" hidden="false" customHeight="false" outlineLevel="0" collapsed="false">
      <c r="A21" s="0" t="s">
        <v>213</v>
      </c>
    </row>
    <row r="22" customFormat="false" ht="15" hidden="false" customHeight="false" outlineLevel="0" collapsed="false">
      <c r="A22" s="0" t="s">
        <v>214</v>
      </c>
      <c r="B22" s="0" t="s">
        <v>215</v>
      </c>
    </row>
    <row r="23" customFormat="false" ht="15" hidden="false" customHeight="false" outlineLevel="0" collapsed="false">
      <c r="A23" s="0" t="s">
        <v>216</v>
      </c>
      <c r="B23" s="0" t="s">
        <v>217</v>
      </c>
    </row>
    <row r="24" customFormat="false" ht="15" hidden="false" customHeight="false" outlineLevel="0" collapsed="false">
      <c r="A24" s="0" t="s">
        <v>218</v>
      </c>
      <c r="B24" s="0" t="s">
        <v>219</v>
      </c>
    </row>
    <row r="25" customFormat="false" ht="15" hidden="false" customHeight="false" outlineLevel="0" collapsed="false">
      <c r="A25" s="0" t="s">
        <v>220</v>
      </c>
      <c r="B25" s="0" t="s">
        <v>221</v>
      </c>
    </row>
    <row r="26" customFormat="false" ht="15" hidden="false" customHeight="false" outlineLevel="0" collapsed="false">
      <c r="A26" s="0" t="s">
        <v>222</v>
      </c>
      <c r="B26" s="0" t="s">
        <v>223</v>
      </c>
      <c r="C26" s="0" t="s">
        <v>224</v>
      </c>
    </row>
    <row r="27" customFormat="false" ht="15" hidden="false" customHeight="false" outlineLevel="0" collapsed="false">
      <c r="A27" s="0" t="s">
        <v>225</v>
      </c>
      <c r="B27" s="0" t="s">
        <v>226</v>
      </c>
    </row>
    <row r="28" customFormat="false" ht="15" hidden="false" customHeight="false" outlineLevel="0" collapsed="false">
      <c r="A28" s="0" t="s">
        <v>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3" t="s">
        <v>228</v>
      </c>
      <c r="B1" s="3" t="s">
        <v>229</v>
      </c>
    </row>
    <row r="2" customFormat="false" ht="15" hidden="false" customHeight="false" outlineLevel="0" collapsed="false">
      <c r="A2" s="0" t="s">
        <v>230</v>
      </c>
      <c r="B2" s="0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false" outlineLevel="0" collapsed="false">
      <c r="A3" s="0" t="s">
        <v>231</v>
      </c>
      <c r="B3" s="0" t="str">
        <f aca="false">IF('Annual CF'!D38&gt;=Inputs!$B$33-0.005,"OK","CHECK")</f>
        <v>OK</v>
      </c>
    </row>
    <row r="4" customFormat="false" ht="15" hidden="false" customHeight="false" outlineLevel="0" collapsed="false">
      <c r="A4" s="0" t="s">
        <v>232</v>
      </c>
      <c r="B4" s="0" t="str">
        <f aca="false">IF(AND(Inputs!$B$40&gt;=1,Inputs!$B$40&lt;=10),"OK","ERROR")</f>
        <v>OK</v>
      </c>
    </row>
    <row r="5" customFormat="false" ht="15" hidden="false" customHeight="false" outlineLevel="0" collapsed="false">
      <c r="A5" s="0" t="s">
        <v>233</v>
      </c>
      <c r="B5" s="0" t="str">
        <f aca="false">IF(ABS(SUM(Waterfall!D27:N27)+SUM(Waterfall!D28:N28)-SUMIFS('Annual CF'!D51:N51,'Annual CF'!D2:N2,"&gt;=1"))&lt;1,"OK","ERROR")</f>
        <v>OK</v>
      </c>
    </row>
    <row r="6" customFormat="false" ht="15" hidden="false" customHeight="false" outlineLevel="0" collapsed="false">
      <c r="A6" s="0" t="s">
        <v>234</v>
      </c>
      <c r="B6" s="0" t="str">
        <f aca="false">IF(INDEX('Annual CF'!C35:N35,MATCH(Inputs!$B$40,'Annual CF'!C2:N2,0))&gt;=0,"OK","ERROR")</f>
        <v>OK</v>
      </c>
    </row>
    <row r="7" customFormat="false" ht="15" hidden="false" customHeight="false" outlineLevel="0" collapsed="false">
      <c r="A7" s="0" t="s">
        <v>235</v>
      </c>
      <c r="B7" s="0" t="str">
        <f aca="false">IF('Annual CF'!D40&gt;=1.15,"OK","CHECK")</f>
        <v>OK</v>
      </c>
    </row>
    <row r="8" customFormat="false" ht="15" hidden="false" customHeight="false" outlineLevel="0" collapsed="false">
      <c r="A8" s="0" t="s">
        <v>236</v>
      </c>
      <c r="B8" s="0" t="str">
        <f aca="false">IF(Inputs!$B$36=0,"OK","CHECK")</f>
        <v>OK</v>
      </c>
    </row>
    <row r="9" customFormat="false" ht="15" hidden="false" customHeight="false" outlineLevel="0" collapsed="false">
      <c r="A9" s="0" t="s">
        <v>237</v>
      </c>
      <c r="B9" s="0" t="str">
        <f aca="false">IF(Inputs!$B$41&gt;=Inputs!$B$57-0.0001,"OK","CHECK")</f>
        <v>OK</v>
      </c>
    </row>
    <row r="10" customFormat="false" ht="15" hidden="false" customHeight="false" outlineLevel="0" collapsed="false">
      <c r="A10" s="0" t="s">
        <v>238</v>
      </c>
      <c r="B10" s="0" t="str">
        <f aca="false">IF(OR(Inputs!$F$14=0,AND(Inputs!$F$14&gt;=1,Inputs!$F$14&lt;Inputs!$B$40)),"OK","CHECK")</f>
        <v>OK</v>
      </c>
    </row>
    <row r="11" customFormat="false" ht="15" hidden="false" customHeight="false" outlineLevel="0" collapsed="false">
      <c r="A11" s="0" t="s">
        <v>239</v>
      </c>
      <c r="B11" s="0" t="str">
        <f aca="false">IF(OR(Inputs!$F$14=0,Inputs!$F$24&lt;=Inputs!$F$23*Inputs!$F$16+1),"OK","CHECK")</f>
        <v>OK</v>
      </c>
    </row>
    <row r="12" customFormat="false" ht="15" hidden="false" customHeight="false" outlineLevel="0" collapsed="false">
      <c r="A12" s="0" t="s">
        <v>240</v>
      </c>
      <c r="B12" s="0" t="str">
        <f aca="false">IF(Inputs!$F$31&lt;=Inputs!$B$5,"OK","ERROR")</f>
        <v>OK</v>
      </c>
    </row>
    <row r="13" customFormat="false" ht="15" hidden="false" customHeight="false" outlineLevel="0" collapsed="false">
      <c r="A13" s="0" t="s">
        <v>241</v>
      </c>
      <c r="B13" s="0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2026-08-02T18:05:57Z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