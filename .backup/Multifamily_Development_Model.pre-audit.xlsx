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mps" sheetId="2" state="visible" r:id="rId4"/>
    <sheet name="Inputs" sheetId="3" state="visible" r:id="rId5"/>
    <sheet name="Construction Budget" sheetId="4" state="visible" r:id="rId6"/>
    <sheet name="Monthly CF" sheetId="5" state="visible" r:id="rId7"/>
    <sheet name="Waterfall" sheetId="6" state="visible" r:id="rId8"/>
    <sheet name="Summary" sheetId="7" state="visible" r:id="rId9"/>
    <sheet name="Stoa Benchmarks" sheetId="8" state="visible" r:id="rId10"/>
    <sheet name="Chec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<sst xmlns="http://schemas.openxmlformats.org/spreadsheetml/2006/main" count="308" uniqueCount="270">
  <si>
    <t xml:space="preserve">MULTIFAMILY DEVELOPMENT MODEL</t>
  </si>
  <si>
    <t xml:space="preserve">Original model; equation structure mirrors the Stoa-era development model.</t>
  </si>
  <si>
    <t xml:space="preserve">HOW TO USE:</t>
  </si>
  <si>
    <t xml:space="preserve">1. Blue cells = inputs (Inputs, Comps, Construction Budget tabs). Yellow = key drivers.</t>
  </si>
  <si>
    <t xml:space="preserve">2. NO iterative calculation needed. Capitalized construction interest is solved</t>
  </si>
  <si>
    <t xml:space="preserve">   algebraically (loan = LTC x cost / (1 - LTC x (interest factor + fee%))), then the</t>
  </si>
  <si>
    <t xml:space="preserve">   monthly ledger accrues ACTUAL interest. The Checks tab compares estimate vs. actual.</t>
  </si>
  <si>
    <t xml:space="preserve">3. Rents pull from the Comps tab (weighted comp averages by unit type, less/plus a</t>
  </si>
  <si>
    <t xml:space="preserve">   delta adjustment) - same VLOOKUP mechanism as the original. Paste real comps there.</t>
  </si>
  <si>
    <t xml:space="preserve">4. Construction draws follow a normal-distribution (bell curve) schedule - SD inputs</t>
  </si>
  <si>
    <t xml:space="preserve">   for hard and soft costs, same as the original (SD 6 hard / SD 10 soft).</t>
  </si>
  <si>
    <t xml:space="preserve">5. Timeline: month 1 = land close. Construction runs Start Month -&gt; Start+Duration-1.</t>
  </si>
  <si>
    <t xml:space="preserve">   Lease-up can begin before completion (phased delivery), as Stoa did.</t>
  </si>
  <si>
    <t xml:space="preserve">6. Refi: perm loan sized to MIN(LTV x value, DSCR constraint); value = refi-month NOI</t>
  </si>
  <si>
    <t xml:space="preserve">   x 12 / valuation cap rate. Cash-out (or shortfall) flows to equity at refi month.</t>
  </si>
  <si>
    <t xml:space="preserve">7. Sell-or-Hold toggle. Sale = sale-month NOI x 12 / exit cap, less cost of sale.</t>
  </si>
  <si>
    <t xml:space="preserve">8. Deviations from the original and every benchmark number: Stoa Benchmarks tab.</t>
  </si>
  <si>
    <t xml:space="preserve">9. All Checks tab cells should read OK before trusting outputs.</t>
  </si>
  <si>
    <t xml:space="preserve">RENT COMPS</t>
  </si>
  <si>
    <t xml:space="preserve">Paste comp rent rolls below. Include=1 to count a row. Summary (rows 4-6) feeds Inputs rents via VLOOKUP.</t>
  </si>
  <si>
    <t xml:space="preserve">Include</t>
  </si>
  <si>
    <t xml:space="preserve"># Units</t>
  </si>
  <si>
    <t xml:space="preserve">Unit Type</t>
  </si>
  <si>
    <t xml:space="preserve">SF</t>
  </si>
  <si>
    <t xml:space="preserve">Rent/Month</t>
  </si>
  <si>
    <t xml:space="preserve">Rent/SF</t>
  </si>
  <si>
    <t xml:space="preserve">SUMMARY BY TYPE</t>
  </si>
  <si>
    <t xml:space="preserve">1 BR/ 1 BA</t>
  </si>
  <si>
    <t xml:space="preserve">2 BR/ 2 BA</t>
  </si>
  <si>
    <t xml:space="preserve">3 BR/ 2 BA</t>
  </si>
  <si>
    <t xml:space="preserve">COMP DATA (rows 10-80)</t>
  </si>
  <si>
    <t xml:space="preserve">LAND &amp; TIMING</t>
  </si>
  <si>
    <t xml:space="preserve">UNIT MIX (rents pull from Comps tab less Delta)</t>
  </si>
  <si>
    <t xml:space="preserve">Land Price</t>
  </si>
  <si>
    <t xml:space="preserve">Delta vs Comp</t>
  </si>
  <si>
    <t xml:space="preserve">Closing Costs (% of Land)</t>
  </si>
  <si>
    <t xml:space="preserve">Start Date (Land Close = Month 1)</t>
  </si>
  <si>
    <t xml:space="preserve">Net Rentable SF</t>
  </si>
  <si>
    <t xml:space="preserve">Total Units</t>
  </si>
  <si>
    <t xml:space="preserve">BR/BA</t>
  </si>
  <si>
    <t xml:space="preserve">Construction Duration (Months)</t>
  </si>
  <si>
    <t xml:space="preserve">Construction Start Month</t>
  </si>
  <si>
    <t xml:space="preserve">Lease-Up Start Month</t>
  </si>
  <si>
    <t xml:space="preserve">Lease-Up Period (Months)</t>
  </si>
  <si>
    <t xml:space="preserve">Lease-Up Pace (Units/Month)</t>
  </si>
  <si>
    <t xml:space="preserve">Stabilization Month</t>
  </si>
  <si>
    <t xml:space="preserve">REVENUE</t>
  </si>
  <si>
    <t xml:space="preserve">Vacancy (Stabilized)</t>
  </si>
  <si>
    <t xml:space="preserve">Bad Debt %</t>
  </si>
  <si>
    <t xml:space="preserve">Other Income ($/Occupied Unit/Month)</t>
  </si>
  <si>
    <t xml:space="preserve">Rent Growth (Annual)</t>
  </si>
  <si>
    <t xml:space="preserve">HARD &amp; SOFT COST DRIVERS</t>
  </si>
  <si>
    <t xml:space="preserve">Hard Cost ($/NRSF)</t>
  </si>
  <si>
    <t xml:space="preserve">Hard Cost Fixed Adder ($)</t>
  </si>
  <si>
    <t xml:space="preserve">GC Overhead %</t>
  </si>
  <si>
    <t xml:space="preserve">Hard Cost Contingency %</t>
  </si>
  <si>
    <t xml:space="preserve">Soft Cost Contingency %</t>
  </si>
  <si>
    <t xml:space="preserve">GC Profit %</t>
  </si>
  <si>
    <t xml:space="preserve">Developer Fee %</t>
  </si>
  <si>
    <t xml:space="preserve">Impact Fees ($/Unit)</t>
  </si>
  <si>
    <t xml:space="preserve">Hard Cost Draw Curve SD (Months)</t>
  </si>
  <si>
    <t xml:space="preserve">Soft Cost Draw Curve SD (Months)</t>
  </si>
  <si>
    <t xml:space="preserve">OPERATING EXPENSES</t>
  </si>
  <si>
    <t xml:space="preserve">Line Item</t>
  </si>
  <si>
    <t xml:space="preserve">$/Unit/Yr</t>
  </si>
  <si>
    <t xml:space="preserve">% Fixed</t>
  </si>
  <si>
    <t xml:space="preserve">Months Prior to Lease-Up</t>
  </si>
  <si>
    <t xml:space="preserve">Payroll</t>
  </si>
  <si>
    <t xml:space="preserve">General &amp; Administrative</t>
  </si>
  <si>
    <t xml:space="preserve">Marketing</t>
  </si>
  <si>
    <t xml:space="preserve">Repairs &amp; Maintenance</t>
  </si>
  <si>
    <t xml:space="preserve">Contract Services</t>
  </si>
  <si>
    <t xml:space="preserve">Utilities</t>
  </si>
  <si>
    <t xml:space="preserve">Other</t>
  </si>
  <si>
    <t xml:space="preserve">Insurance</t>
  </si>
  <si>
    <t xml:space="preserve">Property Taxes During Construction (Annual $)</t>
  </si>
  <si>
    <t xml:space="preserve">Property Taxes Stabilized (Annual $)</t>
  </si>
  <si>
    <t xml:space="preserve">Property Management Fee (% of EGR)</t>
  </si>
  <si>
    <t xml:space="preserve">Asset Management Fee (% of EGR)</t>
  </si>
  <si>
    <t xml:space="preserve">Capital Expense Reserve ($/Unit/Yr)</t>
  </si>
  <si>
    <t xml:space="preserve">Expense Growth (Annual)</t>
  </si>
  <si>
    <t xml:space="preserve">CONSTRUCTION LOAN</t>
  </si>
  <si>
    <t xml:space="preserve">Loan-To-Cost (LTC)</t>
  </si>
  <si>
    <t xml:space="preserve">Index (WSJ Prime)</t>
  </si>
  <si>
    <t xml:space="preserve">Spread over Index</t>
  </si>
  <si>
    <t xml:space="preserve">All-In Rate</t>
  </si>
  <si>
    <t xml:space="preserve">Loan Fee (% of Loan)</t>
  </si>
  <si>
    <t xml:space="preserve">PERMANENT LOAN (Refi)</t>
  </si>
  <si>
    <t xml:space="preserve">Refinance Month</t>
  </si>
  <si>
    <t xml:space="preserve">Valuation Cap Rate</t>
  </si>
  <si>
    <t xml:space="preserve">LTV</t>
  </si>
  <si>
    <t xml:space="preserve">Min DSCR</t>
  </si>
  <si>
    <t xml:space="preserve">Interest Rate</t>
  </si>
  <si>
    <t xml:space="preserve">Amortization (Months)</t>
  </si>
  <si>
    <t xml:space="preserve">MIP (Annual, HUD)</t>
  </si>
  <si>
    <t xml:space="preserve">Perm Loan Fee (% of Proceeds)</t>
  </si>
  <si>
    <t xml:space="preserve">Interest-Only Period (Months)</t>
  </si>
  <si>
    <t xml:space="preserve">EXIT</t>
  </si>
  <si>
    <t xml:space="preserve">Sell or Hold? (type Sell or Hold)</t>
  </si>
  <si>
    <t xml:space="preserve">Sell</t>
  </si>
  <si>
    <t xml:space="preserve">Sale Month (if Sell, &lt;=96)</t>
  </si>
  <si>
    <t xml:space="preserve">Exit Cap Rate</t>
  </si>
  <si>
    <t xml:space="preserve">Cost of Sale (% of Price)</t>
  </si>
  <si>
    <t xml:space="preserve">EQUITY / INVESTOR</t>
  </si>
  <si>
    <t xml:space="preserve">LP (Investor) % of Cash Equity</t>
  </si>
  <si>
    <t xml:space="preserve">LP Preferred Return (Annual)</t>
  </si>
  <si>
    <t xml:space="preserve">Residual Split - LP %</t>
  </si>
  <si>
    <t xml:space="preserve">GP In-Kind Equity Credit (On/Off)</t>
  </si>
  <si>
    <t xml:space="preserve">Off</t>
  </si>
  <si>
    <t xml:space="preserve">COMPUTED FINANCING (do not edit)</t>
  </si>
  <si>
    <t xml:space="preserve">Total Cost ex-Cap Interest &amp; Loan Fee</t>
  </si>
  <si>
    <t xml:space="preserve">Interest Factor K</t>
  </si>
  <si>
    <t xml:space="preserve">Est. Construction Loan (fee basis)</t>
  </si>
  <si>
    <t xml:space="preserve">Actual Capitalized Interest</t>
  </si>
  <si>
    <t xml:space="preserve">Construction Loan Fee</t>
  </si>
  <si>
    <t xml:space="preserve">Total Project Cost</t>
  </si>
  <si>
    <t xml:space="preserve">Net Equity Required ((1-LTC) x Cost)</t>
  </si>
  <si>
    <t xml:space="preserve">LP Capital (Cash)</t>
  </si>
  <si>
    <t xml:space="preserve">GP Capital (Cash)</t>
  </si>
  <si>
    <t xml:space="preserve">GP In-Kind Credit</t>
  </si>
  <si>
    <t xml:space="preserve">Perm Loan Amount (at Refi)</t>
  </si>
  <si>
    <t xml:space="preserve">Perm Monthly Payment</t>
  </si>
  <si>
    <t xml:space="preserve">Effective Hold End Month</t>
  </si>
  <si>
    <t xml:space="preserve">CONSTRUCTION BUDGET</t>
  </si>
  <si>
    <t xml:space="preserve">Per Unit</t>
  </si>
  <si>
    <t xml:space="preserve">HARD COSTS</t>
  </si>
  <si>
    <t xml:space="preserve">Base Hard Cost ($/SF x NRSF + Adder)</t>
  </si>
  <si>
    <t xml:space="preserve">Hard Cost Contingency</t>
  </si>
  <si>
    <t xml:space="preserve">Contractor's Overhead (grossed up)</t>
  </si>
  <si>
    <t xml:space="preserve">Hard Cost Subtotal</t>
  </si>
  <si>
    <t xml:space="preserve">SOFT COSTS</t>
  </si>
  <si>
    <t xml:space="preserve">Architectural</t>
  </si>
  <si>
    <t xml:space="preserve">Landscape Architecture</t>
  </si>
  <si>
    <t xml:space="preserve">Geotech / Civil / Phase 1 / Title / Legal / Appraisal / Closing</t>
  </si>
  <si>
    <t xml:space="preserve">Builders Risk + General Liability Insurance</t>
  </si>
  <si>
    <t xml:space="preserve">Local Impact Fees</t>
  </si>
  <si>
    <t xml:space="preserve">NGBS Green Certification + Consulting</t>
  </si>
  <si>
    <t xml:space="preserve">0.5% Developer Fee (on hard+soft base)</t>
  </si>
  <si>
    <t xml:space="preserve">Soft Cost Subtotal</t>
  </si>
  <si>
    <t xml:space="preserve">Soft Cost Contingency</t>
  </si>
  <si>
    <t xml:space="preserve">GC Profit</t>
  </si>
  <si>
    <t xml:space="preserve">Developer Fee</t>
  </si>
  <si>
    <t xml:space="preserve">TOTAL CONSTRUCTION BUDGET (excl land, interest, loan fee)</t>
  </si>
  <si>
    <t xml:space="preserve">Month-1 Items (title/legal/appraisal/closing/phase1/geotech-civil deposits)</t>
  </si>
  <si>
    <t xml:space="preserve">DRAW SCHEDULE (bell curve)</t>
  </si>
  <si>
    <t xml:space="preserve">Month</t>
  </si>
  <si>
    <t xml:space="preserve">Hard Curve Raw (NORMDIST)</t>
  </si>
  <si>
    <t xml:space="preserve">Hard Spend</t>
  </si>
  <si>
    <t xml:space="preserve">Soft Curve Raw (NORMDIST)</t>
  </si>
  <si>
    <t xml:space="preserve">Soft Spend (curve portion)</t>
  </si>
  <si>
    <t xml:space="preserve">Month-1 Lump</t>
  </si>
  <si>
    <t xml:space="preserve">Total Construction Spend</t>
  </si>
  <si>
    <t xml:space="preserve">Check: Sum of Draws = Total Budget</t>
  </si>
  <si>
    <t xml:space="preserve">Date</t>
  </si>
  <si>
    <t xml:space="preserve">Year Index</t>
  </si>
  <si>
    <t xml:space="preserve">Units Leased</t>
  </si>
  <si>
    <t xml:space="preserve">Occupied Units</t>
  </si>
  <si>
    <t xml:space="preserve">Gross Potential Rent</t>
  </si>
  <si>
    <t xml:space="preserve">Vacancy / Lease-Up Loss</t>
  </si>
  <si>
    <t xml:space="preserve">Bad Debt</t>
  </si>
  <si>
    <t xml:space="preserve">Net Rental Income</t>
  </si>
  <si>
    <t xml:space="preserve">Other Income</t>
  </si>
  <si>
    <t xml:space="preserve">Effective Gross Revenue</t>
  </si>
  <si>
    <t xml:space="preserve">Property Taxes</t>
  </si>
  <si>
    <t xml:space="preserve">Management Fee</t>
  </si>
  <si>
    <t xml:space="preserve">Total Operating Expenses</t>
  </si>
  <si>
    <t xml:space="preserve">Net Operating Income</t>
  </si>
  <si>
    <t xml:space="preserve">Capital Expense Reserve</t>
  </si>
  <si>
    <t xml:space="preserve">Asset Management Fee</t>
  </si>
  <si>
    <t xml:space="preserve">Cash Flow Before Debt Service</t>
  </si>
  <si>
    <t xml:space="preserve">Land &amp; Closing Costs</t>
  </si>
  <si>
    <t xml:space="preserve">Construction Spend</t>
  </si>
  <si>
    <t xml:space="preserve">Total Development Cost</t>
  </si>
  <si>
    <t xml:space="preserve">Funding Need (pre-refi)</t>
  </si>
  <si>
    <t xml:space="preserve">Equity Remaining - Beg</t>
  </si>
  <si>
    <t xml:space="preserve">Equity Draw</t>
  </si>
  <si>
    <t xml:space="preserve">Equity Remaining - End</t>
  </si>
  <si>
    <t xml:space="preserve">Constr Loan Balance - Beg</t>
  </si>
  <si>
    <t xml:space="preserve">Constr Loan Draw</t>
  </si>
  <si>
    <t xml:space="preserve">Capitalized Interest</t>
  </si>
  <si>
    <t xml:space="preserve">Constr Loan Payoff</t>
  </si>
  <si>
    <t xml:space="preserve">Constr Loan Balance - End</t>
  </si>
  <si>
    <t xml:space="preserve">Refi Value (NOI x 12 / Cap)</t>
  </si>
  <si>
    <t xml:space="preserve">Perm Loan Funding</t>
  </si>
  <si>
    <t xml:space="preserve">Perm Loan Fee</t>
  </si>
  <si>
    <t xml:space="preserve">Net Cash-Out at Refi</t>
  </si>
  <si>
    <t xml:space="preserve">Perm Balance - Beg</t>
  </si>
  <si>
    <t xml:space="preserve">Perm Total Payment</t>
  </si>
  <si>
    <t xml:space="preserve">Perm Interest</t>
  </si>
  <si>
    <t xml:space="preserve">Perm Principal</t>
  </si>
  <si>
    <t xml:space="preserve">MIP</t>
  </si>
  <si>
    <t xml:space="preserve">Perm Balance - End</t>
  </si>
  <si>
    <t xml:space="preserve">Perm Payoff at Sale</t>
  </si>
  <si>
    <t xml:space="preserve">Sale Price</t>
  </si>
  <si>
    <t xml:space="preserve">Cost of Sale</t>
  </si>
  <si>
    <t xml:space="preserve">Levered Net Cash Flow</t>
  </si>
  <si>
    <t xml:space="preserve">Project IRR (XIRR)</t>
  </si>
  <si>
    <t xml:space="preserve">Equity Multiple</t>
  </si>
  <si>
    <t xml:space="preserve">Total Profit</t>
  </si>
  <si>
    <t xml:space="preserve">LP / GP WATERFALL (Monthly)</t>
  </si>
  <si>
    <t xml:space="preserve">Contribution (Equity Draw)</t>
  </si>
  <si>
    <t xml:space="preserve">LP Contribution</t>
  </si>
  <si>
    <t xml:space="preserve">GP Contribution</t>
  </si>
  <si>
    <t xml:space="preserve">Distributable Cash</t>
  </si>
  <si>
    <t xml:space="preserve">Pref Owed - Beg</t>
  </si>
  <si>
    <t xml:space="preserve">Pref Accrual</t>
  </si>
  <si>
    <t xml:space="preserve">Pref Paid to LP</t>
  </si>
  <si>
    <t xml:space="preserve">Pref Owed - End</t>
  </si>
  <si>
    <t xml:space="preserve">LP Unreturned Capital - Beg</t>
  </si>
  <si>
    <t xml:space="preserve">LP Return of Capital</t>
  </si>
  <si>
    <t xml:space="preserve">LP Unreturned - End</t>
  </si>
  <si>
    <t xml:space="preserve">GP Unreturned Capital - Beg</t>
  </si>
  <si>
    <t xml:space="preserve">GP Return of Capital</t>
  </si>
  <si>
    <t xml:space="preserve">GP Unreturned - End</t>
  </si>
  <si>
    <t xml:space="preserve">Residual Cash</t>
  </si>
  <si>
    <t xml:space="preserve">LP Residual Share</t>
  </si>
  <si>
    <t xml:space="preserve">GP Residual Share</t>
  </si>
  <si>
    <t xml:space="preserve">LP Net Cash Flow</t>
  </si>
  <si>
    <t xml:space="preserve">GP Net Cash Flow</t>
  </si>
  <si>
    <t xml:space="preserve">LP IRR</t>
  </si>
  <si>
    <t xml:space="preserve">LP Equity Multiple</t>
  </si>
  <si>
    <t xml:space="preserve">LP Total Profit</t>
  </si>
  <si>
    <t xml:space="preserve">GP IRR</t>
  </si>
  <si>
    <t xml:space="preserve">GP Equity Multiple</t>
  </si>
  <si>
    <t xml:space="preserve">GP Total Profit</t>
  </si>
  <si>
    <t xml:space="preserve">PROJECT SUMMARY</t>
  </si>
  <si>
    <t xml:space="preserve">Cost / Unit</t>
  </si>
  <si>
    <t xml:space="preserve">Cost / SF</t>
  </si>
  <si>
    <t xml:space="preserve">Construction Loan (Peak Balance)</t>
  </si>
  <si>
    <t xml:space="preserve">Effective LTC</t>
  </si>
  <si>
    <t xml:space="preserve">Net Equity Required</t>
  </si>
  <si>
    <t xml:space="preserve">Stabilized NOI (Refi Month x 12)</t>
  </si>
  <si>
    <t xml:space="preserve">Development Yield (Stab. NOI / TPC)</t>
  </si>
  <si>
    <t xml:space="preserve">Refi Value</t>
  </si>
  <si>
    <t xml:space="preserve">Perm Loan Amount</t>
  </si>
  <si>
    <t xml:space="preserve">Going-In DSCR (Perm)</t>
  </si>
  <si>
    <t xml:space="preserve">Sale Price (if Sell)</t>
  </si>
  <si>
    <t xml:space="preserve">Project IRR</t>
  </si>
  <si>
    <t xml:space="preserve">Project Equity Multiple</t>
  </si>
  <si>
    <t xml:space="preserve">STOA-ERA MODEL: EXACT SETTINGS PRESERVED / CHANGED</t>
  </si>
  <si>
    <t xml:space="preserve">PRESERVED EXACTLY (same equations/defaults):</t>
  </si>
  <si>
    <t xml:space="preserve">Comp-driven rents: rent = weighted comp average by unit type x (1 - delta). Deltas were -4% (1BR), -5% (2BR), +12% (3BR) on Inverness.</t>
  </si>
  <si>
    <t xml:space="preserve">Vacancy 7%; rent growth 2%; lease-up 14 months; phased delivery (lease-up starts before completion).</t>
  </si>
  <si>
    <t xml:space="preserve">Expense phase-in: each line starts N months before lease-up; cost = full x (%fixed + (1-%fixed) x occupancy). Their %fixed: Payroll 100%, G&amp;A 100%, Marketing 250% (capped at 100% here), R&amp;M 20%, Utilities 50%, Insurance 100%.</t>
  </si>
  <si>
    <t xml:space="preserve">Contingencies 10% hard / 2% soft; GC overhead 5% grossed up; GC profit 4%; developer fee 3.5% + 0.5%; impact fees $4,127/unit.</t>
  </si>
  <si>
    <t xml:space="preserve">Soft cost unit rates: architectural $1,800/u; landscape $150/u; geotech $20k; civil $95k; Phase 1 $2.5k; title $68k; attorney $5.1k; appraisal $4.5k; other closing $700; NGBS $230/u; consulting $200/u; GL insurance hard/1000 x 3.</t>
  </si>
  <si>
    <t xml:space="preserve">Bell-curve draws: SD 6 hard / SD 10 soft; construction loan LTC 75%, WSJ Prime + 0.50%; equity draws first, then debt; interest capitalized.</t>
  </si>
  <si>
    <t xml:space="preserve">Perm refi: value = stabilized NOI x 12 / valuation cap; LTV 75%; 420-mo amortization; MIP 0.25%; cash-out at refi. Their refi month: 33. Their caps: 5.5% valuation / 6.5% exit. Cost of sale 0.75%.</t>
  </si>
  <si>
    <t xml:space="preserve">Waterfall: 8% pref first. (Their hurdles 10%/12% with 10/20/30 promote simplified here to pref -&gt; return of capital -&gt; residual split; extendable on request.)</t>
  </si>
  <si>
    <t xml:space="preserve">GC profit + dev fee taken as GP in-kind equity: preserved as a toggle (Inputs B78). Stoa: On. You (not self-building): Off.</t>
  </si>
  <si>
    <t xml:space="preserve">CHANGED AND WHY:</t>
  </si>
  <si>
    <t xml:space="preserve">Hard cost $122.23/SF -&gt; $165/SF default: 2022-era pricing is stale; update per GC bid every deal.</t>
  </si>
  <si>
    <t xml:space="preserve">WSJ Prime 7.00% -&gt; 6.75% (current since Dec 11, 2025).</t>
  </si>
  <si>
    <t xml:space="preserve">Insurance $1,164 -&gt; $2,000/unit; expense growth 1% -&gt; 2.5%; expense levels escalated ~3%/yr from their 2023 budgets (see Acquisition model Benchmarks tab for the exact Hammond/Manhattan numbers).</t>
  </si>
  <si>
    <t xml:space="preserve">Builders Risk was loan-balance-based (circular); rebased to hard cost (combined with GL at hard/1000 x 11). Same magnitude, no circularity.</t>
  </si>
  <si>
    <t xml:space="preserve">Their 0.5% dev fee and capitalized interest were circular (iterative calc required). This model solves both algebraically - Checks tab verifies estimate vs actual ledger interest.</t>
  </si>
  <si>
    <t xml:space="preserve">Their construction loan fee was $95,000 flat; here 0.50% of the estimated loan.</t>
  </si>
  <si>
    <t xml:space="preserve">Financing scheme: equity fixed at (1-LTC) x pre-interest cost, drawn first; construction loan funds the rest and carries its own capitalized interest. This reproduces their EFFECTIVE LTC behavior (Inverness: 75% nominal -&gt; 79.5% effective) with no circular references.</t>
  </si>
  <si>
    <t xml:space="preserve">Demo inputs approximate the Inverness deal (288 units, same mix/SF/deltas) at 2026 pricing: $135/SF hard (assumes a builder cost advantage - market GC pricing is $160-180/SF; at market pricing this deal does NOT pencil, which is the core Stoa lesson: their edge WAS the build cost).</t>
  </si>
  <si>
    <t xml:space="preserve">Their valuation cap 5.5% -&gt; 6.0% default (cap rates have widened since 2022; update per market).</t>
  </si>
  <si>
    <t xml:space="preserve">Marketing %fixed of 250% capped at 100% (their value scaled marketing ABOVE full budget during lease-up; if you want that behavior, set %fixed above 100%).</t>
  </si>
  <si>
    <t xml:space="preserve">Check</t>
  </si>
  <si>
    <t xml:space="preserve">Status</t>
  </si>
  <si>
    <t xml:space="preserve">Construction draws sum = budget</t>
  </si>
  <si>
    <t xml:space="preserve">Effective LTC between 65% and 85% (loan carries capitalized interest, like Stoa)</t>
  </si>
  <si>
    <t xml:space="preserve">Equity fully drawn before debt (equity remaining at first loan draw = 0)</t>
  </si>
  <si>
    <t xml:space="preserve">Refi month after stabilization</t>
  </si>
  <si>
    <t xml:space="preserve">Sale month after refi (if Sell)</t>
  </si>
  <si>
    <t xml:space="preserve">Waterfall distributions = project distributions</t>
  </si>
  <si>
    <t xml:space="preserve">Waterfall contributions = equity drawn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</si>
</sst>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\$#,##0;&quot;($&quot;#,##0\);\-"/>
    <numFmt numFmtId="167" formatCode="0.00"/>
    <numFmt numFmtId="168" formatCode="0.0%"/>
    <numFmt numFmtId="169" formatCode="mmm\-yy"/>
    <numFmt numFmtId="170" formatCode="0.0"/>
    <numFmt numFmtId="171" formatCode="0.00%"/>
    <numFmt numFmtId="172" formatCode="0.000"/>
    <numFmt numFmtId="173" formatCode="0.0000"/>
    <numFmt numFmtId="174" formatCode="0.00\x"/>
    <numFmt numFmtId="17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5" customFormat="false" ht="15" hidden="false" customHeight="false" outlineLevel="0" collapsed="false">
      <c r="A5" s="0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0" t="s">
        <v>11</v>
      </c>
    </row>
    <row r="15" customFormat="false" ht="15" hidden="false" customHeight="false" outlineLevel="0" collapsed="false">
      <c r="A15" s="0" t="s">
        <v>12</v>
      </c>
    </row>
    <row r="16" customFormat="false" ht="15" hidden="false" customHeight="false" outlineLevel="0" collapsed="false">
      <c r="A16" s="0" t="s">
        <v>13</v>
      </c>
    </row>
    <row r="17" customFormat="false" ht="15" hidden="false" customHeight="false" outlineLevel="0" collapsed="false">
      <c r="A17" s="0" t="s">
        <v>14</v>
      </c>
    </row>
    <row r="18" customFormat="false" ht="15" hidden="false" customHeight="false" outlineLevel="0" collapsed="false">
      <c r="A18" s="0" t="s">
        <v>15</v>
      </c>
    </row>
    <row r="19" customFormat="false" ht="15" hidden="false" customHeight="false" outlineLevel="0" collapsed="false">
      <c r="A19" s="0" t="s">
        <v>16</v>
      </c>
    </row>
    <row r="20" customFormat="false" ht="15" hidden="false" customHeight="false" outlineLevel="0" collapsed="false">
      <c r="A20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8"/>
  </cols>
  <sheetData>
    <row r="1" customFormat="false" ht="15" hidden="false" customHeight="false" outlineLevel="0" collapsed="false">
      <c r="A1" s="2" t="s">
        <v>18</v>
      </c>
    </row>
    <row r="2" customFormat="false" ht="15" hidden="false" customHeight="false" outlineLevel="0" collapsed="false">
      <c r="A2" s="0" t="s">
        <v>19</v>
      </c>
    </row>
    <row r="3" customFormat="false" ht="15" hidden="false" customHeight="false" outlineLevel="0" collapsed="false"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 customFormat="false" ht="15" hidden="false" customHeight="false" outlineLevel="0" collapsed="false">
      <c r="E4" s="2" t="s">
        <v>26</v>
      </c>
      <c r="F4" s="2" t="s">
        <v>27</v>
      </c>
      <c r="G4" s="4" t="n">
        <f aca="false">IFERROR(SUMPRODUCT(($F$10:$F$80=F4)*($D$10:$D$80)*($E$10:$E$80)*($G$10:$G$80))/SUMPRODUCT(($F$10:$F$80=F4)*($D$10:$D$80)*($E$10:$E$80)),0)</f>
        <v>780</v>
      </c>
      <c r="H4" s="5" t="n">
        <f aca="false">IFERROR(SUMPRODUCT(($F$10:$F$80=F4)*($D$10:$D$80)*($E$10:$E$80)*($H$10:$H$80))/SUMPRODUCT(($F$10:$F$80=F4)*($D$10:$D$80)*($E$10:$E$80)),0)</f>
        <v>1651.42857142857</v>
      </c>
      <c r="I4" s="6" t="n">
        <f aca="false">IFERROR(H4/G4,0)</f>
        <v>2.11721611721612</v>
      </c>
    </row>
    <row r="5" customFormat="false" ht="15" hidden="false" customHeight="false" outlineLevel="0" collapsed="false">
      <c r="F5" s="2" t="s">
        <v>28</v>
      </c>
      <c r="G5" s="4" t="n">
        <f aca="false">IFERROR(SUMPRODUCT(($F$10:$F$80=F5)*($D$10:$D$80)*($E$10:$E$80)*($G$10:$G$80))/SUMPRODUCT(($F$10:$F$80=F5)*($D$10:$D$80)*($E$10:$E$80)),0)</f>
        <v>1083.33333333333</v>
      </c>
      <c r="H5" s="5" t="n">
        <f aca="false">IFERROR(SUMPRODUCT(($F$10:$F$80=F5)*($D$10:$D$80)*($E$10:$E$80)*($H$10:$H$80))/SUMPRODUCT(($F$10:$F$80=F5)*($D$10:$D$80)*($E$10:$E$80)),0)</f>
        <v>1993.33333333333</v>
      </c>
      <c r="I5" s="6" t="n">
        <f aca="false">IFERROR(H5/G5,0)</f>
        <v>1.84</v>
      </c>
    </row>
    <row r="6" customFormat="false" ht="15" hidden="false" customHeight="false" outlineLevel="0" collapsed="false">
      <c r="F6" s="2" t="s">
        <v>29</v>
      </c>
      <c r="G6" s="4" t="n">
        <f aca="false">IFERROR(SUMPRODUCT(($F$10:$F$80=F6)*($D$10:$D$80)*($E$10:$E$80)*($G$10:$G$80))/SUMPRODUCT(($F$10:$F$80=F6)*($D$10:$D$80)*($E$10:$E$80)),0)</f>
        <v>1334.28571428571</v>
      </c>
      <c r="H6" s="5" t="n">
        <f aca="false">IFERROR(SUMPRODUCT(($F$10:$F$80=F6)*($D$10:$D$80)*($E$10:$E$80)*($H$10:$H$80))/SUMPRODUCT(($F$10:$F$80=F6)*($D$10:$D$80)*($E$10:$E$80)),0)</f>
        <v>2451.42857142857</v>
      </c>
      <c r="I6" s="6" t="n">
        <f aca="false">IFERROR(H6/G6,0)</f>
        <v>1.8372591006424</v>
      </c>
    </row>
    <row r="9" customFormat="false" ht="15" hidden="false" customHeight="false" outlineLevel="0" collapsed="false">
      <c r="A9" s="2" t="s">
        <v>30</v>
      </c>
    </row>
    <row r="10" customFormat="false" ht="15" hidden="false" customHeight="false" outlineLevel="0" collapsed="false">
      <c r="D10" s="7" t="n">
        <v>1</v>
      </c>
      <c r="E10" s="7" t="n">
        <v>40</v>
      </c>
      <c r="F10" s="7" t="s">
        <v>27</v>
      </c>
      <c r="G10" s="7" t="n">
        <v>750</v>
      </c>
      <c r="H10" s="8" t="n">
        <v>1600</v>
      </c>
    </row>
    <row r="11" customFormat="false" ht="15" hidden="false" customHeight="false" outlineLevel="0" collapsed="false">
      <c r="D11" s="7" t="n">
        <v>1</v>
      </c>
      <c r="E11" s="7" t="n">
        <v>30</v>
      </c>
      <c r="F11" s="7" t="s">
        <v>27</v>
      </c>
      <c r="G11" s="7" t="n">
        <v>820</v>
      </c>
      <c r="H11" s="8" t="n">
        <v>1720</v>
      </c>
    </row>
    <row r="12" customFormat="false" ht="15" hidden="false" customHeight="false" outlineLevel="0" collapsed="false">
      <c r="D12" s="7" t="n">
        <v>1</v>
      </c>
      <c r="E12" s="7" t="n">
        <v>48</v>
      </c>
      <c r="F12" s="7" t="s">
        <v>28</v>
      </c>
      <c r="G12" s="7" t="n">
        <v>1050</v>
      </c>
      <c r="H12" s="8" t="n">
        <v>1950</v>
      </c>
    </row>
    <row r="13" customFormat="false" ht="15" hidden="false" customHeight="false" outlineLevel="0" collapsed="false">
      <c r="D13" s="7" t="n">
        <v>1</v>
      </c>
      <c r="E13" s="7" t="n">
        <v>24</v>
      </c>
      <c r="F13" s="7" t="s">
        <v>28</v>
      </c>
      <c r="G13" s="7" t="n">
        <v>1150</v>
      </c>
      <c r="H13" s="8" t="n">
        <v>2080</v>
      </c>
    </row>
    <row r="14" customFormat="false" ht="15" hidden="false" customHeight="false" outlineLevel="0" collapsed="false">
      <c r="D14" s="7" t="n">
        <v>1</v>
      </c>
      <c r="E14" s="7" t="n">
        <v>16</v>
      </c>
      <c r="F14" s="7" t="s">
        <v>29</v>
      </c>
      <c r="G14" s="7" t="n">
        <v>1300</v>
      </c>
      <c r="H14" s="8" t="n">
        <v>2400</v>
      </c>
    </row>
    <row r="15" customFormat="false" ht="15" hidden="false" customHeight="false" outlineLevel="0" collapsed="false">
      <c r="D15" s="7" t="n">
        <v>1</v>
      </c>
      <c r="E15" s="7" t="n">
        <v>12</v>
      </c>
      <c r="F15" s="7" t="s">
        <v>29</v>
      </c>
      <c r="G15" s="7" t="n">
        <v>1380</v>
      </c>
      <c r="H15" s="8" t="n">
        <v>2520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9" min="5" style="0" width="12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2" t="s">
        <v>31</v>
      </c>
      <c r="E1" s="2" t="s">
        <v>32</v>
      </c>
    </row>
    <row r="2" customFormat="false" ht="15" hidden="false" customHeight="false" outlineLevel="0" collapsed="false">
      <c r="A2" s="0" t="s">
        <v>33</v>
      </c>
      <c r="B2" s="9" t="n">
        <v>6750000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K2" s="3" t="s">
        <v>34</v>
      </c>
    </row>
    <row r="3" customFormat="false" ht="15" hidden="false" customHeight="false" outlineLevel="0" collapsed="false">
      <c r="A3" s="0" t="s">
        <v>35</v>
      </c>
      <c r="B3" s="10" t="n">
        <v>0.0075</v>
      </c>
      <c r="E3" s="7" t="n">
        <v>134</v>
      </c>
      <c r="F3" s="7" t="s">
        <v>27</v>
      </c>
      <c r="G3" s="7" t="n">
        <v>764</v>
      </c>
      <c r="H3" s="5" t="n">
        <f aca="false">IFERROR(VLOOKUP(F3,Comps!$F$4:$I$6,3,FALSE())*(1-K3),0)</f>
        <v>1717.48571428571</v>
      </c>
      <c r="I3" s="6" t="n">
        <f aca="false">IFERROR(H3/G3,0)</f>
        <v>2.24801795063575</v>
      </c>
      <c r="K3" s="10" t="n">
        <v>-0.04</v>
      </c>
    </row>
    <row r="4" customFormat="false" ht="15" hidden="false" customHeight="false" outlineLevel="0" collapsed="false">
      <c r="A4" s="0" t="s">
        <v>36</v>
      </c>
      <c r="B4" s="11" t="n">
        <f aca="false">DATE(2026,8,31)</f>
        <v>46265</v>
      </c>
      <c r="E4" s="7" t="n">
        <v>121</v>
      </c>
      <c r="F4" s="7" t="s">
        <v>28</v>
      </c>
      <c r="G4" s="7" t="n">
        <v>1040</v>
      </c>
      <c r="H4" s="5" t="n">
        <f aca="false">IFERROR(VLOOKUP(F4,Comps!$F$4:$I$6,3,FALSE())*(1-K4),0)</f>
        <v>2093</v>
      </c>
      <c r="I4" s="6" t="n">
        <f aca="false">IFERROR(H4/G4,0)</f>
        <v>2.0125</v>
      </c>
      <c r="K4" s="10" t="n">
        <v>-0.05</v>
      </c>
    </row>
    <row r="5" customFormat="false" ht="15" hidden="false" customHeight="false" outlineLevel="0" collapsed="false">
      <c r="A5" s="0" t="s">
        <v>37</v>
      </c>
      <c r="B5" s="12" t="n">
        <f aca="false">SUMPRODUCT(G3:G8,E3:E8)</f>
        <v>271710</v>
      </c>
      <c r="E5" s="7" t="n">
        <v>33</v>
      </c>
      <c r="F5" s="7" t="s">
        <v>29</v>
      </c>
      <c r="G5" s="7" t="n">
        <v>1318</v>
      </c>
      <c r="H5" s="5" t="n">
        <f aca="false">IFERROR(VLOOKUP(F5,Comps!$F$4:$I$6,3,FALSE())*(1-K5),0)</f>
        <v>2157.25714285714</v>
      </c>
      <c r="I5" s="6" t="n">
        <f aca="false">IFERROR(H5/G5,0)</f>
        <v>1.63676566225883</v>
      </c>
      <c r="K5" s="10" t="n">
        <v>0.12</v>
      </c>
    </row>
    <row r="6" customFormat="false" ht="15" hidden="false" customHeight="false" outlineLevel="0" collapsed="false">
      <c r="A6" s="0" t="s">
        <v>38</v>
      </c>
      <c r="B6" s="13" t="n">
        <f aca="false">E9</f>
        <v>288</v>
      </c>
      <c r="E6" s="7" t="n">
        <v>0</v>
      </c>
      <c r="F6" s="7" t="s">
        <v>39</v>
      </c>
      <c r="G6" s="7" t="n">
        <v>0</v>
      </c>
      <c r="H6" s="5" t="n">
        <f aca="false">IFERROR(VLOOKUP(F6,Comps!$F$4:$I$6,3,FALSE())*(1-K6),0)</f>
        <v>0</v>
      </c>
      <c r="I6" s="6" t="n">
        <f aca="false">IFERROR(H6/G6,0)</f>
        <v>0</v>
      </c>
      <c r="K6" s="10" t="n">
        <v>0</v>
      </c>
    </row>
    <row r="7" customFormat="false" ht="15" hidden="false" customHeight="false" outlineLevel="0" collapsed="false">
      <c r="E7" s="7" t="n">
        <v>0</v>
      </c>
      <c r="F7" s="7" t="s">
        <v>39</v>
      </c>
      <c r="G7" s="7" t="n">
        <v>0</v>
      </c>
      <c r="H7" s="5" t="n">
        <f aca="false">IFERROR(VLOOKUP(F7,Comps!$F$4:$I$6,3,FALSE())*(1-K7),0)</f>
        <v>0</v>
      </c>
      <c r="I7" s="6" t="n">
        <f aca="false">IFERROR(H7/G7,0)</f>
        <v>0</v>
      </c>
      <c r="K7" s="10" t="n">
        <v>0</v>
      </c>
    </row>
    <row r="8" customFormat="false" ht="15" hidden="false" customHeight="false" outlineLevel="0" collapsed="false">
      <c r="A8" s="0" t="s">
        <v>40</v>
      </c>
      <c r="B8" s="14" t="n">
        <v>20</v>
      </c>
      <c r="E8" s="7" t="n">
        <v>0</v>
      </c>
      <c r="F8" s="7" t="s">
        <v>39</v>
      </c>
      <c r="G8" s="7" t="n">
        <v>0</v>
      </c>
      <c r="H8" s="5" t="n">
        <f aca="false">IFERROR(VLOOKUP(F8,Comps!$F$4:$I$6,3,FALSE())*(1-K8),0)</f>
        <v>0</v>
      </c>
      <c r="I8" s="6" t="n">
        <f aca="false">IFERROR(H8/G8,0)</f>
        <v>0</v>
      </c>
      <c r="K8" s="10" t="n">
        <v>0</v>
      </c>
    </row>
    <row r="9" customFormat="false" ht="15" hidden="false" customHeight="false" outlineLevel="0" collapsed="false">
      <c r="A9" s="0" t="s">
        <v>41</v>
      </c>
      <c r="B9" s="15" t="n">
        <v>2</v>
      </c>
      <c r="E9" s="16" t="n">
        <f aca="false">SUM(E3:E8)</f>
        <v>288</v>
      </c>
      <c r="G9" s="4" t="n">
        <f aca="false">IFERROR(SUMPRODUCT(G3:G8,E3:E8)/E9,0)</f>
        <v>943.4375</v>
      </c>
      <c r="H9" s="5" t="n">
        <f aca="false">IFERROR(SUMPRODUCT(H3:H8,E3:E8)/E9,0)</f>
        <v>1925.6443452381</v>
      </c>
    </row>
    <row r="10" customFormat="false" ht="15" hidden="false" customHeight="false" outlineLevel="0" collapsed="false">
      <c r="A10" s="0" t="s">
        <v>42</v>
      </c>
      <c r="B10" s="15" t="n">
        <v>14</v>
      </c>
    </row>
    <row r="11" customFormat="false" ht="15" hidden="false" customHeight="false" outlineLevel="0" collapsed="false">
      <c r="A11" s="0" t="s">
        <v>43</v>
      </c>
      <c r="B11" s="15" t="n">
        <v>14</v>
      </c>
    </row>
    <row r="12" customFormat="false" ht="15" hidden="false" customHeight="false" outlineLevel="0" collapsed="false">
      <c r="A12" s="0" t="s">
        <v>44</v>
      </c>
      <c r="B12" s="17" t="n">
        <f aca="false">IFERROR(E9/B11,0)</f>
        <v>20.5714285714286</v>
      </c>
    </row>
    <row r="13" customFormat="false" ht="15" hidden="false" customHeight="false" outlineLevel="0" collapsed="false">
      <c r="A13" s="0" t="s">
        <v>45</v>
      </c>
      <c r="B13" s="12" t="n">
        <f aca="false">B10+ROUNDUP(B6*(1-B16)/B12,0)</f>
        <v>28</v>
      </c>
    </row>
    <row r="15" customFormat="false" ht="15" hidden="false" customHeight="false" outlineLevel="0" collapsed="false">
      <c r="A15" s="2" t="s">
        <v>46</v>
      </c>
    </row>
    <row r="16" customFormat="false" ht="15" hidden="false" customHeight="false" outlineLevel="0" collapsed="false">
      <c r="A16" s="0" t="s">
        <v>47</v>
      </c>
      <c r="B16" s="10" t="n">
        <v>0.07</v>
      </c>
    </row>
    <row r="17" customFormat="false" ht="15" hidden="false" customHeight="false" outlineLevel="0" collapsed="false">
      <c r="A17" s="0" t="s">
        <v>48</v>
      </c>
      <c r="B17" s="10" t="n">
        <v>0.005</v>
      </c>
    </row>
    <row r="18" customFormat="false" ht="15" hidden="false" customHeight="false" outlineLevel="0" collapsed="false">
      <c r="A18" s="0" t="s">
        <v>49</v>
      </c>
      <c r="B18" s="8" t="n">
        <v>40</v>
      </c>
    </row>
    <row r="19" customFormat="false" ht="15" hidden="false" customHeight="false" outlineLevel="0" collapsed="false">
      <c r="A19" s="0" t="s">
        <v>50</v>
      </c>
      <c r="B19" s="10" t="n">
        <v>0.02</v>
      </c>
    </row>
    <row r="21" customFormat="false" ht="15" hidden="false" customHeight="false" outlineLevel="0" collapsed="false">
      <c r="A21" s="2" t="s">
        <v>51</v>
      </c>
    </row>
    <row r="22" customFormat="false" ht="15" hidden="false" customHeight="false" outlineLevel="0" collapsed="false">
      <c r="A22" s="0" t="s">
        <v>52</v>
      </c>
      <c r="B22" s="9" t="n">
        <v>135</v>
      </c>
    </row>
    <row r="23" customFormat="false" ht="15" hidden="false" customHeight="false" outlineLevel="0" collapsed="false">
      <c r="A23" s="0" t="s">
        <v>53</v>
      </c>
      <c r="B23" s="8" t="n">
        <v>1000000</v>
      </c>
    </row>
    <row r="24" customFormat="false" ht="15" hidden="false" customHeight="false" outlineLevel="0" collapsed="false">
      <c r="A24" s="0" t="s">
        <v>54</v>
      </c>
      <c r="B24" s="10" t="n">
        <v>0.05</v>
      </c>
    </row>
    <row r="25" customFormat="false" ht="15" hidden="false" customHeight="false" outlineLevel="0" collapsed="false">
      <c r="A25" s="0" t="s">
        <v>55</v>
      </c>
      <c r="B25" s="10" t="n">
        <v>0.1</v>
      </c>
    </row>
    <row r="26" customFormat="false" ht="15" hidden="false" customHeight="false" outlineLevel="0" collapsed="false">
      <c r="A26" s="0" t="s">
        <v>56</v>
      </c>
      <c r="B26" s="10" t="n">
        <v>0.02</v>
      </c>
    </row>
    <row r="27" customFormat="false" ht="15" hidden="false" customHeight="false" outlineLevel="0" collapsed="false">
      <c r="A27" s="0" t="s">
        <v>57</v>
      </c>
      <c r="B27" s="10" t="n">
        <v>0.04</v>
      </c>
    </row>
    <row r="28" customFormat="false" ht="15" hidden="false" customHeight="false" outlineLevel="0" collapsed="false">
      <c r="A28" s="0" t="s">
        <v>58</v>
      </c>
      <c r="B28" s="10" t="n">
        <v>0.035</v>
      </c>
    </row>
    <row r="29" customFormat="false" ht="15" hidden="false" customHeight="false" outlineLevel="0" collapsed="false">
      <c r="A29" s="0" t="s">
        <v>59</v>
      </c>
      <c r="B29" s="8" t="n">
        <v>4127</v>
      </c>
    </row>
    <row r="30" customFormat="false" ht="15" hidden="false" customHeight="false" outlineLevel="0" collapsed="false">
      <c r="A30" s="0" t="s">
        <v>60</v>
      </c>
      <c r="B30" s="15" t="n">
        <v>6</v>
      </c>
    </row>
    <row r="31" customFormat="false" ht="15" hidden="false" customHeight="false" outlineLevel="0" collapsed="false">
      <c r="A31" s="0" t="s">
        <v>61</v>
      </c>
      <c r="B31" s="15" t="n">
        <v>10</v>
      </c>
    </row>
    <row r="33" customFormat="false" ht="15" hidden="false" customHeight="false" outlineLevel="0" collapsed="false">
      <c r="A33" s="2" t="s">
        <v>62</v>
      </c>
    </row>
    <row r="34" customFormat="false" ht="15" hidden="false" customHeight="false" outlineLevel="0" collapsed="false">
      <c r="A34" s="3" t="s">
        <v>63</v>
      </c>
      <c r="B34" s="3" t="s">
        <v>64</v>
      </c>
      <c r="C34" s="3" t="s">
        <v>65</v>
      </c>
      <c r="D34" s="3" t="s">
        <v>66</v>
      </c>
    </row>
    <row r="35" customFormat="false" ht="15" hidden="false" customHeight="false" outlineLevel="0" collapsed="false">
      <c r="A35" s="0" t="s">
        <v>67</v>
      </c>
      <c r="B35" s="8" t="n">
        <v>1715</v>
      </c>
      <c r="C35" s="10" t="n">
        <v>1</v>
      </c>
      <c r="D35" s="7" t="n">
        <v>4</v>
      </c>
    </row>
    <row r="36" customFormat="false" ht="15" hidden="false" customHeight="false" outlineLevel="0" collapsed="false">
      <c r="A36" s="0" t="s">
        <v>68</v>
      </c>
      <c r="B36" s="8" t="n">
        <v>480</v>
      </c>
      <c r="C36" s="10" t="n">
        <v>1</v>
      </c>
      <c r="D36" s="7" t="n">
        <v>4</v>
      </c>
    </row>
    <row r="37" customFormat="false" ht="15" hidden="false" customHeight="false" outlineLevel="0" collapsed="false">
      <c r="A37" s="0" t="s">
        <v>69</v>
      </c>
      <c r="B37" s="8" t="n">
        <v>415</v>
      </c>
      <c r="C37" s="10" t="n">
        <v>1</v>
      </c>
      <c r="D37" s="7" t="n">
        <v>4</v>
      </c>
    </row>
    <row r="38" customFormat="false" ht="15" hidden="false" customHeight="false" outlineLevel="0" collapsed="false">
      <c r="A38" s="0" t="s">
        <v>70</v>
      </c>
      <c r="B38" s="8" t="n">
        <v>515</v>
      </c>
      <c r="C38" s="10" t="n">
        <v>0.2</v>
      </c>
      <c r="D38" s="7" t="n">
        <v>3</v>
      </c>
    </row>
    <row r="39" customFormat="false" ht="15" hidden="false" customHeight="false" outlineLevel="0" collapsed="false">
      <c r="A39" s="0" t="s">
        <v>71</v>
      </c>
      <c r="B39" s="8" t="n">
        <v>0</v>
      </c>
      <c r="C39" s="10" t="n">
        <v>0</v>
      </c>
      <c r="D39" s="7" t="n">
        <v>0</v>
      </c>
    </row>
    <row r="40" customFormat="false" ht="15" hidden="false" customHeight="false" outlineLevel="0" collapsed="false">
      <c r="A40" s="0" t="s">
        <v>72</v>
      </c>
      <c r="B40" s="8" t="n">
        <v>755</v>
      </c>
      <c r="C40" s="10" t="n">
        <v>0.5</v>
      </c>
      <c r="D40" s="7" t="n">
        <v>3</v>
      </c>
    </row>
    <row r="41" customFormat="false" ht="15" hidden="false" customHeight="false" outlineLevel="0" collapsed="false">
      <c r="A41" s="0" t="s">
        <v>73</v>
      </c>
      <c r="B41" s="8" t="n">
        <v>105</v>
      </c>
      <c r="C41" s="10" t="n">
        <v>0</v>
      </c>
      <c r="D41" s="7" t="n">
        <v>0</v>
      </c>
    </row>
    <row r="42" customFormat="false" ht="15" hidden="false" customHeight="false" outlineLevel="0" collapsed="false">
      <c r="A42" s="0" t="s">
        <v>74</v>
      </c>
      <c r="B42" s="8" t="n">
        <v>2000</v>
      </c>
      <c r="C42" s="10" t="n">
        <v>1</v>
      </c>
      <c r="D42" s="7" t="n">
        <v>4</v>
      </c>
    </row>
    <row r="43" customFormat="false" ht="15" hidden="false" customHeight="false" outlineLevel="0" collapsed="false">
      <c r="A43" s="0" t="s">
        <v>75</v>
      </c>
      <c r="B43" s="8" t="n">
        <v>30000</v>
      </c>
    </row>
    <row r="44" customFormat="false" ht="15" hidden="false" customHeight="false" outlineLevel="0" collapsed="false">
      <c r="A44" s="0" t="s">
        <v>76</v>
      </c>
      <c r="B44" s="9" t="n">
        <v>400000</v>
      </c>
    </row>
    <row r="45" customFormat="false" ht="15" hidden="false" customHeight="false" outlineLevel="0" collapsed="false">
      <c r="A45" s="0" t="s">
        <v>77</v>
      </c>
      <c r="B45" s="10" t="n">
        <v>0.03</v>
      </c>
    </row>
    <row r="46" customFormat="false" ht="15" hidden="false" customHeight="false" outlineLevel="0" collapsed="false">
      <c r="A46" s="0" t="s">
        <v>78</v>
      </c>
      <c r="B46" s="10" t="n">
        <v>0.01</v>
      </c>
    </row>
    <row r="47" customFormat="false" ht="15" hidden="false" customHeight="false" outlineLevel="0" collapsed="false">
      <c r="A47" s="0" t="s">
        <v>79</v>
      </c>
      <c r="B47" s="8" t="n">
        <v>250</v>
      </c>
    </row>
    <row r="48" customFormat="false" ht="15" hidden="false" customHeight="false" outlineLevel="0" collapsed="false">
      <c r="A48" s="0" t="s">
        <v>80</v>
      </c>
      <c r="B48" s="10" t="n">
        <v>0.025</v>
      </c>
    </row>
    <row r="50" customFormat="false" ht="15" hidden="false" customHeight="false" outlineLevel="0" collapsed="false">
      <c r="A50" s="2" t="s">
        <v>81</v>
      </c>
    </row>
    <row r="51" customFormat="false" ht="15" hidden="false" customHeight="false" outlineLevel="0" collapsed="false">
      <c r="A51" s="0" t="s">
        <v>82</v>
      </c>
      <c r="B51" s="10" t="n">
        <v>0.75</v>
      </c>
    </row>
    <row r="52" customFormat="false" ht="15" hidden="false" customHeight="false" outlineLevel="0" collapsed="false">
      <c r="A52" s="0" t="s">
        <v>83</v>
      </c>
      <c r="B52" s="18" t="n">
        <v>0.0675</v>
      </c>
    </row>
    <row r="53" customFormat="false" ht="15" hidden="false" customHeight="false" outlineLevel="0" collapsed="false">
      <c r="A53" s="0" t="s">
        <v>84</v>
      </c>
      <c r="B53" s="19" t="n">
        <v>0.005</v>
      </c>
    </row>
    <row r="54" customFormat="false" ht="15" hidden="false" customHeight="false" outlineLevel="0" collapsed="false">
      <c r="A54" s="0" t="s">
        <v>85</v>
      </c>
      <c r="B54" s="20" t="n">
        <f aca="false">B52+B53</f>
        <v>0.0725</v>
      </c>
    </row>
    <row r="55" customFormat="false" ht="15" hidden="false" customHeight="false" outlineLevel="0" collapsed="false">
      <c r="A55" s="0" t="s">
        <v>86</v>
      </c>
      <c r="B55" s="10" t="n">
        <v>0.005</v>
      </c>
    </row>
    <row r="57" customFormat="false" ht="15" hidden="false" customHeight="false" outlineLevel="0" collapsed="false">
      <c r="A57" s="2" t="s">
        <v>87</v>
      </c>
    </row>
    <row r="58" customFormat="false" ht="15" hidden="false" customHeight="false" outlineLevel="0" collapsed="false">
      <c r="A58" s="0" t="s">
        <v>88</v>
      </c>
      <c r="B58" s="14" t="n">
        <v>33</v>
      </c>
    </row>
    <row r="59" customFormat="false" ht="15" hidden="false" customHeight="false" outlineLevel="0" collapsed="false">
      <c r="A59" s="0" t="s">
        <v>89</v>
      </c>
      <c r="B59" s="19" t="n">
        <v>0.06</v>
      </c>
    </row>
    <row r="60" customFormat="false" ht="15" hidden="false" customHeight="false" outlineLevel="0" collapsed="false">
      <c r="A60" s="0" t="s">
        <v>90</v>
      </c>
      <c r="B60" s="10" t="n">
        <v>0.75</v>
      </c>
    </row>
    <row r="61" customFormat="false" ht="15" hidden="false" customHeight="false" outlineLevel="0" collapsed="false">
      <c r="A61" s="0" t="s">
        <v>91</v>
      </c>
      <c r="B61" s="21" t="n">
        <v>1.176</v>
      </c>
    </row>
    <row r="62" customFormat="false" ht="15" hidden="false" customHeight="false" outlineLevel="0" collapsed="false">
      <c r="A62" s="0" t="s">
        <v>92</v>
      </c>
      <c r="B62" s="18" t="n">
        <v>0.0625</v>
      </c>
    </row>
    <row r="63" customFormat="false" ht="15" hidden="false" customHeight="false" outlineLevel="0" collapsed="false">
      <c r="A63" s="0" t="s">
        <v>93</v>
      </c>
      <c r="B63" s="15" t="n">
        <v>420</v>
      </c>
    </row>
    <row r="64" customFormat="false" ht="15" hidden="false" customHeight="false" outlineLevel="0" collapsed="false">
      <c r="A64" s="0" t="s">
        <v>94</v>
      </c>
      <c r="B64" s="19" t="n">
        <v>0.0025</v>
      </c>
    </row>
    <row r="65" customFormat="false" ht="15" hidden="false" customHeight="false" outlineLevel="0" collapsed="false">
      <c r="A65" s="0" t="s">
        <v>95</v>
      </c>
      <c r="B65" s="10" t="n">
        <v>0.02</v>
      </c>
    </row>
    <row r="66" customFormat="false" ht="15" hidden="false" customHeight="false" outlineLevel="0" collapsed="false">
      <c r="A66" s="0" t="s">
        <v>96</v>
      </c>
      <c r="B66" s="15" t="n">
        <v>0</v>
      </c>
    </row>
    <row r="68" customFormat="false" ht="15" hidden="false" customHeight="false" outlineLevel="0" collapsed="false">
      <c r="A68" s="2" t="s">
        <v>97</v>
      </c>
    </row>
    <row r="69" customFormat="false" ht="15" hidden="false" customHeight="false" outlineLevel="0" collapsed="false">
      <c r="A69" s="0" t="s">
        <v>98</v>
      </c>
      <c r="B69" s="22" t="s">
        <v>99</v>
      </c>
    </row>
    <row r="70" customFormat="false" ht="15" hidden="false" customHeight="false" outlineLevel="0" collapsed="false">
      <c r="A70" s="0" t="s">
        <v>100</v>
      </c>
      <c r="B70" s="14" t="n">
        <v>60</v>
      </c>
    </row>
    <row r="71" customFormat="false" ht="15" hidden="false" customHeight="false" outlineLevel="0" collapsed="false">
      <c r="A71" s="0" t="s">
        <v>101</v>
      </c>
      <c r="B71" s="18" t="n">
        <v>0.065</v>
      </c>
    </row>
    <row r="72" customFormat="false" ht="15" hidden="false" customHeight="false" outlineLevel="0" collapsed="false">
      <c r="A72" s="0" t="s">
        <v>102</v>
      </c>
      <c r="B72" s="10" t="n">
        <v>0.0075</v>
      </c>
    </row>
    <row r="74" customFormat="false" ht="15" hidden="false" customHeight="false" outlineLevel="0" collapsed="false">
      <c r="A74" s="2" t="s">
        <v>103</v>
      </c>
    </row>
    <row r="75" customFormat="false" ht="15" hidden="false" customHeight="false" outlineLevel="0" collapsed="false">
      <c r="A75" s="0" t="s">
        <v>104</v>
      </c>
      <c r="B75" s="10" t="n">
        <v>1</v>
      </c>
    </row>
    <row r="76" customFormat="false" ht="15" hidden="false" customHeight="false" outlineLevel="0" collapsed="false">
      <c r="A76" s="0" t="s">
        <v>105</v>
      </c>
      <c r="B76" s="10" t="n">
        <v>0.08</v>
      </c>
    </row>
    <row r="77" customFormat="false" ht="15" hidden="false" customHeight="false" outlineLevel="0" collapsed="false">
      <c r="A77" s="0" t="s">
        <v>106</v>
      </c>
      <c r="B77" s="10" t="n">
        <v>0.7</v>
      </c>
    </row>
    <row r="78" customFormat="false" ht="15" hidden="false" customHeight="false" outlineLevel="0" collapsed="false">
      <c r="A78" s="0" t="s">
        <v>107</v>
      </c>
      <c r="B78" s="7" t="s">
        <v>108</v>
      </c>
    </row>
    <row r="80" customFormat="false" ht="15" hidden="false" customHeight="false" outlineLevel="0" collapsed="false">
      <c r="A80" s="2" t="s">
        <v>109</v>
      </c>
    </row>
    <row r="81" customFormat="false" ht="15" hidden="false" customHeight="false" outlineLevel="0" collapsed="false">
      <c r="A81" s="0" t="s">
        <v>110</v>
      </c>
      <c r="B81" s="23" t="n">
        <f aca="false">B2+B2*B3+'Construction Budget'!C22</f>
        <v>56699984.2803343</v>
      </c>
    </row>
    <row r="82" customFormat="false" ht="15" hidden="false" customHeight="false" outlineLevel="0" collapsed="false">
      <c r="A82" s="0" t="s">
        <v>111</v>
      </c>
      <c r="B82" s="24" t="n">
        <f aca="false">(B54/12)*(0.5*B8+MAX(0,B58-(B9+B8)))</f>
        <v>0.126875</v>
      </c>
    </row>
    <row r="83" customFormat="false" ht="15" hidden="false" customHeight="false" outlineLevel="0" collapsed="false">
      <c r="A83" s="0" t="s">
        <v>112</v>
      </c>
      <c r="B83" s="23" t="n">
        <f aca="false">B51*B81/(1-B51*(B82+B55))</f>
        <v>47192634.7400043</v>
      </c>
    </row>
    <row r="84" customFormat="false" ht="15" hidden="false" customHeight="false" outlineLevel="0" collapsed="false">
      <c r="A84" s="0" t="s">
        <v>113</v>
      </c>
      <c r="B84" s="23" t="n">
        <f aca="false">SUM('Monthly CF'!C42:CT42)</f>
        <v>5566471.38334289</v>
      </c>
    </row>
    <row r="85" customFormat="false" ht="15" hidden="false" customHeight="false" outlineLevel="0" collapsed="false">
      <c r="A85" s="0" t="s">
        <v>114</v>
      </c>
      <c r="B85" s="23" t="n">
        <f aca="false">B83*B55</f>
        <v>235963.173700021</v>
      </c>
    </row>
    <row r="86" customFormat="false" ht="15" hidden="false" customHeight="false" outlineLevel="0" collapsed="false">
      <c r="A86" s="0" t="s">
        <v>115</v>
      </c>
      <c r="B86" s="23" t="n">
        <f aca="false">B81+B84+B85</f>
        <v>62502418.8373772</v>
      </c>
    </row>
    <row r="87" customFormat="false" ht="15" hidden="false" customHeight="false" outlineLevel="0" collapsed="false">
      <c r="A87" s="0" t="s">
        <v>116</v>
      </c>
      <c r="B87" s="25" t="n">
        <f aca="false">(1-B51)*B81</f>
        <v>14174996.0700836</v>
      </c>
    </row>
    <row r="88" customFormat="false" ht="15" hidden="false" customHeight="false" outlineLevel="0" collapsed="false">
      <c r="A88" s="0" t="s">
        <v>117</v>
      </c>
      <c r="B88" s="23" t="n">
        <f aca="false">B87*B75</f>
        <v>14174996.0700836</v>
      </c>
    </row>
    <row r="89" customFormat="false" ht="15" hidden="false" customHeight="false" outlineLevel="0" collapsed="false">
      <c r="A89" s="0" t="s">
        <v>118</v>
      </c>
      <c r="B89" s="23" t="n">
        <f aca="false">B87-B88</f>
        <v>0</v>
      </c>
    </row>
    <row r="90" customFormat="false" ht="15" hidden="false" customHeight="false" outlineLevel="0" collapsed="false">
      <c r="A90" s="0" t="s">
        <v>119</v>
      </c>
      <c r="B90" s="23" t="n">
        <f aca="false">IF(B78="On",'Construction Budget'!C19+'Construction Budget'!C20,0)</f>
        <v>0</v>
      </c>
    </row>
    <row r="91" customFormat="false" ht="15" hidden="false" customHeight="false" outlineLevel="0" collapsed="false">
      <c r="A91" s="0" t="s">
        <v>120</v>
      </c>
      <c r="B91" s="23" t="n">
        <f aca="false">INDEX('Monthly CF'!$C$47:$CT$47,1,B58)</f>
        <v>49878071.6777361</v>
      </c>
    </row>
    <row r="92" customFormat="false" ht="15" hidden="false" customHeight="false" outlineLevel="0" collapsed="false">
      <c r="A92" s="0" t="s">
        <v>121</v>
      </c>
      <c r="B92" s="23" t="n">
        <f aca="false">IFERROR(PMT(B62/12,B63,-B91),0)</f>
        <v>292822.427482303</v>
      </c>
    </row>
    <row r="93" customFormat="false" ht="15" hidden="false" customHeight="false" outlineLevel="0" collapsed="false">
      <c r="A93" s="0" t="s">
        <v>122</v>
      </c>
      <c r="B93" s="12" t="n">
        <f aca="false">IF(B69="Sell",B70,96)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2" t="s">
        <v>123</v>
      </c>
    </row>
    <row r="2" customFormat="false" ht="15" hidden="false" customHeight="false" outlineLevel="0" collapsed="false">
      <c r="D2" s="3" t="s">
        <v>124</v>
      </c>
    </row>
    <row r="3" customFormat="false" ht="15" hidden="false" customHeight="false" outlineLevel="0" collapsed="false">
      <c r="B3" s="2" t="s">
        <v>125</v>
      </c>
    </row>
    <row r="4" customFormat="false" ht="15" hidden="false" customHeight="false" outlineLevel="0" collapsed="false">
      <c r="B4" s="26" t="s">
        <v>126</v>
      </c>
      <c r="C4" s="5" t="n">
        <f aca="false">Inputs!$B$22*Inputs!$B$5+Inputs!$B$23</f>
        <v>37680850</v>
      </c>
      <c r="D4" s="5" t="n">
        <f aca="false">IFERROR(C4/Inputs!$B$6,0)</f>
        <v>130836.284722222</v>
      </c>
    </row>
    <row r="5" customFormat="false" ht="15" hidden="false" customHeight="false" outlineLevel="0" collapsed="false">
      <c r="B5" s="26" t="s">
        <v>127</v>
      </c>
      <c r="C5" s="5" t="n">
        <f aca="false">Inputs!$B$25*C4</f>
        <v>3768085</v>
      </c>
      <c r="D5" s="5" t="n">
        <f aca="false">IFERROR(C5/Inputs!$B$6,0)</f>
        <v>13083.6284722222</v>
      </c>
    </row>
    <row r="6" customFormat="false" ht="15" hidden="false" customHeight="false" outlineLevel="0" collapsed="false">
      <c r="B6" s="26" t="s">
        <v>128</v>
      </c>
      <c r="C6" s="5" t="n">
        <f aca="false">(C4+C5)/(1-Inputs!$B$24)-(C4+C5)</f>
        <v>2181522.89473684</v>
      </c>
      <c r="D6" s="5" t="n">
        <f aca="false">IFERROR(C6/Inputs!$B$6,0)</f>
        <v>7574.73227339181</v>
      </c>
    </row>
    <row r="7" customFormat="false" ht="15" hidden="false" customHeight="false" outlineLevel="0" collapsed="false">
      <c r="B7" s="2" t="s">
        <v>129</v>
      </c>
      <c r="C7" s="27" t="n">
        <f aca="false">SUM(C4:C6)</f>
        <v>43630457.8947368</v>
      </c>
      <c r="D7" s="5" t="n">
        <f aca="false">IFERROR(C7/Inputs!$B$6,0)</f>
        <v>151494.645467836</v>
      </c>
    </row>
    <row r="9" customFormat="false" ht="15" hidden="false" customHeight="false" outlineLevel="0" collapsed="false">
      <c r="B9" s="2" t="s">
        <v>130</v>
      </c>
    </row>
    <row r="10" customFormat="false" ht="15" hidden="false" customHeight="false" outlineLevel="0" collapsed="false">
      <c r="B10" s="26" t="s">
        <v>131</v>
      </c>
      <c r="C10" s="5" t="n">
        <f aca="false">1800*Inputs!$B$6</f>
        <v>518400</v>
      </c>
      <c r="D10" s="5" t="n">
        <f aca="false">IFERROR(C10/Inputs!$B$6,0)</f>
        <v>1800</v>
      </c>
    </row>
    <row r="11" customFormat="false" ht="15" hidden="false" customHeight="false" outlineLevel="0" collapsed="false">
      <c r="B11" s="26" t="s">
        <v>132</v>
      </c>
      <c r="C11" s="5" t="n">
        <f aca="false">150*Inputs!$B$6</f>
        <v>43200</v>
      </c>
      <c r="D11" s="5" t="n">
        <f aca="false">IFERROR(C11/Inputs!$B$6,0)</f>
        <v>150</v>
      </c>
    </row>
    <row r="12" customFormat="false" ht="15" hidden="false" customHeight="false" outlineLevel="0" collapsed="false">
      <c r="B12" s="26" t="s">
        <v>133</v>
      </c>
      <c r="C12" s="5" t="n">
        <f aca="false">20000+95000+2500+68000+5100+4500+700</f>
        <v>195800</v>
      </c>
      <c r="D12" s="5" t="n">
        <f aca="false">IFERROR(C12/Inputs!$B$6,0)</f>
        <v>679.861111111111</v>
      </c>
    </row>
    <row r="13" customFormat="false" ht="15" hidden="false" customHeight="false" outlineLevel="0" collapsed="false">
      <c r="B13" s="26" t="s">
        <v>134</v>
      </c>
      <c r="C13" s="5" t="n">
        <f aca="false">C7/1000*11</f>
        <v>479935.036842105</v>
      </c>
      <c r="D13" s="5" t="n">
        <f aca="false">IFERROR(C13/Inputs!$B$6,0)</f>
        <v>1666.4411001462</v>
      </c>
    </row>
    <row r="14" customFormat="false" ht="15" hidden="false" customHeight="false" outlineLevel="0" collapsed="false">
      <c r="B14" s="26" t="s">
        <v>135</v>
      </c>
      <c r="C14" s="5" t="n">
        <f aca="false">Inputs!$B$29*Inputs!$B$6</f>
        <v>1188576</v>
      </c>
      <c r="D14" s="5" t="n">
        <f aca="false">IFERROR(C14/Inputs!$B$6,0)</f>
        <v>4127</v>
      </c>
    </row>
    <row r="15" customFormat="false" ht="15" hidden="false" customHeight="false" outlineLevel="0" collapsed="false">
      <c r="B15" s="26" t="s">
        <v>136</v>
      </c>
      <c r="C15" s="5" t="n">
        <f aca="false">(230+200)*Inputs!$B$6</f>
        <v>123840</v>
      </c>
      <c r="D15" s="5" t="n">
        <f aca="false">IFERROR(C15/Inputs!$B$6,0)</f>
        <v>430</v>
      </c>
    </row>
    <row r="16" customFormat="false" ht="15" hidden="false" customHeight="false" outlineLevel="0" collapsed="false">
      <c r="B16" s="26" t="s">
        <v>137</v>
      </c>
      <c r="C16" s="5" t="n">
        <f aca="false">0.005*(C7+SUM(C10:C15))</f>
        <v>230901.044657895</v>
      </c>
      <c r="D16" s="5" t="n">
        <f aca="false">IFERROR(C16/Inputs!$B$6,0)</f>
        <v>801.739738395468</v>
      </c>
    </row>
    <row r="17" customFormat="false" ht="15" hidden="false" customHeight="false" outlineLevel="0" collapsed="false">
      <c r="B17" s="2" t="s">
        <v>138</v>
      </c>
      <c r="C17" s="27" t="n">
        <f aca="false">SUM(C10:C16)</f>
        <v>2780652.0815</v>
      </c>
      <c r="D17" s="5" t="n">
        <f aca="false">IFERROR(C17/Inputs!$B$6,0)</f>
        <v>9655.04194965278</v>
      </c>
    </row>
    <row r="18" customFormat="false" ht="15" hidden="false" customHeight="false" outlineLevel="0" collapsed="false">
      <c r="B18" s="26" t="s">
        <v>139</v>
      </c>
      <c r="C18" s="5" t="n">
        <f aca="false">Inputs!$B$26*C17</f>
        <v>55613.04163</v>
      </c>
      <c r="D18" s="5" t="n">
        <f aca="false">IFERROR(C18/Inputs!$B$6,0)</f>
        <v>193.100838993056</v>
      </c>
    </row>
    <row r="19" customFormat="false" ht="15" hidden="false" customHeight="false" outlineLevel="0" collapsed="false">
      <c r="B19" s="26" t="s">
        <v>140</v>
      </c>
      <c r="C19" s="5" t="n">
        <f aca="false">Inputs!$B$27*C7</f>
        <v>1745218.31578947</v>
      </c>
      <c r="D19" s="5" t="n">
        <f aca="false">IFERROR(C19/Inputs!$B$6,0)</f>
        <v>6059.78581871345</v>
      </c>
    </row>
    <row r="20" customFormat="false" ht="15" hidden="false" customHeight="false" outlineLevel="0" collapsed="false">
      <c r="B20" s="26" t="s">
        <v>141</v>
      </c>
      <c r="C20" s="5" t="n">
        <f aca="false">Inputs!$B$28*(C7+C17+C18+C19)</f>
        <v>1687417.94667797</v>
      </c>
      <c r="D20" s="5" t="n">
        <f aca="false">IFERROR(C20/Inputs!$B$6,0)</f>
        <v>5859.09009263185</v>
      </c>
    </row>
    <row r="22" customFormat="false" ht="15" hidden="false" customHeight="false" outlineLevel="0" collapsed="false">
      <c r="B22" s="2" t="s">
        <v>142</v>
      </c>
      <c r="C22" s="27" t="n">
        <f aca="false">C7+C17+C18+C19+C20</f>
        <v>49899359.2803343</v>
      </c>
      <c r="D22" s="5" t="n">
        <f aca="false">IFERROR(C22/Inputs!$B$6,0)</f>
        <v>173261.664167827</v>
      </c>
    </row>
    <row r="24" customFormat="false" ht="15" hidden="false" customHeight="false" outlineLevel="0" collapsed="false">
      <c r="B24" s="0" t="s">
        <v>143</v>
      </c>
      <c r="C24" s="5" t="n">
        <f aca="false">C12</f>
        <v>195800</v>
      </c>
    </row>
    <row r="26" customFormat="false" ht="15" hidden="false" customHeight="false" outlineLevel="0" collapsed="false">
      <c r="B26" s="2" t="s">
        <v>144</v>
      </c>
    </row>
    <row r="27" customFormat="false" ht="15" hidden="false" customHeight="false" outlineLevel="0" collapsed="false">
      <c r="B27" s="0" t="s">
        <v>145</v>
      </c>
      <c r="F27" s="0" t="n">
        <v>1</v>
      </c>
      <c r="G27" s="0" t="n">
        <v>2</v>
      </c>
      <c r="H27" s="0" t="n">
        <v>3</v>
      </c>
      <c r="I27" s="0" t="n">
        <v>4</v>
      </c>
      <c r="J27" s="0" t="n">
        <v>5</v>
      </c>
      <c r="K27" s="0" t="n">
        <v>6</v>
      </c>
      <c r="L27" s="0" t="n">
        <v>7</v>
      </c>
      <c r="M27" s="0" t="n">
        <v>8</v>
      </c>
      <c r="N27" s="0" t="n">
        <v>9</v>
      </c>
      <c r="O27" s="0" t="n">
        <v>10</v>
      </c>
      <c r="P27" s="0" t="n">
        <v>11</v>
      </c>
      <c r="Q27" s="0" t="n">
        <v>12</v>
      </c>
      <c r="R27" s="0" t="n">
        <v>13</v>
      </c>
      <c r="S27" s="0" t="n">
        <v>14</v>
      </c>
      <c r="T27" s="0" t="n">
        <v>15</v>
      </c>
      <c r="U27" s="0" t="n">
        <v>16</v>
      </c>
      <c r="V27" s="0" t="n">
        <v>17</v>
      </c>
      <c r="W27" s="0" t="n">
        <v>18</v>
      </c>
      <c r="X27" s="0" t="n">
        <v>19</v>
      </c>
      <c r="Y27" s="0" t="n">
        <v>20</v>
      </c>
      <c r="Z27" s="0" t="n">
        <v>21</v>
      </c>
      <c r="AA27" s="0" t="n">
        <v>22</v>
      </c>
      <c r="AB27" s="0" t="n">
        <v>23</v>
      </c>
      <c r="AC27" s="0" t="n">
        <v>24</v>
      </c>
      <c r="AD27" s="0" t="n">
        <v>25</v>
      </c>
      <c r="AE27" s="0" t="n">
        <v>26</v>
      </c>
      <c r="AF27" s="0" t="n">
        <v>27</v>
      </c>
      <c r="AG27" s="0" t="n">
        <v>28</v>
      </c>
      <c r="AH27" s="0" t="n">
        <v>29</v>
      </c>
      <c r="AI27" s="0" t="n">
        <v>30</v>
      </c>
      <c r="AJ27" s="0" t="n">
        <v>31</v>
      </c>
      <c r="AK27" s="0" t="n">
        <v>32</v>
      </c>
      <c r="AL27" s="0" t="n">
        <v>33</v>
      </c>
      <c r="AM27" s="0" t="n">
        <v>34</v>
      </c>
      <c r="AN27" s="0" t="n">
        <v>35</v>
      </c>
      <c r="AO27" s="0" t="n">
        <v>36</v>
      </c>
      <c r="AP27" s="0" t="n">
        <v>37</v>
      </c>
      <c r="AQ27" s="0" t="n">
        <v>38</v>
      </c>
      <c r="AR27" s="0" t="n">
        <v>39</v>
      </c>
      <c r="AS27" s="0" t="n">
        <v>40</v>
      </c>
      <c r="AT27" s="0" t="n">
        <v>41</v>
      </c>
      <c r="AU27" s="0" t="n">
        <v>42</v>
      </c>
      <c r="AV27" s="0" t="n">
        <v>43</v>
      </c>
      <c r="AW27" s="0" t="n">
        <v>44</v>
      </c>
      <c r="AX27" s="0" t="n">
        <v>45</v>
      </c>
      <c r="AY27" s="0" t="n">
        <v>46</v>
      </c>
      <c r="AZ27" s="0" t="n">
        <v>47</v>
      </c>
      <c r="BA27" s="0" t="n">
        <v>48</v>
      </c>
      <c r="BB27" s="0" t="n">
        <v>49</v>
      </c>
      <c r="BC27" s="0" t="n">
        <v>50</v>
      </c>
      <c r="BD27" s="0" t="n">
        <v>51</v>
      </c>
      <c r="BE27" s="0" t="n">
        <v>52</v>
      </c>
      <c r="BF27" s="0" t="n">
        <v>53</v>
      </c>
      <c r="BG27" s="0" t="n">
        <v>54</v>
      </c>
      <c r="BH27" s="0" t="n">
        <v>55</v>
      </c>
      <c r="BI27" s="0" t="n">
        <v>56</v>
      </c>
      <c r="BJ27" s="0" t="n">
        <v>57</v>
      </c>
      <c r="BK27" s="0" t="n">
        <v>58</v>
      </c>
      <c r="BL27" s="0" t="n">
        <v>59</v>
      </c>
      <c r="BM27" s="0" t="n">
        <v>60</v>
      </c>
      <c r="BN27" s="0" t="n">
        <v>61</v>
      </c>
      <c r="BO27" s="0" t="n">
        <v>62</v>
      </c>
      <c r="BP27" s="0" t="n">
        <v>63</v>
      </c>
      <c r="BQ27" s="0" t="n">
        <v>64</v>
      </c>
      <c r="BR27" s="0" t="n">
        <v>65</v>
      </c>
      <c r="BS27" s="0" t="n">
        <v>66</v>
      </c>
      <c r="BT27" s="0" t="n">
        <v>67</v>
      </c>
      <c r="BU27" s="0" t="n">
        <v>68</v>
      </c>
      <c r="BV27" s="0" t="n">
        <v>69</v>
      </c>
      <c r="BW27" s="0" t="n">
        <v>70</v>
      </c>
      <c r="BX27" s="0" t="n">
        <v>71</v>
      </c>
      <c r="BY27" s="0" t="n">
        <v>72</v>
      </c>
      <c r="BZ27" s="0" t="n">
        <v>73</v>
      </c>
      <c r="CA27" s="0" t="n">
        <v>74</v>
      </c>
      <c r="CB27" s="0" t="n">
        <v>75</v>
      </c>
      <c r="CC27" s="0" t="n">
        <v>76</v>
      </c>
      <c r="CD27" s="0" t="n">
        <v>77</v>
      </c>
      <c r="CE27" s="0" t="n">
        <v>78</v>
      </c>
      <c r="CF27" s="0" t="n">
        <v>79</v>
      </c>
      <c r="CG27" s="0" t="n">
        <v>80</v>
      </c>
      <c r="CH27" s="0" t="n">
        <v>81</v>
      </c>
      <c r="CI27" s="0" t="n">
        <v>82</v>
      </c>
      <c r="CJ27" s="0" t="n">
        <v>83</v>
      </c>
      <c r="CK27" s="0" t="n">
        <v>84</v>
      </c>
      <c r="CL27" s="0" t="n">
        <v>85</v>
      </c>
      <c r="CM27" s="0" t="n">
        <v>86</v>
      </c>
      <c r="CN27" s="0" t="n">
        <v>87</v>
      </c>
      <c r="CO27" s="0" t="n">
        <v>88</v>
      </c>
      <c r="CP27" s="0" t="n">
        <v>89</v>
      </c>
      <c r="CQ27" s="0" t="n">
        <v>90</v>
      </c>
      <c r="CR27" s="0" t="n">
        <v>91</v>
      </c>
      <c r="CS27" s="0" t="n">
        <v>92</v>
      </c>
      <c r="CT27" s="0" t="n">
        <v>93</v>
      </c>
      <c r="CU27" s="0" t="n">
        <v>94</v>
      </c>
      <c r="CV27" s="0" t="n">
        <v>95</v>
      </c>
      <c r="CW27" s="0" t="n">
        <v>96</v>
      </c>
    </row>
    <row r="28" customFormat="false" ht="15" hidden="false" customHeight="false" outlineLevel="0" collapsed="false">
      <c r="B28" s="0" t="s">
        <v>146</v>
      </c>
      <c r="E28" s="0" t="n">
        <f aca="false">SUM(F28:CW28)</f>
        <v>0.903651647168022</v>
      </c>
      <c r="F28" s="0" t="n">
        <f aca="false">IF(AND(F27&gt;=Inputs!$B$9,F27&lt;=Inputs!$B$9+Inputs!$B$8-1),NORMDIST(F27,Inputs!$B$9+Inputs!$B$8/2,Inputs!$B$30,0),0)</f>
        <v>0</v>
      </c>
      <c r="G28" s="0" t="n">
        <f aca="false">IF(AND(G27&gt;=Inputs!$B$9,G27&lt;=Inputs!$B$9+Inputs!$B$8-1),NORMDIST(G27,Inputs!$B$9+Inputs!$B$8/2,Inputs!$B$30,0),0)</f>
        <v>0.0165795231321248</v>
      </c>
      <c r="H28" s="0" t="n">
        <f aca="false">IF(AND(H27&gt;=Inputs!$B$9,H27&lt;=Inputs!$B$9+Inputs!$B$8-1),NORMDIST(H27,Inputs!$B$9+Inputs!$B$8/2,Inputs!$B$30,0),0)</f>
        <v>0.0215862659443153</v>
      </c>
      <c r="I28" s="0" t="n">
        <f aca="false">IF(AND(I27&gt;=Inputs!$B$9,I27&lt;=Inputs!$B$9+Inputs!$B$8-1),NORMDIST(I27,Inputs!$B$9+Inputs!$B$8/2,Inputs!$B$30,0),0)</f>
        <v>0.0273350124459989</v>
      </c>
      <c r="J28" s="0" t="n">
        <f aca="false">IF(AND(J27&gt;=Inputs!$B$9,J27&lt;=Inputs!$B$9+Inputs!$B$8-1),NORMDIST(J27,Inputs!$B$9+Inputs!$B$8/2,Inputs!$B$30,0),0)</f>
        <v>0.0336664475923431</v>
      </c>
      <c r="K28" s="0" t="n">
        <f aca="false">IF(AND(K27&gt;=Inputs!$B$9,K27&lt;=Inputs!$B$9+Inputs!$B$8-1),NORMDIST(K27,Inputs!$B$9+Inputs!$B$8/2,Inputs!$B$30,0),0)</f>
        <v>0.0403284540865239</v>
      </c>
      <c r="L28" s="0" t="n">
        <f aca="false">IF(AND(L27&gt;=Inputs!$B$9,L27&lt;=Inputs!$B$9+Inputs!$B$8-1),NORMDIST(L27,Inputs!$B$9+Inputs!$B$8/2,Inputs!$B$30,0),0)</f>
        <v>0.0469853125683838</v>
      </c>
      <c r="M28" s="0" t="n">
        <f aca="false">IF(AND(M27&gt;=Inputs!$B$9,M27&lt;=Inputs!$B$9+Inputs!$B$8-1),NORMDIST(M27,Inputs!$B$9+Inputs!$B$8/2,Inputs!$B$30,0),0)</f>
        <v>0.0532413342537254</v>
      </c>
      <c r="N28" s="0" t="n">
        <f aca="false">IF(AND(N27&gt;=Inputs!$B$9,N27&lt;=Inputs!$B$9+Inputs!$B$8-1),NORMDIST(N27,Inputs!$B$9+Inputs!$B$8/2,Inputs!$B$30,0),0)</f>
        <v>0.0586775544607166</v>
      </c>
      <c r="O28" s="0" t="n">
        <f aca="false">IF(AND(O27&gt;=Inputs!$B$9,O27&lt;=Inputs!$B$9+Inputs!$B$8-1),NORMDIST(O27,Inputs!$B$9+Inputs!$B$8/2,Inputs!$B$30,0),0)</f>
        <v>0.0628972046154989</v>
      </c>
      <c r="P28" s="0" t="n">
        <f aca="false">IF(AND(P27&gt;=Inputs!$B$9,P27&lt;=Inputs!$B$9+Inputs!$B$8-1),NORMDIST(P27,Inputs!$B$9+Inputs!$B$8/2,Inputs!$B$30,0),0)</f>
        <v>0.06557328601699</v>
      </c>
      <c r="Q28" s="0" t="n">
        <f aca="false">IF(AND(Q27&gt;=Inputs!$B$9,Q27&lt;=Inputs!$B$9+Inputs!$B$8-1),NORMDIST(Q27,Inputs!$B$9+Inputs!$B$8/2,Inputs!$B$30,0),0)</f>
        <v>0.0664903800669055</v>
      </c>
      <c r="R28" s="0" t="n">
        <f aca="false">IF(AND(R27&gt;=Inputs!$B$9,R27&lt;=Inputs!$B$9+Inputs!$B$8-1),NORMDIST(R27,Inputs!$B$9+Inputs!$B$8/2,Inputs!$B$30,0),0)</f>
        <v>0.06557328601699</v>
      </c>
      <c r="S28" s="0" t="n">
        <f aca="false">IF(AND(S27&gt;=Inputs!$B$9,S27&lt;=Inputs!$B$9+Inputs!$B$8-1),NORMDIST(S27,Inputs!$B$9+Inputs!$B$8/2,Inputs!$B$30,0),0)</f>
        <v>0.0628972046154989</v>
      </c>
      <c r="T28" s="0" t="n">
        <f aca="false">IF(AND(T27&gt;=Inputs!$B$9,T27&lt;=Inputs!$B$9+Inputs!$B$8-1),NORMDIST(T27,Inputs!$B$9+Inputs!$B$8/2,Inputs!$B$30,0),0)</f>
        <v>0.0586775544607166</v>
      </c>
      <c r="U28" s="0" t="n">
        <f aca="false">IF(AND(U27&gt;=Inputs!$B$9,U27&lt;=Inputs!$B$9+Inputs!$B$8-1),NORMDIST(U27,Inputs!$B$9+Inputs!$B$8/2,Inputs!$B$30,0),0)</f>
        <v>0.0532413342537254</v>
      </c>
      <c r="V28" s="0" t="n">
        <f aca="false">IF(AND(V27&gt;=Inputs!$B$9,V27&lt;=Inputs!$B$9+Inputs!$B$8-1),NORMDIST(V27,Inputs!$B$9+Inputs!$B$8/2,Inputs!$B$30,0),0)</f>
        <v>0.0469853125683838</v>
      </c>
      <c r="W28" s="0" t="n">
        <f aca="false">IF(AND(W27&gt;=Inputs!$B$9,W27&lt;=Inputs!$B$9+Inputs!$B$8-1),NORMDIST(W27,Inputs!$B$9+Inputs!$B$8/2,Inputs!$B$30,0),0)</f>
        <v>0.0403284540865239</v>
      </c>
      <c r="X28" s="0" t="n">
        <f aca="false">IF(AND(X27&gt;=Inputs!$B$9,X27&lt;=Inputs!$B$9+Inputs!$B$8-1),NORMDIST(X27,Inputs!$B$9+Inputs!$B$8/2,Inputs!$B$30,0),0)</f>
        <v>0.0336664475923431</v>
      </c>
      <c r="Y28" s="0" t="n">
        <f aca="false">IF(AND(Y27&gt;=Inputs!$B$9,Y27&lt;=Inputs!$B$9+Inputs!$B$8-1),NORMDIST(Y27,Inputs!$B$9+Inputs!$B$8/2,Inputs!$B$30,0),0)</f>
        <v>0.0273350124459989</v>
      </c>
      <c r="Z28" s="0" t="n">
        <f aca="false">IF(AND(Z27&gt;=Inputs!$B$9,Z27&lt;=Inputs!$B$9+Inputs!$B$8-1),NORMDIST(Z27,Inputs!$B$9+Inputs!$B$8/2,Inputs!$B$30,0),0)</f>
        <v>0.0215862659443153</v>
      </c>
      <c r="AA28" s="0" t="n">
        <f aca="false">IF(AND(AA27&gt;=Inputs!$B$9,AA27&lt;=Inputs!$B$9+Inputs!$B$8-1),NORMDIST(AA27,Inputs!$B$9+Inputs!$B$8/2,Inputs!$B$30,0),0)</f>
        <v>0</v>
      </c>
      <c r="AB28" s="0" t="n">
        <f aca="false">IF(AND(AB27&gt;=Inputs!$B$9,AB27&lt;=Inputs!$B$9+Inputs!$B$8-1),NORMDIST(AB27,Inputs!$B$9+Inputs!$B$8/2,Inputs!$B$30,0),0)</f>
        <v>0</v>
      </c>
      <c r="AC28" s="0" t="n">
        <f aca="false">IF(AND(AC27&gt;=Inputs!$B$9,AC27&lt;=Inputs!$B$9+Inputs!$B$8-1),NORMDIST(AC27,Inputs!$B$9+Inputs!$B$8/2,Inputs!$B$30,0),0)</f>
        <v>0</v>
      </c>
      <c r="AD28" s="0" t="n">
        <f aca="false">IF(AND(AD27&gt;=Inputs!$B$9,AD27&lt;=Inputs!$B$9+Inputs!$B$8-1),NORMDIST(AD27,Inputs!$B$9+Inputs!$B$8/2,Inputs!$B$30,0),0)</f>
        <v>0</v>
      </c>
      <c r="AE28" s="0" t="n">
        <f aca="false">IF(AND(AE27&gt;=Inputs!$B$9,AE27&lt;=Inputs!$B$9+Inputs!$B$8-1),NORMDIST(AE27,Inputs!$B$9+Inputs!$B$8/2,Inputs!$B$30,0),0)</f>
        <v>0</v>
      </c>
      <c r="AF28" s="0" t="n">
        <f aca="false">IF(AND(AF27&gt;=Inputs!$B$9,AF27&lt;=Inputs!$B$9+Inputs!$B$8-1),NORMDIST(AF27,Inputs!$B$9+Inputs!$B$8/2,Inputs!$B$30,0),0)</f>
        <v>0</v>
      </c>
      <c r="AG28" s="0" t="n">
        <f aca="false">IF(AND(AG27&gt;=Inputs!$B$9,AG27&lt;=Inputs!$B$9+Inputs!$B$8-1),NORMDIST(AG27,Inputs!$B$9+Inputs!$B$8/2,Inputs!$B$30,0),0)</f>
        <v>0</v>
      </c>
      <c r="AH28" s="0" t="n">
        <f aca="false">IF(AND(AH27&gt;=Inputs!$B$9,AH27&lt;=Inputs!$B$9+Inputs!$B$8-1),NORMDIST(AH27,Inputs!$B$9+Inputs!$B$8/2,Inputs!$B$30,0),0)</f>
        <v>0</v>
      </c>
      <c r="AI28" s="0" t="n">
        <f aca="false">IF(AND(AI27&gt;=Inputs!$B$9,AI27&lt;=Inputs!$B$9+Inputs!$B$8-1),NORMDIST(AI27,Inputs!$B$9+Inputs!$B$8/2,Inputs!$B$30,0),0)</f>
        <v>0</v>
      </c>
      <c r="AJ28" s="0" t="n">
        <f aca="false">IF(AND(AJ27&gt;=Inputs!$B$9,AJ27&lt;=Inputs!$B$9+Inputs!$B$8-1),NORMDIST(AJ27,Inputs!$B$9+Inputs!$B$8/2,Inputs!$B$30,0),0)</f>
        <v>0</v>
      </c>
      <c r="AK28" s="0" t="n">
        <f aca="false">IF(AND(AK27&gt;=Inputs!$B$9,AK27&lt;=Inputs!$B$9+Inputs!$B$8-1),NORMDIST(AK27,Inputs!$B$9+Inputs!$B$8/2,Inputs!$B$30,0),0)</f>
        <v>0</v>
      </c>
      <c r="AL28" s="0" t="n">
        <f aca="false">IF(AND(AL27&gt;=Inputs!$B$9,AL27&lt;=Inputs!$B$9+Inputs!$B$8-1),NORMDIST(AL27,Inputs!$B$9+Inputs!$B$8/2,Inputs!$B$30,0),0)</f>
        <v>0</v>
      </c>
      <c r="AM28" s="0" t="n">
        <f aca="false">IF(AND(AM27&gt;=Inputs!$B$9,AM27&lt;=Inputs!$B$9+Inputs!$B$8-1),NORMDIST(AM27,Inputs!$B$9+Inputs!$B$8/2,Inputs!$B$30,0),0)</f>
        <v>0</v>
      </c>
      <c r="AN28" s="0" t="n">
        <f aca="false">IF(AND(AN27&gt;=Inputs!$B$9,AN27&lt;=Inputs!$B$9+Inputs!$B$8-1),NORMDIST(AN27,Inputs!$B$9+Inputs!$B$8/2,Inputs!$B$30,0),0)</f>
        <v>0</v>
      </c>
      <c r="AO28" s="0" t="n">
        <f aca="false">IF(AND(AO27&gt;=Inputs!$B$9,AO27&lt;=Inputs!$B$9+Inputs!$B$8-1),NORMDIST(AO27,Inputs!$B$9+Inputs!$B$8/2,Inputs!$B$30,0),0)</f>
        <v>0</v>
      </c>
      <c r="AP28" s="0" t="n">
        <f aca="false">IF(AND(AP27&gt;=Inputs!$B$9,AP27&lt;=Inputs!$B$9+Inputs!$B$8-1),NORMDIST(AP27,Inputs!$B$9+Inputs!$B$8/2,Inputs!$B$30,0),0)</f>
        <v>0</v>
      </c>
      <c r="AQ28" s="0" t="n">
        <f aca="false">IF(AND(AQ27&gt;=Inputs!$B$9,AQ27&lt;=Inputs!$B$9+Inputs!$B$8-1),NORMDIST(AQ27,Inputs!$B$9+Inputs!$B$8/2,Inputs!$B$30,0),0)</f>
        <v>0</v>
      </c>
      <c r="AR28" s="0" t="n">
        <f aca="false">IF(AND(AR27&gt;=Inputs!$B$9,AR27&lt;=Inputs!$B$9+Inputs!$B$8-1),NORMDIST(AR27,Inputs!$B$9+Inputs!$B$8/2,Inputs!$B$30,0),0)</f>
        <v>0</v>
      </c>
      <c r="AS28" s="0" t="n">
        <f aca="false">IF(AND(AS27&gt;=Inputs!$B$9,AS27&lt;=Inputs!$B$9+Inputs!$B$8-1),NORMDIST(AS27,Inputs!$B$9+Inputs!$B$8/2,Inputs!$B$30,0),0)</f>
        <v>0</v>
      </c>
      <c r="AT28" s="0" t="n">
        <f aca="false">IF(AND(AT27&gt;=Inputs!$B$9,AT27&lt;=Inputs!$B$9+Inputs!$B$8-1),NORMDIST(AT27,Inputs!$B$9+Inputs!$B$8/2,Inputs!$B$30,0),0)</f>
        <v>0</v>
      </c>
      <c r="AU28" s="0" t="n">
        <f aca="false">IF(AND(AU27&gt;=Inputs!$B$9,AU27&lt;=Inputs!$B$9+Inputs!$B$8-1),NORMDIST(AU27,Inputs!$B$9+Inputs!$B$8/2,Inputs!$B$30,0),0)</f>
        <v>0</v>
      </c>
      <c r="AV28" s="0" t="n">
        <f aca="false">IF(AND(AV27&gt;=Inputs!$B$9,AV27&lt;=Inputs!$B$9+Inputs!$B$8-1),NORMDIST(AV27,Inputs!$B$9+Inputs!$B$8/2,Inputs!$B$30,0),0)</f>
        <v>0</v>
      </c>
      <c r="AW28" s="0" t="n">
        <f aca="false">IF(AND(AW27&gt;=Inputs!$B$9,AW27&lt;=Inputs!$B$9+Inputs!$B$8-1),NORMDIST(AW27,Inputs!$B$9+Inputs!$B$8/2,Inputs!$B$30,0),0)</f>
        <v>0</v>
      </c>
      <c r="AX28" s="0" t="n">
        <f aca="false">IF(AND(AX27&gt;=Inputs!$B$9,AX27&lt;=Inputs!$B$9+Inputs!$B$8-1),NORMDIST(AX27,Inputs!$B$9+Inputs!$B$8/2,Inputs!$B$30,0),0)</f>
        <v>0</v>
      </c>
      <c r="AY28" s="0" t="n">
        <f aca="false">IF(AND(AY27&gt;=Inputs!$B$9,AY27&lt;=Inputs!$B$9+Inputs!$B$8-1),NORMDIST(AY27,Inputs!$B$9+Inputs!$B$8/2,Inputs!$B$30,0),0)</f>
        <v>0</v>
      </c>
      <c r="AZ28" s="0" t="n">
        <f aca="false">IF(AND(AZ27&gt;=Inputs!$B$9,AZ27&lt;=Inputs!$B$9+Inputs!$B$8-1),NORMDIST(AZ27,Inputs!$B$9+Inputs!$B$8/2,Inputs!$B$30,0),0)</f>
        <v>0</v>
      </c>
      <c r="BA28" s="0" t="n">
        <f aca="false">IF(AND(BA27&gt;=Inputs!$B$9,BA27&lt;=Inputs!$B$9+Inputs!$B$8-1),NORMDIST(BA27,Inputs!$B$9+Inputs!$B$8/2,Inputs!$B$30,0),0)</f>
        <v>0</v>
      </c>
      <c r="BB28" s="0" t="n">
        <f aca="false">IF(AND(BB27&gt;=Inputs!$B$9,BB27&lt;=Inputs!$B$9+Inputs!$B$8-1),NORMDIST(BB27,Inputs!$B$9+Inputs!$B$8/2,Inputs!$B$30,0),0)</f>
        <v>0</v>
      </c>
      <c r="BC28" s="0" t="n">
        <f aca="false">IF(AND(BC27&gt;=Inputs!$B$9,BC27&lt;=Inputs!$B$9+Inputs!$B$8-1),NORMDIST(BC27,Inputs!$B$9+Inputs!$B$8/2,Inputs!$B$30,0),0)</f>
        <v>0</v>
      </c>
      <c r="BD28" s="0" t="n">
        <f aca="false">IF(AND(BD27&gt;=Inputs!$B$9,BD27&lt;=Inputs!$B$9+Inputs!$B$8-1),NORMDIST(BD27,Inputs!$B$9+Inputs!$B$8/2,Inputs!$B$30,0),0)</f>
        <v>0</v>
      </c>
      <c r="BE28" s="0" t="n">
        <f aca="false">IF(AND(BE27&gt;=Inputs!$B$9,BE27&lt;=Inputs!$B$9+Inputs!$B$8-1),NORMDIST(BE27,Inputs!$B$9+Inputs!$B$8/2,Inputs!$B$30,0),0)</f>
        <v>0</v>
      </c>
      <c r="BF28" s="0" t="n">
        <f aca="false">IF(AND(BF27&gt;=Inputs!$B$9,BF27&lt;=Inputs!$B$9+Inputs!$B$8-1),NORMDIST(BF27,Inputs!$B$9+Inputs!$B$8/2,Inputs!$B$30,0),0)</f>
        <v>0</v>
      </c>
      <c r="BG28" s="0" t="n">
        <f aca="false">IF(AND(BG27&gt;=Inputs!$B$9,BG27&lt;=Inputs!$B$9+Inputs!$B$8-1),NORMDIST(BG27,Inputs!$B$9+Inputs!$B$8/2,Inputs!$B$30,0),0)</f>
        <v>0</v>
      </c>
      <c r="BH28" s="0" t="n">
        <f aca="false">IF(AND(BH27&gt;=Inputs!$B$9,BH27&lt;=Inputs!$B$9+Inputs!$B$8-1),NORMDIST(BH27,Inputs!$B$9+Inputs!$B$8/2,Inputs!$B$30,0),0)</f>
        <v>0</v>
      </c>
      <c r="BI28" s="0" t="n">
        <f aca="false">IF(AND(BI27&gt;=Inputs!$B$9,BI27&lt;=Inputs!$B$9+Inputs!$B$8-1),NORMDIST(BI27,Inputs!$B$9+Inputs!$B$8/2,Inputs!$B$30,0),0)</f>
        <v>0</v>
      </c>
      <c r="BJ28" s="0" t="n">
        <f aca="false">IF(AND(BJ27&gt;=Inputs!$B$9,BJ27&lt;=Inputs!$B$9+Inputs!$B$8-1),NORMDIST(BJ27,Inputs!$B$9+Inputs!$B$8/2,Inputs!$B$30,0),0)</f>
        <v>0</v>
      </c>
      <c r="BK28" s="0" t="n">
        <f aca="false">IF(AND(BK27&gt;=Inputs!$B$9,BK27&lt;=Inputs!$B$9+Inputs!$B$8-1),NORMDIST(BK27,Inputs!$B$9+Inputs!$B$8/2,Inputs!$B$30,0),0)</f>
        <v>0</v>
      </c>
      <c r="BL28" s="0" t="n">
        <f aca="false">IF(AND(BL27&gt;=Inputs!$B$9,BL27&lt;=Inputs!$B$9+Inputs!$B$8-1),NORMDIST(BL27,Inputs!$B$9+Inputs!$B$8/2,Inputs!$B$30,0),0)</f>
        <v>0</v>
      </c>
      <c r="BM28" s="0" t="n">
        <f aca="false">IF(AND(BM27&gt;=Inputs!$B$9,BM27&lt;=Inputs!$B$9+Inputs!$B$8-1),NORMDIST(BM27,Inputs!$B$9+Inputs!$B$8/2,Inputs!$B$30,0),0)</f>
        <v>0</v>
      </c>
      <c r="BN28" s="0" t="n">
        <f aca="false">IF(AND(BN27&gt;=Inputs!$B$9,BN27&lt;=Inputs!$B$9+Inputs!$B$8-1),NORMDIST(BN27,Inputs!$B$9+Inputs!$B$8/2,Inputs!$B$30,0),0)</f>
        <v>0</v>
      </c>
      <c r="BO28" s="0" t="n">
        <f aca="false">IF(AND(BO27&gt;=Inputs!$B$9,BO27&lt;=Inputs!$B$9+Inputs!$B$8-1),NORMDIST(BO27,Inputs!$B$9+Inputs!$B$8/2,Inputs!$B$30,0),0)</f>
        <v>0</v>
      </c>
      <c r="BP28" s="0" t="n">
        <f aca="false">IF(AND(BP27&gt;=Inputs!$B$9,BP27&lt;=Inputs!$B$9+Inputs!$B$8-1),NORMDIST(BP27,Inputs!$B$9+Inputs!$B$8/2,Inputs!$B$30,0),0)</f>
        <v>0</v>
      </c>
      <c r="BQ28" s="0" t="n">
        <f aca="false">IF(AND(BQ27&gt;=Inputs!$B$9,BQ27&lt;=Inputs!$B$9+Inputs!$B$8-1),NORMDIST(BQ27,Inputs!$B$9+Inputs!$B$8/2,Inputs!$B$30,0),0)</f>
        <v>0</v>
      </c>
      <c r="BR28" s="0" t="n">
        <f aca="false">IF(AND(BR27&gt;=Inputs!$B$9,BR27&lt;=Inputs!$B$9+Inputs!$B$8-1),NORMDIST(BR27,Inputs!$B$9+Inputs!$B$8/2,Inputs!$B$30,0),0)</f>
        <v>0</v>
      </c>
      <c r="BS28" s="0" t="n">
        <f aca="false">IF(AND(BS27&gt;=Inputs!$B$9,BS27&lt;=Inputs!$B$9+Inputs!$B$8-1),NORMDIST(BS27,Inputs!$B$9+Inputs!$B$8/2,Inputs!$B$30,0),0)</f>
        <v>0</v>
      </c>
      <c r="BT28" s="0" t="n">
        <f aca="false">IF(AND(BT27&gt;=Inputs!$B$9,BT27&lt;=Inputs!$B$9+Inputs!$B$8-1),NORMDIST(BT27,Inputs!$B$9+Inputs!$B$8/2,Inputs!$B$30,0),0)</f>
        <v>0</v>
      </c>
      <c r="BU28" s="0" t="n">
        <f aca="false">IF(AND(BU27&gt;=Inputs!$B$9,BU27&lt;=Inputs!$B$9+Inputs!$B$8-1),NORMDIST(BU27,Inputs!$B$9+Inputs!$B$8/2,Inputs!$B$30,0),0)</f>
        <v>0</v>
      </c>
      <c r="BV28" s="0" t="n">
        <f aca="false">IF(AND(BV27&gt;=Inputs!$B$9,BV27&lt;=Inputs!$B$9+Inputs!$B$8-1),NORMDIST(BV27,Inputs!$B$9+Inputs!$B$8/2,Inputs!$B$30,0),0)</f>
        <v>0</v>
      </c>
      <c r="BW28" s="0" t="n">
        <f aca="false">IF(AND(BW27&gt;=Inputs!$B$9,BW27&lt;=Inputs!$B$9+Inputs!$B$8-1),NORMDIST(BW27,Inputs!$B$9+Inputs!$B$8/2,Inputs!$B$30,0),0)</f>
        <v>0</v>
      </c>
      <c r="BX28" s="0" t="n">
        <f aca="false">IF(AND(BX27&gt;=Inputs!$B$9,BX27&lt;=Inputs!$B$9+Inputs!$B$8-1),NORMDIST(BX27,Inputs!$B$9+Inputs!$B$8/2,Inputs!$B$30,0),0)</f>
        <v>0</v>
      </c>
      <c r="BY28" s="0" t="n">
        <f aca="false">IF(AND(BY27&gt;=Inputs!$B$9,BY27&lt;=Inputs!$B$9+Inputs!$B$8-1),NORMDIST(BY27,Inputs!$B$9+Inputs!$B$8/2,Inputs!$B$30,0),0)</f>
        <v>0</v>
      </c>
      <c r="BZ28" s="0" t="n">
        <f aca="false">IF(AND(BZ27&gt;=Inputs!$B$9,BZ27&lt;=Inputs!$B$9+Inputs!$B$8-1),NORMDIST(BZ27,Inputs!$B$9+Inputs!$B$8/2,Inputs!$B$30,0),0)</f>
        <v>0</v>
      </c>
      <c r="CA28" s="0" t="n">
        <f aca="false">IF(AND(CA27&gt;=Inputs!$B$9,CA27&lt;=Inputs!$B$9+Inputs!$B$8-1),NORMDIST(CA27,Inputs!$B$9+Inputs!$B$8/2,Inputs!$B$30,0),0)</f>
        <v>0</v>
      </c>
      <c r="CB28" s="0" t="n">
        <f aca="false">IF(AND(CB27&gt;=Inputs!$B$9,CB27&lt;=Inputs!$B$9+Inputs!$B$8-1),NORMDIST(CB27,Inputs!$B$9+Inputs!$B$8/2,Inputs!$B$30,0),0)</f>
        <v>0</v>
      </c>
      <c r="CC28" s="0" t="n">
        <f aca="false">IF(AND(CC27&gt;=Inputs!$B$9,CC27&lt;=Inputs!$B$9+Inputs!$B$8-1),NORMDIST(CC27,Inputs!$B$9+Inputs!$B$8/2,Inputs!$B$30,0),0)</f>
        <v>0</v>
      </c>
      <c r="CD28" s="0" t="n">
        <f aca="false">IF(AND(CD27&gt;=Inputs!$B$9,CD27&lt;=Inputs!$B$9+Inputs!$B$8-1),NORMDIST(CD27,Inputs!$B$9+Inputs!$B$8/2,Inputs!$B$30,0),0)</f>
        <v>0</v>
      </c>
      <c r="CE28" s="0" t="n">
        <f aca="false">IF(AND(CE27&gt;=Inputs!$B$9,CE27&lt;=Inputs!$B$9+Inputs!$B$8-1),NORMDIST(CE27,Inputs!$B$9+Inputs!$B$8/2,Inputs!$B$30,0),0)</f>
        <v>0</v>
      </c>
      <c r="CF28" s="0" t="n">
        <f aca="false">IF(AND(CF27&gt;=Inputs!$B$9,CF27&lt;=Inputs!$B$9+Inputs!$B$8-1),NORMDIST(CF27,Inputs!$B$9+Inputs!$B$8/2,Inputs!$B$30,0),0)</f>
        <v>0</v>
      </c>
      <c r="CG28" s="0" t="n">
        <f aca="false">IF(AND(CG27&gt;=Inputs!$B$9,CG27&lt;=Inputs!$B$9+Inputs!$B$8-1),NORMDIST(CG27,Inputs!$B$9+Inputs!$B$8/2,Inputs!$B$30,0),0)</f>
        <v>0</v>
      </c>
      <c r="CH28" s="0" t="n">
        <f aca="false">IF(AND(CH27&gt;=Inputs!$B$9,CH27&lt;=Inputs!$B$9+Inputs!$B$8-1),NORMDIST(CH27,Inputs!$B$9+Inputs!$B$8/2,Inputs!$B$30,0),0)</f>
        <v>0</v>
      </c>
      <c r="CI28" s="0" t="n">
        <f aca="false">IF(AND(CI27&gt;=Inputs!$B$9,CI27&lt;=Inputs!$B$9+Inputs!$B$8-1),NORMDIST(CI27,Inputs!$B$9+Inputs!$B$8/2,Inputs!$B$30,0),0)</f>
        <v>0</v>
      </c>
      <c r="CJ28" s="0" t="n">
        <f aca="false">IF(AND(CJ27&gt;=Inputs!$B$9,CJ27&lt;=Inputs!$B$9+Inputs!$B$8-1),NORMDIST(CJ27,Inputs!$B$9+Inputs!$B$8/2,Inputs!$B$30,0),0)</f>
        <v>0</v>
      </c>
      <c r="CK28" s="0" t="n">
        <f aca="false">IF(AND(CK27&gt;=Inputs!$B$9,CK27&lt;=Inputs!$B$9+Inputs!$B$8-1),NORMDIST(CK27,Inputs!$B$9+Inputs!$B$8/2,Inputs!$B$30,0),0)</f>
        <v>0</v>
      </c>
      <c r="CL28" s="0" t="n">
        <f aca="false">IF(AND(CL27&gt;=Inputs!$B$9,CL27&lt;=Inputs!$B$9+Inputs!$B$8-1),NORMDIST(CL27,Inputs!$B$9+Inputs!$B$8/2,Inputs!$B$30,0),0)</f>
        <v>0</v>
      </c>
      <c r="CM28" s="0" t="n">
        <f aca="false">IF(AND(CM27&gt;=Inputs!$B$9,CM27&lt;=Inputs!$B$9+Inputs!$B$8-1),NORMDIST(CM27,Inputs!$B$9+Inputs!$B$8/2,Inputs!$B$30,0),0)</f>
        <v>0</v>
      </c>
      <c r="CN28" s="0" t="n">
        <f aca="false">IF(AND(CN27&gt;=Inputs!$B$9,CN27&lt;=Inputs!$B$9+Inputs!$B$8-1),NORMDIST(CN27,Inputs!$B$9+Inputs!$B$8/2,Inputs!$B$30,0),0)</f>
        <v>0</v>
      </c>
      <c r="CO28" s="0" t="n">
        <f aca="false">IF(AND(CO27&gt;=Inputs!$B$9,CO27&lt;=Inputs!$B$9+Inputs!$B$8-1),NORMDIST(CO27,Inputs!$B$9+Inputs!$B$8/2,Inputs!$B$30,0),0)</f>
        <v>0</v>
      </c>
      <c r="CP28" s="0" t="n">
        <f aca="false">IF(AND(CP27&gt;=Inputs!$B$9,CP27&lt;=Inputs!$B$9+Inputs!$B$8-1),NORMDIST(CP27,Inputs!$B$9+Inputs!$B$8/2,Inputs!$B$30,0),0)</f>
        <v>0</v>
      </c>
      <c r="CQ28" s="0" t="n">
        <f aca="false">IF(AND(CQ27&gt;=Inputs!$B$9,CQ27&lt;=Inputs!$B$9+Inputs!$B$8-1),NORMDIST(CQ27,Inputs!$B$9+Inputs!$B$8/2,Inputs!$B$30,0),0)</f>
        <v>0</v>
      </c>
      <c r="CR28" s="0" t="n">
        <f aca="false">IF(AND(CR27&gt;=Inputs!$B$9,CR27&lt;=Inputs!$B$9+Inputs!$B$8-1),NORMDIST(CR27,Inputs!$B$9+Inputs!$B$8/2,Inputs!$B$30,0),0)</f>
        <v>0</v>
      </c>
      <c r="CS28" s="0" t="n">
        <f aca="false">IF(AND(CS27&gt;=Inputs!$B$9,CS27&lt;=Inputs!$B$9+Inputs!$B$8-1),NORMDIST(CS27,Inputs!$B$9+Inputs!$B$8/2,Inputs!$B$30,0),0)</f>
        <v>0</v>
      </c>
      <c r="CT28" s="0" t="n">
        <f aca="false">IF(AND(CT27&gt;=Inputs!$B$9,CT27&lt;=Inputs!$B$9+Inputs!$B$8-1),NORMDIST(CT27,Inputs!$B$9+Inputs!$B$8/2,Inputs!$B$30,0),0)</f>
        <v>0</v>
      </c>
      <c r="CU28" s="0" t="n">
        <f aca="false">IF(AND(CU27&gt;=Inputs!$B$9,CU27&lt;=Inputs!$B$9+Inputs!$B$8-1),NORMDIST(CU27,Inputs!$B$9+Inputs!$B$8/2,Inputs!$B$30,0),0)</f>
        <v>0</v>
      </c>
      <c r="CV28" s="0" t="n">
        <f aca="false">IF(AND(CV27&gt;=Inputs!$B$9,CV27&lt;=Inputs!$B$9+Inputs!$B$8-1),NORMDIST(CV27,Inputs!$B$9+Inputs!$B$8/2,Inputs!$B$30,0),0)</f>
        <v>0</v>
      </c>
      <c r="CW28" s="0" t="n">
        <f aca="false">IF(AND(CW27&gt;=Inputs!$B$9,CW27&lt;=Inputs!$B$9+Inputs!$B$8-1),NORMDIST(CW27,Inputs!$B$9+Inputs!$B$8/2,Inputs!$B$30,0),0)</f>
        <v>0</v>
      </c>
    </row>
    <row r="29" customFormat="false" ht="15" hidden="false" customHeight="false" outlineLevel="0" collapsed="false">
      <c r="B29" s="0" t="s">
        <v>147</v>
      </c>
      <c r="F29" s="5" t="n">
        <f aca="false">IF($E$28=0,0,('Construction Budget'!$C$7+$C$19)*F28/$E$28)</f>
        <v>0</v>
      </c>
      <c r="G29" s="5" t="n">
        <f aca="false">IF($E$28=0,0,('Construction Budget'!$C$7+$C$19)*G28/$E$28)</f>
        <v>832518.897880506</v>
      </c>
      <c r="H29" s="5" t="n">
        <f aca="false">IF($E$28=0,0,('Construction Budget'!$C$7+$C$19)*H28/$E$28)</f>
        <v>1083925.88798263</v>
      </c>
      <c r="I29" s="5" t="n">
        <f aca="false">IF($E$28=0,0,('Construction Budget'!$C$7+$C$19)*I28/$E$28)</f>
        <v>1372591.61519542</v>
      </c>
      <c r="J29" s="5" t="n">
        <f aca="false">IF($E$28=0,0,('Construction Budget'!$C$7+$C$19)*J28/$E$28)</f>
        <v>1690516.284562</v>
      </c>
      <c r="K29" s="5" t="n">
        <f aca="false">IF($E$28=0,0,('Construction Budget'!$C$7+$C$19)*K28/$E$28)</f>
        <v>2025040.15837967</v>
      </c>
      <c r="L29" s="5" t="n">
        <f aca="false">IF($E$28=0,0,('Construction Budget'!$C$7+$C$19)*L28/$E$28)</f>
        <v>2359305.5315451</v>
      </c>
      <c r="M29" s="5" t="n">
        <f aca="false">IF($E$28=0,0,('Construction Budget'!$C$7+$C$19)*M28/$E$28)</f>
        <v>2673443.41338234</v>
      </c>
      <c r="N29" s="5" t="n">
        <f aca="false">IF($E$28=0,0,('Construction Budget'!$C$7+$C$19)*N28/$E$28)</f>
        <v>2946416.04469951</v>
      </c>
      <c r="O29" s="5" t="n">
        <f aca="false">IF($E$28=0,0,('Construction Budget'!$C$7+$C$19)*O28/$E$28)</f>
        <v>3158300.2146063</v>
      </c>
      <c r="P29" s="5" t="n">
        <f aca="false">IF($E$28=0,0,('Construction Budget'!$C$7+$C$19)*P28/$E$28)</f>
        <v>3292676.11439868</v>
      </c>
      <c r="Q29" s="5" t="n">
        <f aca="false">IF($E$28=0,0,('Construction Budget'!$C$7+$C$19)*Q28/$E$28)</f>
        <v>3338726.78314253</v>
      </c>
      <c r="R29" s="5" t="n">
        <f aca="false">IF($E$28=0,0,('Construction Budget'!$C$7+$C$19)*R28/$E$28)</f>
        <v>3292676.11439868</v>
      </c>
      <c r="S29" s="5" t="n">
        <f aca="false">IF($E$28=0,0,('Construction Budget'!$C$7+$C$19)*S28/$E$28)</f>
        <v>3158300.2146063</v>
      </c>
      <c r="T29" s="5" t="n">
        <f aca="false">IF($E$28=0,0,('Construction Budget'!$C$7+$C$19)*T28/$E$28)</f>
        <v>2946416.04469951</v>
      </c>
      <c r="U29" s="5" t="n">
        <f aca="false">IF($E$28=0,0,('Construction Budget'!$C$7+$C$19)*U28/$E$28)</f>
        <v>2673443.41338234</v>
      </c>
      <c r="V29" s="5" t="n">
        <f aca="false">IF($E$28=0,0,('Construction Budget'!$C$7+$C$19)*V28/$E$28)</f>
        <v>2359305.5315451</v>
      </c>
      <c r="W29" s="5" t="n">
        <f aca="false">IF($E$28=0,0,('Construction Budget'!$C$7+$C$19)*W28/$E$28)</f>
        <v>2025040.15837967</v>
      </c>
      <c r="X29" s="5" t="n">
        <f aca="false">IF($E$28=0,0,('Construction Budget'!$C$7+$C$19)*X28/$E$28)</f>
        <v>1690516.284562</v>
      </c>
      <c r="Y29" s="5" t="n">
        <f aca="false">IF($E$28=0,0,('Construction Budget'!$C$7+$C$19)*Y28/$E$28)</f>
        <v>1372591.61519542</v>
      </c>
      <c r="Z29" s="5" t="n">
        <f aca="false">IF($E$28=0,0,('Construction Budget'!$C$7+$C$19)*Z28/$E$28)</f>
        <v>1083925.88798263</v>
      </c>
      <c r="AA29" s="5" t="n">
        <f aca="false">IF($E$28=0,0,('Construction Budget'!$C$7+$C$19)*AA28/$E$28)</f>
        <v>0</v>
      </c>
      <c r="AB29" s="5" t="n">
        <f aca="false">IF($E$28=0,0,('Construction Budget'!$C$7+$C$19)*AB28/$E$28)</f>
        <v>0</v>
      </c>
      <c r="AC29" s="5" t="n">
        <f aca="false">IF($E$28=0,0,('Construction Budget'!$C$7+$C$19)*AC28/$E$28)</f>
        <v>0</v>
      </c>
      <c r="AD29" s="5" t="n">
        <f aca="false">IF($E$28=0,0,('Construction Budget'!$C$7+$C$19)*AD28/$E$28)</f>
        <v>0</v>
      </c>
      <c r="AE29" s="5" t="n">
        <f aca="false">IF($E$28=0,0,('Construction Budget'!$C$7+$C$19)*AE28/$E$28)</f>
        <v>0</v>
      </c>
      <c r="AF29" s="5" t="n">
        <f aca="false">IF($E$28=0,0,('Construction Budget'!$C$7+$C$19)*AF28/$E$28)</f>
        <v>0</v>
      </c>
      <c r="AG29" s="5" t="n">
        <f aca="false">IF($E$28=0,0,('Construction Budget'!$C$7+$C$19)*AG28/$E$28)</f>
        <v>0</v>
      </c>
      <c r="AH29" s="5" t="n">
        <f aca="false">IF($E$28=0,0,('Construction Budget'!$C$7+$C$19)*AH28/$E$28)</f>
        <v>0</v>
      </c>
      <c r="AI29" s="5" t="n">
        <f aca="false">IF($E$28=0,0,('Construction Budget'!$C$7+$C$19)*AI28/$E$28)</f>
        <v>0</v>
      </c>
      <c r="AJ29" s="5" t="n">
        <f aca="false">IF($E$28=0,0,('Construction Budget'!$C$7+$C$19)*AJ28/$E$28)</f>
        <v>0</v>
      </c>
      <c r="AK29" s="5" t="n">
        <f aca="false">IF($E$28=0,0,('Construction Budget'!$C$7+$C$19)*AK28/$E$28)</f>
        <v>0</v>
      </c>
      <c r="AL29" s="5" t="n">
        <f aca="false">IF($E$28=0,0,('Construction Budget'!$C$7+$C$19)*AL28/$E$28)</f>
        <v>0</v>
      </c>
      <c r="AM29" s="5" t="n">
        <f aca="false">IF($E$28=0,0,('Construction Budget'!$C$7+$C$19)*AM28/$E$28)</f>
        <v>0</v>
      </c>
      <c r="AN29" s="5" t="n">
        <f aca="false">IF($E$28=0,0,('Construction Budget'!$C$7+$C$19)*AN28/$E$28)</f>
        <v>0</v>
      </c>
      <c r="AO29" s="5" t="n">
        <f aca="false">IF($E$28=0,0,('Construction Budget'!$C$7+$C$19)*AO28/$E$28)</f>
        <v>0</v>
      </c>
      <c r="AP29" s="5" t="n">
        <f aca="false">IF($E$28=0,0,('Construction Budget'!$C$7+$C$19)*AP28/$E$28)</f>
        <v>0</v>
      </c>
      <c r="AQ29" s="5" t="n">
        <f aca="false">IF($E$28=0,0,('Construction Budget'!$C$7+$C$19)*AQ28/$E$28)</f>
        <v>0</v>
      </c>
      <c r="AR29" s="5" t="n">
        <f aca="false">IF($E$28=0,0,('Construction Budget'!$C$7+$C$19)*AR28/$E$28)</f>
        <v>0</v>
      </c>
      <c r="AS29" s="5" t="n">
        <f aca="false">IF($E$28=0,0,('Construction Budget'!$C$7+$C$19)*AS28/$E$28)</f>
        <v>0</v>
      </c>
      <c r="AT29" s="5" t="n">
        <f aca="false">IF($E$28=0,0,('Construction Budget'!$C$7+$C$19)*AT28/$E$28)</f>
        <v>0</v>
      </c>
      <c r="AU29" s="5" t="n">
        <f aca="false">IF($E$28=0,0,('Construction Budget'!$C$7+$C$19)*AU28/$E$28)</f>
        <v>0</v>
      </c>
      <c r="AV29" s="5" t="n">
        <f aca="false">IF($E$28=0,0,('Construction Budget'!$C$7+$C$19)*AV28/$E$28)</f>
        <v>0</v>
      </c>
      <c r="AW29" s="5" t="n">
        <f aca="false">IF($E$28=0,0,('Construction Budget'!$C$7+$C$19)*AW28/$E$28)</f>
        <v>0</v>
      </c>
      <c r="AX29" s="5" t="n">
        <f aca="false">IF($E$28=0,0,('Construction Budget'!$C$7+$C$19)*AX28/$E$28)</f>
        <v>0</v>
      </c>
      <c r="AY29" s="5" t="n">
        <f aca="false">IF($E$28=0,0,('Construction Budget'!$C$7+$C$19)*AY28/$E$28)</f>
        <v>0</v>
      </c>
      <c r="AZ29" s="5" t="n">
        <f aca="false">IF($E$28=0,0,('Construction Budget'!$C$7+$C$19)*AZ28/$E$28)</f>
        <v>0</v>
      </c>
      <c r="BA29" s="5" t="n">
        <f aca="false">IF($E$28=0,0,('Construction Budget'!$C$7+$C$19)*BA28/$E$28)</f>
        <v>0</v>
      </c>
      <c r="BB29" s="5" t="n">
        <f aca="false">IF($E$28=0,0,('Construction Budget'!$C$7+$C$19)*BB28/$E$28)</f>
        <v>0</v>
      </c>
      <c r="BC29" s="5" t="n">
        <f aca="false">IF($E$28=0,0,('Construction Budget'!$C$7+$C$19)*BC28/$E$28)</f>
        <v>0</v>
      </c>
      <c r="BD29" s="5" t="n">
        <f aca="false">IF($E$28=0,0,('Construction Budget'!$C$7+$C$19)*BD28/$E$28)</f>
        <v>0</v>
      </c>
      <c r="BE29" s="5" t="n">
        <f aca="false">IF($E$28=0,0,('Construction Budget'!$C$7+$C$19)*BE28/$E$28)</f>
        <v>0</v>
      </c>
      <c r="BF29" s="5" t="n">
        <f aca="false">IF($E$28=0,0,('Construction Budget'!$C$7+$C$19)*BF28/$E$28)</f>
        <v>0</v>
      </c>
      <c r="BG29" s="5" t="n">
        <f aca="false">IF($E$28=0,0,('Construction Budget'!$C$7+$C$19)*BG28/$E$28)</f>
        <v>0</v>
      </c>
      <c r="BH29" s="5" t="n">
        <f aca="false">IF($E$28=0,0,('Construction Budget'!$C$7+$C$19)*BH28/$E$28)</f>
        <v>0</v>
      </c>
      <c r="BI29" s="5" t="n">
        <f aca="false">IF($E$28=0,0,('Construction Budget'!$C$7+$C$19)*BI28/$E$28)</f>
        <v>0</v>
      </c>
      <c r="BJ29" s="5" t="n">
        <f aca="false">IF($E$28=0,0,('Construction Budget'!$C$7+$C$19)*BJ28/$E$28)</f>
        <v>0</v>
      </c>
      <c r="BK29" s="5" t="n">
        <f aca="false">IF($E$28=0,0,('Construction Budget'!$C$7+$C$19)*BK28/$E$28)</f>
        <v>0</v>
      </c>
      <c r="BL29" s="5" t="n">
        <f aca="false">IF($E$28=0,0,('Construction Budget'!$C$7+$C$19)*BL28/$E$28)</f>
        <v>0</v>
      </c>
      <c r="BM29" s="5" t="n">
        <f aca="false">IF($E$28=0,0,('Construction Budget'!$C$7+$C$19)*BM28/$E$28)</f>
        <v>0</v>
      </c>
      <c r="BN29" s="5" t="n">
        <f aca="false">IF($E$28=0,0,('Construction Budget'!$C$7+$C$19)*BN28/$E$28)</f>
        <v>0</v>
      </c>
      <c r="BO29" s="5" t="n">
        <f aca="false">IF($E$28=0,0,('Construction Budget'!$C$7+$C$19)*BO28/$E$28)</f>
        <v>0</v>
      </c>
      <c r="BP29" s="5" t="n">
        <f aca="false">IF($E$28=0,0,('Construction Budget'!$C$7+$C$19)*BP28/$E$28)</f>
        <v>0</v>
      </c>
      <c r="BQ29" s="5" t="n">
        <f aca="false">IF($E$28=0,0,('Construction Budget'!$C$7+$C$19)*BQ28/$E$28)</f>
        <v>0</v>
      </c>
      <c r="BR29" s="5" t="n">
        <f aca="false">IF($E$28=0,0,('Construction Budget'!$C$7+$C$19)*BR28/$E$28)</f>
        <v>0</v>
      </c>
      <c r="BS29" s="5" t="n">
        <f aca="false">IF($E$28=0,0,('Construction Budget'!$C$7+$C$19)*BS28/$E$28)</f>
        <v>0</v>
      </c>
      <c r="BT29" s="5" t="n">
        <f aca="false">IF($E$28=0,0,('Construction Budget'!$C$7+$C$19)*BT28/$E$28)</f>
        <v>0</v>
      </c>
      <c r="BU29" s="5" t="n">
        <f aca="false">IF($E$28=0,0,('Construction Budget'!$C$7+$C$19)*BU28/$E$28)</f>
        <v>0</v>
      </c>
      <c r="BV29" s="5" t="n">
        <f aca="false">IF($E$28=0,0,('Construction Budget'!$C$7+$C$19)*BV28/$E$28)</f>
        <v>0</v>
      </c>
      <c r="BW29" s="5" t="n">
        <f aca="false">IF($E$28=0,0,('Construction Budget'!$C$7+$C$19)*BW28/$E$28)</f>
        <v>0</v>
      </c>
      <c r="BX29" s="5" t="n">
        <f aca="false">IF($E$28=0,0,('Construction Budget'!$C$7+$C$19)*BX28/$E$28)</f>
        <v>0</v>
      </c>
      <c r="BY29" s="5" t="n">
        <f aca="false">IF($E$28=0,0,('Construction Budget'!$C$7+$C$19)*BY28/$E$28)</f>
        <v>0</v>
      </c>
      <c r="BZ29" s="5" t="n">
        <f aca="false">IF($E$28=0,0,('Construction Budget'!$C$7+$C$19)*BZ28/$E$28)</f>
        <v>0</v>
      </c>
      <c r="CA29" s="5" t="n">
        <f aca="false">IF($E$28=0,0,('Construction Budget'!$C$7+$C$19)*CA28/$E$28)</f>
        <v>0</v>
      </c>
      <c r="CB29" s="5" t="n">
        <f aca="false">IF($E$28=0,0,('Construction Budget'!$C$7+$C$19)*CB28/$E$28)</f>
        <v>0</v>
      </c>
      <c r="CC29" s="5" t="n">
        <f aca="false">IF($E$28=0,0,('Construction Budget'!$C$7+$C$19)*CC28/$E$28)</f>
        <v>0</v>
      </c>
      <c r="CD29" s="5" t="n">
        <f aca="false">IF($E$28=0,0,('Construction Budget'!$C$7+$C$19)*CD28/$E$28)</f>
        <v>0</v>
      </c>
      <c r="CE29" s="5" t="n">
        <f aca="false">IF($E$28=0,0,('Construction Budget'!$C$7+$C$19)*CE28/$E$28)</f>
        <v>0</v>
      </c>
      <c r="CF29" s="5" t="n">
        <f aca="false">IF($E$28=0,0,('Construction Budget'!$C$7+$C$19)*CF28/$E$28)</f>
        <v>0</v>
      </c>
      <c r="CG29" s="5" t="n">
        <f aca="false">IF($E$28=0,0,('Construction Budget'!$C$7+$C$19)*CG28/$E$28)</f>
        <v>0</v>
      </c>
      <c r="CH29" s="5" t="n">
        <f aca="false">IF($E$28=0,0,('Construction Budget'!$C$7+$C$19)*CH28/$E$28)</f>
        <v>0</v>
      </c>
      <c r="CI29" s="5" t="n">
        <f aca="false">IF($E$28=0,0,('Construction Budget'!$C$7+$C$19)*CI28/$E$28)</f>
        <v>0</v>
      </c>
      <c r="CJ29" s="5" t="n">
        <f aca="false">IF($E$28=0,0,('Construction Budget'!$C$7+$C$19)*CJ28/$E$28)</f>
        <v>0</v>
      </c>
      <c r="CK29" s="5" t="n">
        <f aca="false">IF($E$28=0,0,('Construction Budget'!$C$7+$C$19)*CK28/$E$28)</f>
        <v>0</v>
      </c>
      <c r="CL29" s="5" t="n">
        <f aca="false">IF($E$28=0,0,('Construction Budget'!$C$7+$C$19)*CL28/$E$28)</f>
        <v>0</v>
      </c>
      <c r="CM29" s="5" t="n">
        <f aca="false">IF($E$28=0,0,('Construction Budget'!$C$7+$C$19)*CM28/$E$28)</f>
        <v>0</v>
      </c>
      <c r="CN29" s="5" t="n">
        <f aca="false">IF($E$28=0,0,('Construction Budget'!$C$7+$C$19)*CN28/$E$28)</f>
        <v>0</v>
      </c>
      <c r="CO29" s="5" t="n">
        <f aca="false">IF($E$28=0,0,('Construction Budget'!$C$7+$C$19)*CO28/$E$28)</f>
        <v>0</v>
      </c>
      <c r="CP29" s="5" t="n">
        <f aca="false">IF($E$28=0,0,('Construction Budget'!$C$7+$C$19)*CP28/$E$28)</f>
        <v>0</v>
      </c>
      <c r="CQ29" s="5" t="n">
        <f aca="false">IF($E$28=0,0,('Construction Budget'!$C$7+$C$19)*CQ28/$E$28)</f>
        <v>0</v>
      </c>
      <c r="CR29" s="5" t="n">
        <f aca="false">IF($E$28=0,0,('Construction Budget'!$C$7+$C$19)*CR28/$E$28)</f>
        <v>0</v>
      </c>
      <c r="CS29" s="5" t="n">
        <f aca="false">IF($E$28=0,0,('Construction Budget'!$C$7+$C$19)*CS28/$E$28)</f>
        <v>0</v>
      </c>
      <c r="CT29" s="5" t="n">
        <f aca="false">IF($E$28=0,0,('Construction Budget'!$C$7+$C$19)*CT28/$E$28)</f>
        <v>0</v>
      </c>
      <c r="CU29" s="5" t="n">
        <f aca="false">IF($E$28=0,0,('Construction Budget'!$C$7+$C$19)*CU28/$E$28)</f>
        <v>0</v>
      </c>
      <c r="CV29" s="5" t="n">
        <f aca="false">IF($E$28=0,0,('Construction Budget'!$C$7+$C$19)*CV28/$E$28)</f>
        <v>0</v>
      </c>
      <c r="CW29" s="5" t="n">
        <f aca="false">IF($E$28=0,0,('Construction Budget'!$C$7+$C$19)*CW28/$E$28)</f>
        <v>0</v>
      </c>
    </row>
    <row r="30" customFormat="false" ht="15" hidden="false" customHeight="false" outlineLevel="0" collapsed="false">
      <c r="B30" s="0" t="s">
        <v>148</v>
      </c>
      <c r="E30" s="0" t="n">
        <f aca="false">SUM(F30:CW30)</f>
        <v>0.68228607307194</v>
      </c>
      <c r="F30" s="0" t="n">
        <f aca="false">IF(AND(F27&gt;=Inputs!$B$9,F27&lt;=Inputs!$B$9+Inputs!$B$8-1),NORMDIST(F27,Inputs!$B$9+Inputs!$B$8/2,Inputs!$B$31,0),0)</f>
        <v>0</v>
      </c>
      <c r="G30" s="0" t="n">
        <f aca="false">IF(AND(G27&gt;=Inputs!$B$9,G27&lt;=Inputs!$B$9+Inputs!$B$8-1),NORMDIST(G27,Inputs!$B$9+Inputs!$B$8/2,Inputs!$B$31,0),0)</f>
        <v>0.0241970724519143</v>
      </c>
      <c r="H30" s="0" t="n">
        <f aca="false">IF(AND(H27&gt;=Inputs!$B$9,H27&lt;=Inputs!$B$9+Inputs!$B$8-1),NORMDIST(H27,Inputs!$B$9+Inputs!$B$8/2,Inputs!$B$31,0),0)</f>
        <v>0.0266085249898755</v>
      </c>
      <c r="I30" s="0" t="n">
        <f aca="false">IF(AND(I27&gt;=Inputs!$B$9,I27&lt;=Inputs!$B$9+Inputs!$B$8-1),NORMDIST(I27,Inputs!$B$9+Inputs!$B$8/2,Inputs!$B$31,0),0)</f>
        <v>0.0289691552761483</v>
      </c>
      <c r="J30" s="0" t="n">
        <f aca="false">IF(AND(J27&gt;=Inputs!$B$9,J27&lt;=Inputs!$B$9+Inputs!$B$8-1),NORMDIST(J27,Inputs!$B$9+Inputs!$B$8/2,Inputs!$B$31,0),0)</f>
        <v>0.0312253933366761</v>
      </c>
      <c r="K30" s="0" t="n">
        <f aca="false">IF(AND(K27&gt;=Inputs!$B$9,K27&lt;=Inputs!$B$9+Inputs!$B$8-1),NORMDIST(K27,Inputs!$B$9+Inputs!$B$8/2,Inputs!$B$31,0),0)</f>
        <v>0.03332246028918</v>
      </c>
      <c r="L30" s="0" t="n">
        <f aca="false">IF(AND(L27&gt;=Inputs!$B$9,L27&lt;=Inputs!$B$9+Inputs!$B$8-1),NORMDIST(L27,Inputs!$B$9+Inputs!$B$8/2,Inputs!$B$31,0),0)</f>
        <v>0.03520653267643</v>
      </c>
      <c r="M30" s="0" t="n">
        <f aca="false">IF(AND(M27&gt;=Inputs!$B$9,M27&lt;=Inputs!$B$9+Inputs!$B$8-1),NORMDIST(M27,Inputs!$B$9+Inputs!$B$8/2,Inputs!$B$31,0),0)</f>
        <v>0.0368270140303323</v>
      </c>
      <c r="N30" s="0" t="n">
        <f aca="false">IF(AND(N27&gt;=Inputs!$B$9,N27&lt;=Inputs!$B$9+Inputs!$B$8-1),NORMDIST(N27,Inputs!$B$9+Inputs!$B$8/2,Inputs!$B$31,0),0)</f>
        <v>0.0381387815460524</v>
      </c>
      <c r="O30" s="0" t="n">
        <f aca="false">IF(AND(O27&gt;=Inputs!$B$9,O27&lt;=Inputs!$B$9+Inputs!$B$8-1),NORMDIST(O27,Inputs!$B$9+Inputs!$B$8/2,Inputs!$B$31,0),0)</f>
        <v>0.0391042693975456</v>
      </c>
      <c r="P30" s="0" t="n">
        <f aca="false">IF(AND(P27&gt;=Inputs!$B$9,P27&lt;=Inputs!$B$9+Inputs!$B$8-1),NORMDIST(P27,Inputs!$B$9+Inputs!$B$8/2,Inputs!$B$31,0),0)</f>
        <v>0.0396952547477012</v>
      </c>
      <c r="Q30" s="0" t="n">
        <f aca="false">IF(AND(Q27&gt;=Inputs!$B$9,Q27&lt;=Inputs!$B$9+Inputs!$B$8-1),NORMDIST(Q27,Inputs!$B$9+Inputs!$B$8/2,Inputs!$B$31,0),0)</f>
        <v>0.0398942280401433</v>
      </c>
      <c r="R30" s="0" t="n">
        <f aca="false">IF(AND(R27&gt;=Inputs!$B$9,R27&lt;=Inputs!$B$9+Inputs!$B$8-1),NORMDIST(R27,Inputs!$B$9+Inputs!$B$8/2,Inputs!$B$31,0),0)</f>
        <v>0.0396952547477012</v>
      </c>
      <c r="S30" s="0" t="n">
        <f aca="false">IF(AND(S27&gt;=Inputs!$B$9,S27&lt;=Inputs!$B$9+Inputs!$B$8-1),NORMDIST(S27,Inputs!$B$9+Inputs!$B$8/2,Inputs!$B$31,0),0)</f>
        <v>0.0391042693975456</v>
      </c>
      <c r="T30" s="0" t="n">
        <f aca="false">IF(AND(T27&gt;=Inputs!$B$9,T27&lt;=Inputs!$B$9+Inputs!$B$8-1),NORMDIST(T27,Inputs!$B$9+Inputs!$B$8/2,Inputs!$B$31,0),0)</f>
        <v>0.0381387815460524</v>
      </c>
      <c r="U30" s="0" t="n">
        <f aca="false">IF(AND(U27&gt;=Inputs!$B$9,U27&lt;=Inputs!$B$9+Inputs!$B$8-1),NORMDIST(U27,Inputs!$B$9+Inputs!$B$8/2,Inputs!$B$31,0),0)</f>
        <v>0.0368270140303323</v>
      </c>
      <c r="V30" s="0" t="n">
        <f aca="false">IF(AND(V27&gt;=Inputs!$B$9,V27&lt;=Inputs!$B$9+Inputs!$B$8-1),NORMDIST(V27,Inputs!$B$9+Inputs!$B$8/2,Inputs!$B$31,0),0)</f>
        <v>0.03520653267643</v>
      </c>
      <c r="W30" s="0" t="n">
        <f aca="false">IF(AND(W27&gt;=Inputs!$B$9,W27&lt;=Inputs!$B$9+Inputs!$B$8-1),NORMDIST(W27,Inputs!$B$9+Inputs!$B$8/2,Inputs!$B$31,0),0)</f>
        <v>0.03332246028918</v>
      </c>
      <c r="X30" s="0" t="n">
        <f aca="false">IF(AND(X27&gt;=Inputs!$B$9,X27&lt;=Inputs!$B$9+Inputs!$B$8-1),NORMDIST(X27,Inputs!$B$9+Inputs!$B$8/2,Inputs!$B$31,0),0)</f>
        <v>0.0312253933366761</v>
      </c>
      <c r="Y30" s="0" t="n">
        <f aca="false">IF(AND(Y27&gt;=Inputs!$B$9,Y27&lt;=Inputs!$B$9+Inputs!$B$8-1),NORMDIST(Y27,Inputs!$B$9+Inputs!$B$8/2,Inputs!$B$31,0),0)</f>
        <v>0.0289691552761483</v>
      </c>
      <c r="Z30" s="0" t="n">
        <f aca="false">IF(AND(Z27&gt;=Inputs!$B$9,Z27&lt;=Inputs!$B$9+Inputs!$B$8-1),NORMDIST(Z27,Inputs!$B$9+Inputs!$B$8/2,Inputs!$B$31,0),0)</f>
        <v>0.0266085249898755</v>
      </c>
      <c r="AA30" s="0" t="n">
        <f aca="false">IF(AND(AA27&gt;=Inputs!$B$9,AA27&lt;=Inputs!$B$9+Inputs!$B$8-1),NORMDIST(AA27,Inputs!$B$9+Inputs!$B$8/2,Inputs!$B$31,0),0)</f>
        <v>0</v>
      </c>
      <c r="AB30" s="0" t="n">
        <f aca="false">IF(AND(AB27&gt;=Inputs!$B$9,AB27&lt;=Inputs!$B$9+Inputs!$B$8-1),NORMDIST(AB27,Inputs!$B$9+Inputs!$B$8/2,Inputs!$B$31,0),0)</f>
        <v>0</v>
      </c>
      <c r="AC30" s="0" t="n">
        <f aca="false">IF(AND(AC27&gt;=Inputs!$B$9,AC27&lt;=Inputs!$B$9+Inputs!$B$8-1),NORMDIST(AC27,Inputs!$B$9+Inputs!$B$8/2,Inputs!$B$31,0),0)</f>
        <v>0</v>
      </c>
      <c r="AD30" s="0" t="n">
        <f aca="false">IF(AND(AD27&gt;=Inputs!$B$9,AD27&lt;=Inputs!$B$9+Inputs!$B$8-1),NORMDIST(AD27,Inputs!$B$9+Inputs!$B$8/2,Inputs!$B$31,0),0)</f>
        <v>0</v>
      </c>
      <c r="AE30" s="0" t="n">
        <f aca="false">IF(AND(AE27&gt;=Inputs!$B$9,AE27&lt;=Inputs!$B$9+Inputs!$B$8-1),NORMDIST(AE27,Inputs!$B$9+Inputs!$B$8/2,Inputs!$B$31,0),0)</f>
        <v>0</v>
      </c>
      <c r="AF30" s="0" t="n">
        <f aca="false">IF(AND(AF27&gt;=Inputs!$B$9,AF27&lt;=Inputs!$B$9+Inputs!$B$8-1),NORMDIST(AF27,Inputs!$B$9+Inputs!$B$8/2,Inputs!$B$31,0),0)</f>
        <v>0</v>
      </c>
      <c r="AG30" s="0" t="n">
        <f aca="false">IF(AND(AG27&gt;=Inputs!$B$9,AG27&lt;=Inputs!$B$9+Inputs!$B$8-1),NORMDIST(AG27,Inputs!$B$9+Inputs!$B$8/2,Inputs!$B$31,0),0)</f>
        <v>0</v>
      </c>
      <c r="AH30" s="0" t="n">
        <f aca="false">IF(AND(AH27&gt;=Inputs!$B$9,AH27&lt;=Inputs!$B$9+Inputs!$B$8-1),NORMDIST(AH27,Inputs!$B$9+Inputs!$B$8/2,Inputs!$B$31,0),0)</f>
        <v>0</v>
      </c>
      <c r="AI30" s="0" t="n">
        <f aca="false">IF(AND(AI27&gt;=Inputs!$B$9,AI27&lt;=Inputs!$B$9+Inputs!$B$8-1),NORMDIST(AI27,Inputs!$B$9+Inputs!$B$8/2,Inputs!$B$31,0),0)</f>
        <v>0</v>
      </c>
      <c r="AJ30" s="0" t="n">
        <f aca="false">IF(AND(AJ27&gt;=Inputs!$B$9,AJ27&lt;=Inputs!$B$9+Inputs!$B$8-1),NORMDIST(AJ27,Inputs!$B$9+Inputs!$B$8/2,Inputs!$B$31,0),0)</f>
        <v>0</v>
      </c>
      <c r="AK30" s="0" t="n">
        <f aca="false">IF(AND(AK27&gt;=Inputs!$B$9,AK27&lt;=Inputs!$B$9+Inputs!$B$8-1),NORMDIST(AK27,Inputs!$B$9+Inputs!$B$8/2,Inputs!$B$31,0),0)</f>
        <v>0</v>
      </c>
      <c r="AL30" s="0" t="n">
        <f aca="false">IF(AND(AL27&gt;=Inputs!$B$9,AL27&lt;=Inputs!$B$9+Inputs!$B$8-1),NORMDIST(AL27,Inputs!$B$9+Inputs!$B$8/2,Inputs!$B$31,0),0)</f>
        <v>0</v>
      </c>
      <c r="AM30" s="0" t="n">
        <f aca="false">IF(AND(AM27&gt;=Inputs!$B$9,AM27&lt;=Inputs!$B$9+Inputs!$B$8-1),NORMDIST(AM27,Inputs!$B$9+Inputs!$B$8/2,Inputs!$B$31,0),0)</f>
        <v>0</v>
      </c>
      <c r="AN30" s="0" t="n">
        <f aca="false">IF(AND(AN27&gt;=Inputs!$B$9,AN27&lt;=Inputs!$B$9+Inputs!$B$8-1),NORMDIST(AN27,Inputs!$B$9+Inputs!$B$8/2,Inputs!$B$31,0),0)</f>
        <v>0</v>
      </c>
      <c r="AO30" s="0" t="n">
        <f aca="false">IF(AND(AO27&gt;=Inputs!$B$9,AO27&lt;=Inputs!$B$9+Inputs!$B$8-1),NORMDIST(AO27,Inputs!$B$9+Inputs!$B$8/2,Inputs!$B$31,0),0)</f>
        <v>0</v>
      </c>
      <c r="AP30" s="0" t="n">
        <f aca="false">IF(AND(AP27&gt;=Inputs!$B$9,AP27&lt;=Inputs!$B$9+Inputs!$B$8-1),NORMDIST(AP27,Inputs!$B$9+Inputs!$B$8/2,Inputs!$B$31,0),0)</f>
        <v>0</v>
      </c>
      <c r="AQ30" s="0" t="n">
        <f aca="false">IF(AND(AQ27&gt;=Inputs!$B$9,AQ27&lt;=Inputs!$B$9+Inputs!$B$8-1),NORMDIST(AQ27,Inputs!$B$9+Inputs!$B$8/2,Inputs!$B$31,0),0)</f>
        <v>0</v>
      </c>
      <c r="AR30" s="0" t="n">
        <f aca="false">IF(AND(AR27&gt;=Inputs!$B$9,AR27&lt;=Inputs!$B$9+Inputs!$B$8-1),NORMDIST(AR27,Inputs!$B$9+Inputs!$B$8/2,Inputs!$B$31,0),0)</f>
        <v>0</v>
      </c>
      <c r="AS30" s="0" t="n">
        <f aca="false">IF(AND(AS27&gt;=Inputs!$B$9,AS27&lt;=Inputs!$B$9+Inputs!$B$8-1),NORMDIST(AS27,Inputs!$B$9+Inputs!$B$8/2,Inputs!$B$31,0),0)</f>
        <v>0</v>
      </c>
      <c r="AT30" s="0" t="n">
        <f aca="false">IF(AND(AT27&gt;=Inputs!$B$9,AT27&lt;=Inputs!$B$9+Inputs!$B$8-1),NORMDIST(AT27,Inputs!$B$9+Inputs!$B$8/2,Inputs!$B$31,0),0)</f>
        <v>0</v>
      </c>
      <c r="AU30" s="0" t="n">
        <f aca="false">IF(AND(AU27&gt;=Inputs!$B$9,AU27&lt;=Inputs!$B$9+Inputs!$B$8-1),NORMDIST(AU27,Inputs!$B$9+Inputs!$B$8/2,Inputs!$B$31,0),0)</f>
        <v>0</v>
      </c>
      <c r="AV30" s="0" t="n">
        <f aca="false">IF(AND(AV27&gt;=Inputs!$B$9,AV27&lt;=Inputs!$B$9+Inputs!$B$8-1),NORMDIST(AV27,Inputs!$B$9+Inputs!$B$8/2,Inputs!$B$31,0),0)</f>
        <v>0</v>
      </c>
      <c r="AW30" s="0" t="n">
        <f aca="false">IF(AND(AW27&gt;=Inputs!$B$9,AW27&lt;=Inputs!$B$9+Inputs!$B$8-1),NORMDIST(AW27,Inputs!$B$9+Inputs!$B$8/2,Inputs!$B$31,0),0)</f>
        <v>0</v>
      </c>
      <c r="AX30" s="0" t="n">
        <f aca="false">IF(AND(AX27&gt;=Inputs!$B$9,AX27&lt;=Inputs!$B$9+Inputs!$B$8-1),NORMDIST(AX27,Inputs!$B$9+Inputs!$B$8/2,Inputs!$B$31,0),0)</f>
        <v>0</v>
      </c>
      <c r="AY30" s="0" t="n">
        <f aca="false">IF(AND(AY27&gt;=Inputs!$B$9,AY27&lt;=Inputs!$B$9+Inputs!$B$8-1),NORMDIST(AY27,Inputs!$B$9+Inputs!$B$8/2,Inputs!$B$31,0),0)</f>
        <v>0</v>
      </c>
      <c r="AZ30" s="0" t="n">
        <f aca="false">IF(AND(AZ27&gt;=Inputs!$B$9,AZ27&lt;=Inputs!$B$9+Inputs!$B$8-1),NORMDIST(AZ27,Inputs!$B$9+Inputs!$B$8/2,Inputs!$B$31,0),0)</f>
        <v>0</v>
      </c>
      <c r="BA30" s="0" t="n">
        <f aca="false">IF(AND(BA27&gt;=Inputs!$B$9,BA27&lt;=Inputs!$B$9+Inputs!$B$8-1),NORMDIST(BA27,Inputs!$B$9+Inputs!$B$8/2,Inputs!$B$31,0),0)</f>
        <v>0</v>
      </c>
      <c r="BB30" s="0" t="n">
        <f aca="false">IF(AND(BB27&gt;=Inputs!$B$9,BB27&lt;=Inputs!$B$9+Inputs!$B$8-1),NORMDIST(BB27,Inputs!$B$9+Inputs!$B$8/2,Inputs!$B$31,0),0)</f>
        <v>0</v>
      </c>
      <c r="BC30" s="0" t="n">
        <f aca="false">IF(AND(BC27&gt;=Inputs!$B$9,BC27&lt;=Inputs!$B$9+Inputs!$B$8-1),NORMDIST(BC27,Inputs!$B$9+Inputs!$B$8/2,Inputs!$B$31,0),0)</f>
        <v>0</v>
      </c>
      <c r="BD30" s="0" t="n">
        <f aca="false">IF(AND(BD27&gt;=Inputs!$B$9,BD27&lt;=Inputs!$B$9+Inputs!$B$8-1),NORMDIST(BD27,Inputs!$B$9+Inputs!$B$8/2,Inputs!$B$31,0),0)</f>
        <v>0</v>
      </c>
      <c r="BE30" s="0" t="n">
        <f aca="false">IF(AND(BE27&gt;=Inputs!$B$9,BE27&lt;=Inputs!$B$9+Inputs!$B$8-1),NORMDIST(BE27,Inputs!$B$9+Inputs!$B$8/2,Inputs!$B$31,0),0)</f>
        <v>0</v>
      </c>
      <c r="BF30" s="0" t="n">
        <f aca="false">IF(AND(BF27&gt;=Inputs!$B$9,BF27&lt;=Inputs!$B$9+Inputs!$B$8-1),NORMDIST(BF27,Inputs!$B$9+Inputs!$B$8/2,Inputs!$B$31,0),0)</f>
        <v>0</v>
      </c>
      <c r="BG30" s="0" t="n">
        <f aca="false">IF(AND(BG27&gt;=Inputs!$B$9,BG27&lt;=Inputs!$B$9+Inputs!$B$8-1),NORMDIST(BG27,Inputs!$B$9+Inputs!$B$8/2,Inputs!$B$31,0),0)</f>
        <v>0</v>
      </c>
      <c r="BH30" s="0" t="n">
        <f aca="false">IF(AND(BH27&gt;=Inputs!$B$9,BH27&lt;=Inputs!$B$9+Inputs!$B$8-1),NORMDIST(BH27,Inputs!$B$9+Inputs!$B$8/2,Inputs!$B$31,0),0)</f>
        <v>0</v>
      </c>
      <c r="BI30" s="0" t="n">
        <f aca="false">IF(AND(BI27&gt;=Inputs!$B$9,BI27&lt;=Inputs!$B$9+Inputs!$B$8-1),NORMDIST(BI27,Inputs!$B$9+Inputs!$B$8/2,Inputs!$B$31,0),0)</f>
        <v>0</v>
      </c>
      <c r="BJ30" s="0" t="n">
        <f aca="false">IF(AND(BJ27&gt;=Inputs!$B$9,BJ27&lt;=Inputs!$B$9+Inputs!$B$8-1),NORMDIST(BJ27,Inputs!$B$9+Inputs!$B$8/2,Inputs!$B$31,0),0)</f>
        <v>0</v>
      </c>
      <c r="BK30" s="0" t="n">
        <f aca="false">IF(AND(BK27&gt;=Inputs!$B$9,BK27&lt;=Inputs!$B$9+Inputs!$B$8-1),NORMDIST(BK27,Inputs!$B$9+Inputs!$B$8/2,Inputs!$B$31,0),0)</f>
        <v>0</v>
      </c>
      <c r="BL30" s="0" t="n">
        <f aca="false">IF(AND(BL27&gt;=Inputs!$B$9,BL27&lt;=Inputs!$B$9+Inputs!$B$8-1),NORMDIST(BL27,Inputs!$B$9+Inputs!$B$8/2,Inputs!$B$31,0),0)</f>
        <v>0</v>
      </c>
      <c r="BM30" s="0" t="n">
        <f aca="false">IF(AND(BM27&gt;=Inputs!$B$9,BM27&lt;=Inputs!$B$9+Inputs!$B$8-1),NORMDIST(BM27,Inputs!$B$9+Inputs!$B$8/2,Inputs!$B$31,0),0)</f>
        <v>0</v>
      </c>
      <c r="BN30" s="0" t="n">
        <f aca="false">IF(AND(BN27&gt;=Inputs!$B$9,BN27&lt;=Inputs!$B$9+Inputs!$B$8-1),NORMDIST(BN27,Inputs!$B$9+Inputs!$B$8/2,Inputs!$B$31,0),0)</f>
        <v>0</v>
      </c>
      <c r="BO30" s="0" t="n">
        <f aca="false">IF(AND(BO27&gt;=Inputs!$B$9,BO27&lt;=Inputs!$B$9+Inputs!$B$8-1),NORMDIST(BO27,Inputs!$B$9+Inputs!$B$8/2,Inputs!$B$31,0),0)</f>
        <v>0</v>
      </c>
      <c r="BP30" s="0" t="n">
        <f aca="false">IF(AND(BP27&gt;=Inputs!$B$9,BP27&lt;=Inputs!$B$9+Inputs!$B$8-1),NORMDIST(BP27,Inputs!$B$9+Inputs!$B$8/2,Inputs!$B$31,0),0)</f>
        <v>0</v>
      </c>
      <c r="BQ30" s="0" t="n">
        <f aca="false">IF(AND(BQ27&gt;=Inputs!$B$9,BQ27&lt;=Inputs!$B$9+Inputs!$B$8-1),NORMDIST(BQ27,Inputs!$B$9+Inputs!$B$8/2,Inputs!$B$31,0),0)</f>
        <v>0</v>
      </c>
      <c r="BR30" s="0" t="n">
        <f aca="false">IF(AND(BR27&gt;=Inputs!$B$9,BR27&lt;=Inputs!$B$9+Inputs!$B$8-1),NORMDIST(BR27,Inputs!$B$9+Inputs!$B$8/2,Inputs!$B$31,0),0)</f>
        <v>0</v>
      </c>
      <c r="BS30" s="0" t="n">
        <f aca="false">IF(AND(BS27&gt;=Inputs!$B$9,BS27&lt;=Inputs!$B$9+Inputs!$B$8-1),NORMDIST(BS27,Inputs!$B$9+Inputs!$B$8/2,Inputs!$B$31,0),0)</f>
        <v>0</v>
      </c>
      <c r="BT30" s="0" t="n">
        <f aca="false">IF(AND(BT27&gt;=Inputs!$B$9,BT27&lt;=Inputs!$B$9+Inputs!$B$8-1),NORMDIST(BT27,Inputs!$B$9+Inputs!$B$8/2,Inputs!$B$31,0),0)</f>
        <v>0</v>
      </c>
      <c r="BU30" s="0" t="n">
        <f aca="false">IF(AND(BU27&gt;=Inputs!$B$9,BU27&lt;=Inputs!$B$9+Inputs!$B$8-1),NORMDIST(BU27,Inputs!$B$9+Inputs!$B$8/2,Inputs!$B$31,0),0)</f>
        <v>0</v>
      </c>
      <c r="BV30" s="0" t="n">
        <f aca="false">IF(AND(BV27&gt;=Inputs!$B$9,BV27&lt;=Inputs!$B$9+Inputs!$B$8-1),NORMDIST(BV27,Inputs!$B$9+Inputs!$B$8/2,Inputs!$B$31,0),0)</f>
        <v>0</v>
      </c>
      <c r="BW30" s="0" t="n">
        <f aca="false">IF(AND(BW27&gt;=Inputs!$B$9,BW27&lt;=Inputs!$B$9+Inputs!$B$8-1),NORMDIST(BW27,Inputs!$B$9+Inputs!$B$8/2,Inputs!$B$31,0),0)</f>
        <v>0</v>
      </c>
      <c r="BX30" s="0" t="n">
        <f aca="false">IF(AND(BX27&gt;=Inputs!$B$9,BX27&lt;=Inputs!$B$9+Inputs!$B$8-1),NORMDIST(BX27,Inputs!$B$9+Inputs!$B$8/2,Inputs!$B$31,0),0)</f>
        <v>0</v>
      </c>
      <c r="BY30" s="0" t="n">
        <f aca="false">IF(AND(BY27&gt;=Inputs!$B$9,BY27&lt;=Inputs!$B$9+Inputs!$B$8-1),NORMDIST(BY27,Inputs!$B$9+Inputs!$B$8/2,Inputs!$B$31,0),0)</f>
        <v>0</v>
      </c>
      <c r="BZ30" s="0" t="n">
        <f aca="false">IF(AND(BZ27&gt;=Inputs!$B$9,BZ27&lt;=Inputs!$B$9+Inputs!$B$8-1),NORMDIST(BZ27,Inputs!$B$9+Inputs!$B$8/2,Inputs!$B$31,0),0)</f>
        <v>0</v>
      </c>
      <c r="CA30" s="0" t="n">
        <f aca="false">IF(AND(CA27&gt;=Inputs!$B$9,CA27&lt;=Inputs!$B$9+Inputs!$B$8-1),NORMDIST(CA27,Inputs!$B$9+Inputs!$B$8/2,Inputs!$B$31,0),0)</f>
        <v>0</v>
      </c>
      <c r="CB30" s="0" t="n">
        <f aca="false">IF(AND(CB27&gt;=Inputs!$B$9,CB27&lt;=Inputs!$B$9+Inputs!$B$8-1),NORMDIST(CB27,Inputs!$B$9+Inputs!$B$8/2,Inputs!$B$31,0),0)</f>
        <v>0</v>
      </c>
      <c r="CC30" s="0" t="n">
        <f aca="false">IF(AND(CC27&gt;=Inputs!$B$9,CC27&lt;=Inputs!$B$9+Inputs!$B$8-1),NORMDIST(CC27,Inputs!$B$9+Inputs!$B$8/2,Inputs!$B$31,0),0)</f>
        <v>0</v>
      </c>
      <c r="CD30" s="0" t="n">
        <f aca="false">IF(AND(CD27&gt;=Inputs!$B$9,CD27&lt;=Inputs!$B$9+Inputs!$B$8-1),NORMDIST(CD27,Inputs!$B$9+Inputs!$B$8/2,Inputs!$B$31,0),0)</f>
        <v>0</v>
      </c>
      <c r="CE30" s="0" t="n">
        <f aca="false">IF(AND(CE27&gt;=Inputs!$B$9,CE27&lt;=Inputs!$B$9+Inputs!$B$8-1),NORMDIST(CE27,Inputs!$B$9+Inputs!$B$8/2,Inputs!$B$31,0),0)</f>
        <v>0</v>
      </c>
      <c r="CF30" s="0" t="n">
        <f aca="false">IF(AND(CF27&gt;=Inputs!$B$9,CF27&lt;=Inputs!$B$9+Inputs!$B$8-1),NORMDIST(CF27,Inputs!$B$9+Inputs!$B$8/2,Inputs!$B$31,0),0)</f>
        <v>0</v>
      </c>
      <c r="CG30" s="0" t="n">
        <f aca="false">IF(AND(CG27&gt;=Inputs!$B$9,CG27&lt;=Inputs!$B$9+Inputs!$B$8-1),NORMDIST(CG27,Inputs!$B$9+Inputs!$B$8/2,Inputs!$B$31,0),0)</f>
        <v>0</v>
      </c>
      <c r="CH30" s="0" t="n">
        <f aca="false">IF(AND(CH27&gt;=Inputs!$B$9,CH27&lt;=Inputs!$B$9+Inputs!$B$8-1),NORMDIST(CH27,Inputs!$B$9+Inputs!$B$8/2,Inputs!$B$31,0),0)</f>
        <v>0</v>
      </c>
      <c r="CI30" s="0" t="n">
        <f aca="false">IF(AND(CI27&gt;=Inputs!$B$9,CI27&lt;=Inputs!$B$9+Inputs!$B$8-1),NORMDIST(CI27,Inputs!$B$9+Inputs!$B$8/2,Inputs!$B$31,0),0)</f>
        <v>0</v>
      </c>
      <c r="CJ30" s="0" t="n">
        <f aca="false">IF(AND(CJ27&gt;=Inputs!$B$9,CJ27&lt;=Inputs!$B$9+Inputs!$B$8-1),NORMDIST(CJ27,Inputs!$B$9+Inputs!$B$8/2,Inputs!$B$31,0),0)</f>
        <v>0</v>
      </c>
      <c r="CK30" s="0" t="n">
        <f aca="false">IF(AND(CK27&gt;=Inputs!$B$9,CK27&lt;=Inputs!$B$9+Inputs!$B$8-1),NORMDIST(CK27,Inputs!$B$9+Inputs!$B$8/2,Inputs!$B$31,0),0)</f>
        <v>0</v>
      </c>
      <c r="CL30" s="0" t="n">
        <f aca="false">IF(AND(CL27&gt;=Inputs!$B$9,CL27&lt;=Inputs!$B$9+Inputs!$B$8-1),NORMDIST(CL27,Inputs!$B$9+Inputs!$B$8/2,Inputs!$B$31,0),0)</f>
        <v>0</v>
      </c>
      <c r="CM30" s="0" t="n">
        <f aca="false">IF(AND(CM27&gt;=Inputs!$B$9,CM27&lt;=Inputs!$B$9+Inputs!$B$8-1),NORMDIST(CM27,Inputs!$B$9+Inputs!$B$8/2,Inputs!$B$31,0),0)</f>
        <v>0</v>
      </c>
      <c r="CN30" s="0" t="n">
        <f aca="false">IF(AND(CN27&gt;=Inputs!$B$9,CN27&lt;=Inputs!$B$9+Inputs!$B$8-1),NORMDIST(CN27,Inputs!$B$9+Inputs!$B$8/2,Inputs!$B$31,0),0)</f>
        <v>0</v>
      </c>
      <c r="CO30" s="0" t="n">
        <f aca="false">IF(AND(CO27&gt;=Inputs!$B$9,CO27&lt;=Inputs!$B$9+Inputs!$B$8-1),NORMDIST(CO27,Inputs!$B$9+Inputs!$B$8/2,Inputs!$B$31,0),0)</f>
        <v>0</v>
      </c>
      <c r="CP30" s="0" t="n">
        <f aca="false">IF(AND(CP27&gt;=Inputs!$B$9,CP27&lt;=Inputs!$B$9+Inputs!$B$8-1),NORMDIST(CP27,Inputs!$B$9+Inputs!$B$8/2,Inputs!$B$31,0),0)</f>
        <v>0</v>
      </c>
      <c r="CQ30" s="0" t="n">
        <f aca="false">IF(AND(CQ27&gt;=Inputs!$B$9,CQ27&lt;=Inputs!$B$9+Inputs!$B$8-1),NORMDIST(CQ27,Inputs!$B$9+Inputs!$B$8/2,Inputs!$B$31,0),0)</f>
        <v>0</v>
      </c>
      <c r="CR30" s="0" t="n">
        <f aca="false">IF(AND(CR27&gt;=Inputs!$B$9,CR27&lt;=Inputs!$B$9+Inputs!$B$8-1),NORMDIST(CR27,Inputs!$B$9+Inputs!$B$8/2,Inputs!$B$31,0),0)</f>
        <v>0</v>
      </c>
      <c r="CS30" s="0" t="n">
        <f aca="false">IF(AND(CS27&gt;=Inputs!$B$9,CS27&lt;=Inputs!$B$9+Inputs!$B$8-1),NORMDIST(CS27,Inputs!$B$9+Inputs!$B$8/2,Inputs!$B$31,0),0)</f>
        <v>0</v>
      </c>
      <c r="CT30" s="0" t="n">
        <f aca="false">IF(AND(CT27&gt;=Inputs!$B$9,CT27&lt;=Inputs!$B$9+Inputs!$B$8-1),NORMDIST(CT27,Inputs!$B$9+Inputs!$B$8/2,Inputs!$B$31,0),0)</f>
        <v>0</v>
      </c>
      <c r="CU30" s="0" t="n">
        <f aca="false">IF(AND(CU27&gt;=Inputs!$B$9,CU27&lt;=Inputs!$B$9+Inputs!$B$8-1),NORMDIST(CU27,Inputs!$B$9+Inputs!$B$8/2,Inputs!$B$31,0),0)</f>
        <v>0</v>
      </c>
      <c r="CV30" s="0" t="n">
        <f aca="false">IF(AND(CV27&gt;=Inputs!$B$9,CV27&lt;=Inputs!$B$9+Inputs!$B$8-1),NORMDIST(CV27,Inputs!$B$9+Inputs!$B$8/2,Inputs!$B$31,0),0)</f>
        <v>0</v>
      </c>
      <c r="CW30" s="0" t="n">
        <f aca="false">IF(AND(CW27&gt;=Inputs!$B$9,CW27&lt;=Inputs!$B$9+Inputs!$B$8-1),NORMDIST(CW27,Inputs!$B$9+Inputs!$B$8/2,Inputs!$B$31,0),0)</f>
        <v>0</v>
      </c>
    </row>
    <row r="31" customFormat="false" ht="15" hidden="false" customHeight="false" outlineLevel="0" collapsed="false">
      <c r="B31" s="0" t="s">
        <v>149</v>
      </c>
      <c r="F31" s="5" t="n">
        <f aca="false">IF($E$30=0,0,($C$17+$C$18+$C$20-$C$24)*F30/$E$30)</f>
        <v>0</v>
      </c>
      <c r="G31" s="5" t="n">
        <f aca="false">IF($E$30=0,0,($C$17+$C$18+$C$20-$C$24)*G30/$E$30)</f>
        <v>153487.084577374</v>
      </c>
      <c r="H31" s="5" t="n">
        <f aca="false">IF($E$30=0,0,($C$17+$C$18+$C$20-$C$24)*H30/$E$30)</f>
        <v>168783.431702998</v>
      </c>
      <c r="I31" s="5" t="n">
        <f aca="false">IF($E$30=0,0,($C$17+$C$18+$C$20-$C$24)*I30/$E$30)</f>
        <v>183757.402670977</v>
      </c>
      <c r="J31" s="5" t="n">
        <f aca="false">IF($E$30=0,0,($C$17+$C$18+$C$20-$C$24)*J30/$E$30)</f>
        <v>198069.191946772</v>
      </c>
      <c r="K31" s="5" t="n">
        <f aca="false">IF($E$30=0,0,($C$17+$C$18+$C$20-$C$24)*K30/$E$30)</f>
        <v>211371.325638482</v>
      </c>
      <c r="L31" s="5" t="n">
        <f aca="false">IF($E$30=0,0,($C$17+$C$18+$C$20-$C$24)*L30/$E$30)</f>
        <v>223322.390314856</v>
      </c>
      <c r="M31" s="5" t="n">
        <f aca="false">IF($E$30=0,0,($C$17+$C$18+$C$20-$C$24)*M30/$E$30)</f>
        <v>233601.442010748</v>
      </c>
      <c r="N31" s="5" t="n">
        <f aca="false">IF($E$30=0,0,($C$17+$C$18+$C$20-$C$24)*N30/$E$30)</f>
        <v>241922.257350343</v>
      </c>
      <c r="O31" s="5" t="n">
        <f aca="false">IF($E$30=0,0,($C$17+$C$18+$C$20-$C$24)*O30/$E$30)</f>
        <v>248046.548452709</v>
      </c>
      <c r="P31" s="5" t="n">
        <f aca="false">IF($E$30=0,0,($C$17+$C$18+$C$20-$C$24)*P30/$E$30)</f>
        <v>251795.291967181</v>
      </c>
      <c r="Q31" s="5" t="n">
        <f aca="false">IF($E$30=0,0,($C$17+$C$18+$C$20-$C$24)*Q30/$E$30)</f>
        <v>253057.421120465</v>
      </c>
      <c r="R31" s="5" t="n">
        <f aca="false">IF($E$30=0,0,($C$17+$C$18+$C$20-$C$24)*R30/$E$30)</f>
        <v>251795.291967181</v>
      </c>
      <c r="S31" s="5" t="n">
        <f aca="false">IF($E$30=0,0,($C$17+$C$18+$C$20-$C$24)*S30/$E$30)</f>
        <v>248046.548452709</v>
      </c>
      <c r="T31" s="5" t="n">
        <f aca="false">IF($E$30=0,0,($C$17+$C$18+$C$20-$C$24)*T30/$E$30)</f>
        <v>241922.257350343</v>
      </c>
      <c r="U31" s="5" t="n">
        <f aca="false">IF($E$30=0,0,($C$17+$C$18+$C$20-$C$24)*U30/$E$30)</f>
        <v>233601.442010748</v>
      </c>
      <c r="V31" s="5" t="n">
        <f aca="false">IF($E$30=0,0,($C$17+$C$18+$C$20-$C$24)*V30/$E$30)</f>
        <v>223322.390314856</v>
      </c>
      <c r="W31" s="5" t="n">
        <f aca="false">IF($E$30=0,0,($C$17+$C$18+$C$20-$C$24)*W30/$E$30)</f>
        <v>211371.325638482</v>
      </c>
      <c r="X31" s="5" t="n">
        <f aca="false">IF($E$30=0,0,($C$17+$C$18+$C$20-$C$24)*X30/$E$30)</f>
        <v>198069.191946772</v>
      </c>
      <c r="Y31" s="5" t="n">
        <f aca="false">IF($E$30=0,0,($C$17+$C$18+$C$20-$C$24)*Y30/$E$30)</f>
        <v>183757.402670977</v>
      </c>
      <c r="Z31" s="5" t="n">
        <f aca="false">IF($E$30=0,0,($C$17+$C$18+$C$20-$C$24)*Z30/$E$30)</f>
        <v>168783.431702998</v>
      </c>
      <c r="AA31" s="5" t="n">
        <f aca="false">IF($E$30=0,0,($C$17+$C$18+$C$20-$C$24)*AA30/$E$30)</f>
        <v>0</v>
      </c>
      <c r="AB31" s="5" t="n">
        <f aca="false">IF($E$30=0,0,($C$17+$C$18+$C$20-$C$24)*AB30/$E$30)</f>
        <v>0</v>
      </c>
      <c r="AC31" s="5" t="n">
        <f aca="false">IF($E$30=0,0,($C$17+$C$18+$C$20-$C$24)*AC30/$E$30)</f>
        <v>0</v>
      </c>
      <c r="AD31" s="5" t="n">
        <f aca="false">IF($E$30=0,0,($C$17+$C$18+$C$20-$C$24)*AD30/$E$30)</f>
        <v>0</v>
      </c>
      <c r="AE31" s="5" t="n">
        <f aca="false">IF($E$30=0,0,($C$17+$C$18+$C$20-$C$24)*AE30/$E$30)</f>
        <v>0</v>
      </c>
      <c r="AF31" s="5" t="n">
        <f aca="false">IF($E$30=0,0,($C$17+$C$18+$C$20-$C$24)*AF30/$E$30)</f>
        <v>0</v>
      </c>
      <c r="AG31" s="5" t="n">
        <f aca="false">IF($E$30=0,0,($C$17+$C$18+$C$20-$C$24)*AG30/$E$30)</f>
        <v>0</v>
      </c>
      <c r="AH31" s="5" t="n">
        <f aca="false">IF($E$30=0,0,($C$17+$C$18+$C$20-$C$24)*AH30/$E$30)</f>
        <v>0</v>
      </c>
      <c r="AI31" s="5" t="n">
        <f aca="false">IF($E$30=0,0,($C$17+$C$18+$C$20-$C$24)*AI30/$E$30)</f>
        <v>0</v>
      </c>
      <c r="AJ31" s="5" t="n">
        <f aca="false">IF($E$30=0,0,($C$17+$C$18+$C$20-$C$24)*AJ30/$E$30)</f>
        <v>0</v>
      </c>
      <c r="AK31" s="5" t="n">
        <f aca="false">IF($E$30=0,0,($C$17+$C$18+$C$20-$C$24)*AK30/$E$30)</f>
        <v>0</v>
      </c>
      <c r="AL31" s="5" t="n">
        <f aca="false">IF($E$30=0,0,($C$17+$C$18+$C$20-$C$24)*AL30/$E$30)</f>
        <v>0</v>
      </c>
      <c r="AM31" s="5" t="n">
        <f aca="false">IF($E$30=0,0,($C$17+$C$18+$C$20-$C$24)*AM30/$E$30)</f>
        <v>0</v>
      </c>
      <c r="AN31" s="5" t="n">
        <f aca="false">IF($E$30=0,0,($C$17+$C$18+$C$20-$C$24)*AN30/$E$30)</f>
        <v>0</v>
      </c>
      <c r="AO31" s="5" t="n">
        <f aca="false">IF($E$30=0,0,($C$17+$C$18+$C$20-$C$24)*AO30/$E$30)</f>
        <v>0</v>
      </c>
      <c r="AP31" s="5" t="n">
        <f aca="false">IF($E$30=0,0,($C$17+$C$18+$C$20-$C$24)*AP30/$E$30)</f>
        <v>0</v>
      </c>
      <c r="AQ31" s="5" t="n">
        <f aca="false">IF($E$30=0,0,($C$17+$C$18+$C$20-$C$24)*AQ30/$E$30)</f>
        <v>0</v>
      </c>
      <c r="AR31" s="5" t="n">
        <f aca="false">IF($E$30=0,0,($C$17+$C$18+$C$20-$C$24)*AR30/$E$30)</f>
        <v>0</v>
      </c>
      <c r="AS31" s="5" t="n">
        <f aca="false">IF($E$30=0,0,($C$17+$C$18+$C$20-$C$24)*AS30/$E$30)</f>
        <v>0</v>
      </c>
      <c r="AT31" s="5" t="n">
        <f aca="false">IF($E$30=0,0,($C$17+$C$18+$C$20-$C$24)*AT30/$E$30)</f>
        <v>0</v>
      </c>
      <c r="AU31" s="5" t="n">
        <f aca="false">IF($E$30=0,0,($C$17+$C$18+$C$20-$C$24)*AU30/$E$30)</f>
        <v>0</v>
      </c>
      <c r="AV31" s="5" t="n">
        <f aca="false">IF($E$30=0,0,($C$17+$C$18+$C$20-$C$24)*AV30/$E$30)</f>
        <v>0</v>
      </c>
      <c r="AW31" s="5" t="n">
        <f aca="false">IF($E$30=0,0,($C$17+$C$18+$C$20-$C$24)*AW30/$E$30)</f>
        <v>0</v>
      </c>
      <c r="AX31" s="5" t="n">
        <f aca="false">IF($E$30=0,0,($C$17+$C$18+$C$20-$C$24)*AX30/$E$30)</f>
        <v>0</v>
      </c>
      <c r="AY31" s="5" t="n">
        <f aca="false">IF($E$30=0,0,($C$17+$C$18+$C$20-$C$24)*AY30/$E$30)</f>
        <v>0</v>
      </c>
      <c r="AZ31" s="5" t="n">
        <f aca="false">IF($E$30=0,0,($C$17+$C$18+$C$20-$C$24)*AZ30/$E$30)</f>
        <v>0</v>
      </c>
      <c r="BA31" s="5" t="n">
        <f aca="false">IF($E$30=0,0,($C$17+$C$18+$C$20-$C$24)*BA30/$E$30)</f>
        <v>0</v>
      </c>
      <c r="BB31" s="5" t="n">
        <f aca="false">IF($E$30=0,0,($C$17+$C$18+$C$20-$C$24)*BB30/$E$30)</f>
        <v>0</v>
      </c>
      <c r="BC31" s="5" t="n">
        <f aca="false">IF($E$30=0,0,($C$17+$C$18+$C$20-$C$24)*BC30/$E$30)</f>
        <v>0</v>
      </c>
      <c r="BD31" s="5" t="n">
        <f aca="false">IF($E$30=0,0,($C$17+$C$18+$C$20-$C$24)*BD30/$E$30)</f>
        <v>0</v>
      </c>
      <c r="BE31" s="5" t="n">
        <f aca="false">IF($E$30=0,0,($C$17+$C$18+$C$20-$C$24)*BE30/$E$30)</f>
        <v>0</v>
      </c>
      <c r="BF31" s="5" t="n">
        <f aca="false">IF($E$30=0,0,($C$17+$C$18+$C$20-$C$24)*BF30/$E$30)</f>
        <v>0</v>
      </c>
      <c r="BG31" s="5" t="n">
        <f aca="false">IF($E$30=0,0,($C$17+$C$18+$C$20-$C$24)*BG30/$E$30)</f>
        <v>0</v>
      </c>
      <c r="BH31" s="5" t="n">
        <f aca="false">IF($E$30=0,0,($C$17+$C$18+$C$20-$C$24)*BH30/$E$30)</f>
        <v>0</v>
      </c>
      <c r="BI31" s="5" t="n">
        <f aca="false">IF($E$30=0,0,($C$17+$C$18+$C$20-$C$24)*BI30/$E$30)</f>
        <v>0</v>
      </c>
      <c r="BJ31" s="5" t="n">
        <f aca="false">IF($E$30=0,0,($C$17+$C$18+$C$20-$C$24)*BJ30/$E$30)</f>
        <v>0</v>
      </c>
      <c r="BK31" s="5" t="n">
        <f aca="false">IF($E$30=0,0,($C$17+$C$18+$C$20-$C$24)*BK30/$E$30)</f>
        <v>0</v>
      </c>
      <c r="BL31" s="5" t="n">
        <f aca="false">IF($E$30=0,0,($C$17+$C$18+$C$20-$C$24)*BL30/$E$30)</f>
        <v>0</v>
      </c>
      <c r="BM31" s="5" t="n">
        <f aca="false">IF($E$30=0,0,($C$17+$C$18+$C$20-$C$24)*BM30/$E$30)</f>
        <v>0</v>
      </c>
      <c r="BN31" s="5" t="n">
        <f aca="false">IF($E$30=0,0,($C$17+$C$18+$C$20-$C$24)*BN30/$E$30)</f>
        <v>0</v>
      </c>
      <c r="BO31" s="5" t="n">
        <f aca="false">IF($E$30=0,0,($C$17+$C$18+$C$20-$C$24)*BO30/$E$30)</f>
        <v>0</v>
      </c>
      <c r="BP31" s="5" t="n">
        <f aca="false">IF($E$30=0,0,($C$17+$C$18+$C$20-$C$24)*BP30/$E$30)</f>
        <v>0</v>
      </c>
      <c r="BQ31" s="5" t="n">
        <f aca="false">IF($E$30=0,0,($C$17+$C$18+$C$20-$C$24)*BQ30/$E$30)</f>
        <v>0</v>
      </c>
      <c r="BR31" s="5" t="n">
        <f aca="false">IF($E$30=0,0,($C$17+$C$18+$C$20-$C$24)*BR30/$E$30)</f>
        <v>0</v>
      </c>
      <c r="BS31" s="5" t="n">
        <f aca="false">IF($E$30=0,0,($C$17+$C$18+$C$20-$C$24)*BS30/$E$30)</f>
        <v>0</v>
      </c>
      <c r="BT31" s="5" t="n">
        <f aca="false">IF($E$30=0,0,($C$17+$C$18+$C$20-$C$24)*BT30/$E$30)</f>
        <v>0</v>
      </c>
      <c r="BU31" s="5" t="n">
        <f aca="false">IF($E$30=0,0,($C$17+$C$18+$C$20-$C$24)*BU30/$E$30)</f>
        <v>0</v>
      </c>
      <c r="BV31" s="5" t="n">
        <f aca="false">IF($E$30=0,0,($C$17+$C$18+$C$20-$C$24)*BV30/$E$30)</f>
        <v>0</v>
      </c>
      <c r="BW31" s="5" t="n">
        <f aca="false">IF($E$30=0,0,($C$17+$C$18+$C$20-$C$24)*BW30/$E$30)</f>
        <v>0</v>
      </c>
      <c r="BX31" s="5" t="n">
        <f aca="false">IF($E$30=0,0,($C$17+$C$18+$C$20-$C$24)*BX30/$E$30)</f>
        <v>0</v>
      </c>
      <c r="BY31" s="5" t="n">
        <f aca="false">IF($E$30=0,0,($C$17+$C$18+$C$20-$C$24)*BY30/$E$30)</f>
        <v>0</v>
      </c>
      <c r="BZ31" s="5" t="n">
        <f aca="false">IF($E$30=0,0,($C$17+$C$18+$C$20-$C$24)*BZ30/$E$30)</f>
        <v>0</v>
      </c>
      <c r="CA31" s="5" t="n">
        <f aca="false">IF($E$30=0,0,($C$17+$C$18+$C$20-$C$24)*CA30/$E$30)</f>
        <v>0</v>
      </c>
      <c r="CB31" s="5" t="n">
        <f aca="false">IF($E$30=0,0,($C$17+$C$18+$C$20-$C$24)*CB30/$E$30)</f>
        <v>0</v>
      </c>
      <c r="CC31" s="5" t="n">
        <f aca="false">IF($E$30=0,0,($C$17+$C$18+$C$20-$C$24)*CC30/$E$30)</f>
        <v>0</v>
      </c>
      <c r="CD31" s="5" t="n">
        <f aca="false">IF($E$30=0,0,($C$17+$C$18+$C$20-$C$24)*CD30/$E$30)</f>
        <v>0</v>
      </c>
      <c r="CE31" s="5" t="n">
        <f aca="false">IF($E$30=0,0,($C$17+$C$18+$C$20-$C$24)*CE30/$E$30)</f>
        <v>0</v>
      </c>
      <c r="CF31" s="5" t="n">
        <f aca="false">IF($E$30=0,0,($C$17+$C$18+$C$20-$C$24)*CF30/$E$30)</f>
        <v>0</v>
      </c>
      <c r="CG31" s="5" t="n">
        <f aca="false">IF($E$30=0,0,($C$17+$C$18+$C$20-$C$24)*CG30/$E$30)</f>
        <v>0</v>
      </c>
      <c r="CH31" s="5" t="n">
        <f aca="false">IF($E$30=0,0,($C$17+$C$18+$C$20-$C$24)*CH30/$E$30)</f>
        <v>0</v>
      </c>
      <c r="CI31" s="5" t="n">
        <f aca="false">IF($E$30=0,0,($C$17+$C$18+$C$20-$C$24)*CI30/$E$30)</f>
        <v>0</v>
      </c>
      <c r="CJ31" s="5" t="n">
        <f aca="false">IF($E$30=0,0,($C$17+$C$18+$C$20-$C$24)*CJ30/$E$30)</f>
        <v>0</v>
      </c>
      <c r="CK31" s="5" t="n">
        <f aca="false">IF($E$30=0,0,($C$17+$C$18+$C$20-$C$24)*CK30/$E$30)</f>
        <v>0</v>
      </c>
      <c r="CL31" s="5" t="n">
        <f aca="false">IF($E$30=0,0,($C$17+$C$18+$C$20-$C$24)*CL30/$E$30)</f>
        <v>0</v>
      </c>
      <c r="CM31" s="5" t="n">
        <f aca="false">IF($E$30=0,0,($C$17+$C$18+$C$20-$C$24)*CM30/$E$30)</f>
        <v>0</v>
      </c>
      <c r="CN31" s="5" t="n">
        <f aca="false">IF($E$30=0,0,($C$17+$C$18+$C$20-$C$24)*CN30/$E$30)</f>
        <v>0</v>
      </c>
      <c r="CO31" s="5" t="n">
        <f aca="false">IF($E$30=0,0,($C$17+$C$18+$C$20-$C$24)*CO30/$E$30)</f>
        <v>0</v>
      </c>
      <c r="CP31" s="5" t="n">
        <f aca="false">IF($E$30=0,0,($C$17+$C$18+$C$20-$C$24)*CP30/$E$30)</f>
        <v>0</v>
      </c>
      <c r="CQ31" s="5" t="n">
        <f aca="false">IF($E$30=0,0,($C$17+$C$18+$C$20-$C$24)*CQ30/$E$30)</f>
        <v>0</v>
      </c>
      <c r="CR31" s="5" t="n">
        <f aca="false">IF($E$30=0,0,($C$17+$C$18+$C$20-$C$24)*CR30/$E$30)</f>
        <v>0</v>
      </c>
      <c r="CS31" s="5" t="n">
        <f aca="false">IF($E$30=0,0,($C$17+$C$18+$C$20-$C$24)*CS30/$E$30)</f>
        <v>0</v>
      </c>
      <c r="CT31" s="5" t="n">
        <f aca="false">IF($E$30=0,0,($C$17+$C$18+$C$20-$C$24)*CT30/$E$30)</f>
        <v>0</v>
      </c>
      <c r="CU31" s="5" t="n">
        <f aca="false">IF($E$30=0,0,($C$17+$C$18+$C$20-$C$24)*CU30/$E$30)</f>
        <v>0</v>
      </c>
      <c r="CV31" s="5" t="n">
        <f aca="false">IF($E$30=0,0,($C$17+$C$18+$C$20-$C$24)*CV30/$E$30)</f>
        <v>0</v>
      </c>
      <c r="CW31" s="5" t="n">
        <f aca="false">IF($E$30=0,0,($C$17+$C$18+$C$20-$C$24)*CW30/$E$30)</f>
        <v>0</v>
      </c>
    </row>
    <row r="32" customFormat="false" ht="15" hidden="false" customHeight="false" outlineLevel="0" collapsed="false">
      <c r="B32" s="0" t="s">
        <v>150</v>
      </c>
      <c r="F32" s="5" t="n">
        <f aca="false">IF(F27=1,$C$24,0)</f>
        <v>195800</v>
      </c>
      <c r="G32" s="5" t="n">
        <f aca="false">IF(G27=1,$C$24,0)</f>
        <v>0</v>
      </c>
      <c r="H32" s="5" t="n">
        <f aca="false">IF(H27=1,$C$24,0)</f>
        <v>0</v>
      </c>
      <c r="I32" s="5" t="n">
        <f aca="false">IF(I27=1,$C$24,0)</f>
        <v>0</v>
      </c>
      <c r="J32" s="5" t="n">
        <f aca="false">IF(J27=1,$C$24,0)</f>
        <v>0</v>
      </c>
      <c r="K32" s="5" t="n">
        <f aca="false">IF(K27=1,$C$24,0)</f>
        <v>0</v>
      </c>
      <c r="L32" s="5" t="n">
        <f aca="false">IF(L27=1,$C$24,0)</f>
        <v>0</v>
      </c>
      <c r="M32" s="5" t="n">
        <f aca="false">IF(M27=1,$C$24,0)</f>
        <v>0</v>
      </c>
      <c r="N32" s="5" t="n">
        <f aca="false">IF(N27=1,$C$24,0)</f>
        <v>0</v>
      </c>
      <c r="O32" s="5" t="n">
        <f aca="false">IF(O27=1,$C$24,0)</f>
        <v>0</v>
      </c>
      <c r="P32" s="5" t="n">
        <f aca="false">IF(P27=1,$C$24,0)</f>
        <v>0</v>
      </c>
      <c r="Q32" s="5" t="n">
        <f aca="false">IF(Q27=1,$C$24,0)</f>
        <v>0</v>
      </c>
      <c r="R32" s="5" t="n">
        <f aca="false">IF(R27=1,$C$24,0)</f>
        <v>0</v>
      </c>
      <c r="S32" s="5" t="n">
        <f aca="false">IF(S27=1,$C$24,0)</f>
        <v>0</v>
      </c>
      <c r="T32" s="5" t="n">
        <f aca="false">IF(T27=1,$C$24,0)</f>
        <v>0</v>
      </c>
      <c r="U32" s="5" t="n">
        <f aca="false">IF(U27=1,$C$24,0)</f>
        <v>0</v>
      </c>
      <c r="V32" s="5" t="n">
        <f aca="false">IF(V27=1,$C$24,0)</f>
        <v>0</v>
      </c>
      <c r="W32" s="5" t="n">
        <f aca="false">IF(W27=1,$C$24,0)</f>
        <v>0</v>
      </c>
      <c r="X32" s="5" t="n">
        <f aca="false">IF(X27=1,$C$24,0)</f>
        <v>0</v>
      </c>
      <c r="Y32" s="5" t="n">
        <f aca="false">IF(Y27=1,$C$24,0)</f>
        <v>0</v>
      </c>
      <c r="Z32" s="5" t="n">
        <f aca="false">IF(Z27=1,$C$24,0)</f>
        <v>0</v>
      </c>
      <c r="AA32" s="5" t="n">
        <f aca="false">IF(AA27=1,$C$24,0)</f>
        <v>0</v>
      </c>
      <c r="AB32" s="5" t="n">
        <f aca="false">IF(AB27=1,$C$24,0)</f>
        <v>0</v>
      </c>
      <c r="AC32" s="5" t="n">
        <f aca="false">IF(AC27=1,$C$24,0)</f>
        <v>0</v>
      </c>
      <c r="AD32" s="5" t="n">
        <f aca="false">IF(AD27=1,$C$24,0)</f>
        <v>0</v>
      </c>
      <c r="AE32" s="5" t="n">
        <f aca="false">IF(AE27=1,$C$24,0)</f>
        <v>0</v>
      </c>
      <c r="AF32" s="5" t="n">
        <f aca="false">IF(AF27=1,$C$24,0)</f>
        <v>0</v>
      </c>
      <c r="AG32" s="5" t="n">
        <f aca="false">IF(AG27=1,$C$24,0)</f>
        <v>0</v>
      </c>
      <c r="AH32" s="5" t="n">
        <f aca="false">IF(AH27=1,$C$24,0)</f>
        <v>0</v>
      </c>
      <c r="AI32" s="5" t="n">
        <f aca="false">IF(AI27=1,$C$24,0)</f>
        <v>0</v>
      </c>
      <c r="AJ32" s="5" t="n">
        <f aca="false">IF(AJ27=1,$C$24,0)</f>
        <v>0</v>
      </c>
      <c r="AK32" s="5" t="n">
        <f aca="false">IF(AK27=1,$C$24,0)</f>
        <v>0</v>
      </c>
      <c r="AL32" s="5" t="n">
        <f aca="false">IF(AL27=1,$C$24,0)</f>
        <v>0</v>
      </c>
      <c r="AM32" s="5" t="n">
        <f aca="false">IF(AM27=1,$C$24,0)</f>
        <v>0</v>
      </c>
      <c r="AN32" s="5" t="n">
        <f aca="false">IF(AN27=1,$C$24,0)</f>
        <v>0</v>
      </c>
      <c r="AO32" s="5" t="n">
        <f aca="false">IF(AO27=1,$C$24,0)</f>
        <v>0</v>
      </c>
      <c r="AP32" s="5" t="n">
        <f aca="false">IF(AP27=1,$C$24,0)</f>
        <v>0</v>
      </c>
      <c r="AQ32" s="5" t="n">
        <f aca="false">IF(AQ27=1,$C$24,0)</f>
        <v>0</v>
      </c>
      <c r="AR32" s="5" t="n">
        <f aca="false">IF(AR27=1,$C$24,0)</f>
        <v>0</v>
      </c>
      <c r="AS32" s="5" t="n">
        <f aca="false">IF(AS27=1,$C$24,0)</f>
        <v>0</v>
      </c>
      <c r="AT32" s="5" t="n">
        <f aca="false">IF(AT27=1,$C$24,0)</f>
        <v>0</v>
      </c>
      <c r="AU32" s="5" t="n">
        <f aca="false">IF(AU27=1,$C$24,0)</f>
        <v>0</v>
      </c>
      <c r="AV32" s="5" t="n">
        <f aca="false">IF(AV27=1,$C$24,0)</f>
        <v>0</v>
      </c>
      <c r="AW32" s="5" t="n">
        <f aca="false">IF(AW27=1,$C$24,0)</f>
        <v>0</v>
      </c>
      <c r="AX32" s="5" t="n">
        <f aca="false">IF(AX27=1,$C$24,0)</f>
        <v>0</v>
      </c>
      <c r="AY32" s="5" t="n">
        <f aca="false">IF(AY27=1,$C$24,0)</f>
        <v>0</v>
      </c>
      <c r="AZ32" s="5" t="n">
        <f aca="false">IF(AZ27=1,$C$24,0)</f>
        <v>0</v>
      </c>
      <c r="BA32" s="5" t="n">
        <f aca="false">IF(BA27=1,$C$24,0)</f>
        <v>0</v>
      </c>
      <c r="BB32" s="5" t="n">
        <f aca="false">IF(BB27=1,$C$24,0)</f>
        <v>0</v>
      </c>
      <c r="BC32" s="5" t="n">
        <f aca="false">IF(BC27=1,$C$24,0)</f>
        <v>0</v>
      </c>
      <c r="BD32" s="5" t="n">
        <f aca="false">IF(BD27=1,$C$24,0)</f>
        <v>0</v>
      </c>
      <c r="BE32" s="5" t="n">
        <f aca="false">IF(BE27=1,$C$24,0)</f>
        <v>0</v>
      </c>
      <c r="BF32" s="5" t="n">
        <f aca="false">IF(BF27=1,$C$24,0)</f>
        <v>0</v>
      </c>
      <c r="BG32" s="5" t="n">
        <f aca="false">IF(BG27=1,$C$24,0)</f>
        <v>0</v>
      </c>
      <c r="BH32" s="5" t="n">
        <f aca="false">IF(BH27=1,$C$24,0)</f>
        <v>0</v>
      </c>
      <c r="BI32" s="5" t="n">
        <f aca="false">IF(BI27=1,$C$24,0)</f>
        <v>0</v>
      </c>
      <c r="BJ32" s="5" t="n">
        <f aca="false">IF(BJ27=1,$C$24,0)</f>
        <v>0</v>
      </c>
      <c r="BK32" s="5" t="n">
        <f aca="false">IF(BK27=1,$C$24,0)</f>
        <v>0</v>
      </c>
      <c r="BL32" s="5" t="n">
        <f aca="false">IF(BL27=1,$C$24,0)</f>
        <v>0</v>
      </c>
      <c r="BM32" s="5" t="n">
        <f aca="false">IF(BM27=1,$C$24,0)</f>
        <v>0</v>
      </c>
      <c r="BN32" s="5" t="n">
        <f aca="false">IF(BN27=1,$C$24,0)</f>
        <v>0</v>
      </c>
      <c r="BO32" s="5" t="n">
        <f aca="false">IF(BO27=1,$C$24,0)</f>
        <v>0</v>
      </c>
      <c r="BP32" s="5" t="n">
        <f aca="false">IF(BP27=1,$C$24,0)</f>
        <v>0</v>
      </c>
      <c r="BQ32" s="5" t="n">
        <f aca="false">IF(BQ27=1,$C$24,0)</f>
        <v>0</v>
      </c>
      <c r="BR32" s="5" t="n">
        <f aca="false">IF(BR27=1,$C$24,0)</f>
        <v>0</v>
      </c>
      <c r="BS32" s="5" t="n">
        <f aca="false">IF(BS27=1,$C$24,0)</f>
        <v>0</v>
      </c>
      <c r="BT32" s="5" t="n">
        <f aca="false">IF(BT27=1,$C$24,0)</f>
        <v>0</v>
      </c>
      <c r="BU32" s="5" t="n">
        <f aca="false">IF(BU27=1,$C$24,0)</f>
        <v>0</v>
      </c>
      <c r="BV32" s="5" t="n">
        <f aca="false">IF(BV27=1,$C$24,0)</f>
        <v>0</v>
      </c>
      <c r="BW32" s="5" t="n">
        <f aca="false">IF(BW27=1,$C$24,0)</f>
        <v>0</v>
      </c>
      <c r="BX32" s="5" t="n">
        <f aca="false">IF(BX27=1,$C$24,0)</f>
        <v>0</v>
      </c>
      <c r="BY32" s="5" t="n">
        <f aca="false">IF(BY27=1,$C$24,0)</f>
        <v>0</v>
      </c>
      <c r="BZ32" s="5" t="n">
        <f aca="false">IF(BZ27=1,$C$24,0)</f>
        <v>0</v>
      </c>
      <c r="CA32" s="5" t="n">
        <f aca="false">IF(CA27=1,$C$24,0)</f>
        <v>0</v>
      </c>
      <c r="CB32" s="5" t="n">
        <f aca="false">IF(CB27=1,$C$24,0)</f>
        <v>0</v>
      </c>
      <c r="CC32" s="5" t="n">
        <f aca="false">IF(CC27=1,$C$24,0)</f>
        <v>0</v>
      </c>
      <c r="CD32" s="5" t="n">
        <f aca="false">IF(CD27=1,$C$24,0)</f>
        <v>0</v>
      </c>
      <c r="CE32" s="5" t="n">
        <f aca="false">IF(CE27=1,$C$24,0)</f>
        <v>0</v>
      </c>
      <c r="CF32" s="5" t="n">
        <f aca="false">IF(CF27=1,$C$24,0)</f>
        <v>0</v>
      </c>
      <c r="CG32" s="5" t="n">
        <f aca="false">IF(CG27=1,$C$24,0)</f>
        <v>0</v>
      </c>
      <c r="CH32" s="5" t="n">
        <f aca="false">IF(CH27=1,$C$24,0)</f>
        <v>0</v>
      </c>
      <c r="CI32" s="5" t="n">
        <f aca="false">IF(CI27=1,$C$24,0)</f>
        <v>0</v>
      </c>
      <c r="CJ32" s="5" t="n">
        <f aca="false">IF(CJ27=1,$C$24,0)</f>
        <v>0</v>
      </c>
      <c r="CK32" s="5" t="n">
        <f aca="false">IF(CK27=1,$C$24,0)</f>
        <v>0</v>
      </c>
      <c r="CL32" s="5" t="n">
        <f aca="false">IF(CL27=1,$C$24,0)</f>
        <v>0</v>
      </c>
      <c r="CM32" s="5" t="n">
        <f aca="false">IF(CM27=1,$C$24,0)</f>
        <v>0</v>
      </c>
      <c r="CN32" s="5" t="n">
        <f aca="false">IF(CN27=1,$C$24,0)</f>
        <v>0</v>
      </c>
      <c r="CO32" s="5" t="n">
        <f aca="false">IF(CO27=1,$C$24,0)</f>
        <v>0</v>
      </c>
      <c r="CP32" s="5" t="n">
        <f aca="false">IF(CP27=1,$C$24,0)</f>
        <v>0</v>
      </c>
      <c r="CQ32" s="5" t="n">
        <f aca="false">IF(CQ27=1,$C$24,0)</f>
        <v>0</v>
      </c>
      <c r="CR32" s="5" t="n">
        <f aca="false">IF(CR27=1,$C$24,0)</f>
        <v>0</v>
      </c>
      <c r="CS32" s="5" t="n">
        <f aca="false">IF(CS27=1,$C$24,0)</f>
        <v>0</v>
      </c>
      <c r="CT32" s="5" t="n">
        <f aca="false">IF(CT27=1,$C$24,0)</f>
        <v>0</v>
      </c>
      <c r="CU32" s="5" t="n">
        <f aca="false">IF(CU27=1,$C$24,0)</f>
        <v>0</v>
      </c>
      <c r="CV32" s="5" t="n">
        <f aca="false">IF(CV27=1,$C$24,0)</f>
        <v>0</v>
      </c>
      <c r="CW32" s="5" t="n">
        <f aca="false">IF(CW27=1,$C$24,0)</f>
        <v>0</v>
      </c>
    </row>
    <row r="33" customFormat="false" ht="15" hidden="false" customHeight="false" outlineLevel="0" collapsed="false">
      <c r="B33" s="0" t="s">
        <v>151</v>
      </c>
      <c r="F33" s="5" t="n">
        <f aca="false">F29+F31+F32</f>
        <v>195800</v>
      </c>
      <c r="G33" s="5" t="n">
        <f aca="false">G29+G31+G32</f>
        <v>986005.982457879</v>
      </c>
      <c r="H33" s="5" t="n">
        <f aca="false">H29+H31+H32</f>
        <v>1252709.31968563</v>
      </c>
      <c r="I33" s="5" t="n">
        <f aca="false">I29+I31+I32</f>
        <v>1556349.0178664</v>
      </c>
      <c r="J33" s="5" t="n">
        <f aca="false">J29+J31+J32</f>
        <v>1888585.47650877</v>
      </c>
      <c r="K33" s="5" t="n">
        <f aca="false">K29+K31+K32</f>
        <v>2236411.48401816</v>
      </c>
      <c r="L33" s="5" t="n">
        <f aca="false">L29+L31+L32</f>
        <v>2582627.92185996</v>
      </c>
      <c r="M33" s="5" t="n">
        <f aca="false">M29+M31+M32</f>
        <v>2907044.85539308</v>
      </c>
      <c r="N33" s="5" t="n">
        <f aca="false">N29+N31+N32</f>
        <v>3188338.30204985</v>
      </c>
      <c r="O33" s="5" t="n">
        <f aca="false">O29+O31+O32</f>
        <v>3406346.76305901</v>
      </c>
      <c r="P33" s="5" t="n">
        <f aca="false">P29+P31+P32</f>
        <v>3544471.40636586</v>
      </c>
      <c r="Q33" s="5" t="n">
        <f aca="false">Q29+Q31+Q32</f>
        <v>3591784.20426299</v>
      </c>
      <c r="R33" s="5" t="n">
        <f aca="false">R29+R31+R32</f>
        <v>3544471.40636586</v>
      </c>
      <c r="S33" s="5" t="n">
        <f aca="false">S29+S31+S32</f>
        <v>3406346.76305901</v>
      </c>
      <c r="T33" s="5" t="n">
        <f aca="false">T29+T31+T32</f>
        <v>3188338.30204985</v>
      </c>
      <c r="U33" s="5" t="n">
        <f aca="false">U29+U31+U32</f>
        <v>2907044.85539308</v>
      </c>
      <c r="V33" s="5" t="n">
        <f aca="false">V29+V31+V32</f>
        <v>2582627.92185996</v>
      </c>
      <c r="W33" s="5" t="n">
        <f aca="false">W29+W31+W32</f>
        <v>2236411.48401816</v>
      </c>
      <c r="X33" s="5" t="n">
        <f aca="false">X29+X31+X32</f>
        <v>1888585.47650877</v>
      </c>
      <c r="Y33" s="5" t="n">
        <f aca="false">Y29+Y31+Y32</f>
        <v>1556349.0178664</v>
      </c>
      <c r="Z33" s="5" t="n">
        <f aca="false">Z29+Z31+Z32</f>
        <v>1252709.31968563</v>
      </c>
      <c r="AA33" s="5" t="n">
        <f aca="false">AA29+AA31+AA32</f>
        <v>0</v>
      </c>
      <c r="AB33" s="5" t="n">
        <f aca="false">AB29+AB31+AB32</f>
        <v>0</v>
      </c>
      <c r="AC33" s="5" t="n">
        <f aca="false">AC29+AC31+AC32</f>
        <v>0</v>
      </c>
      <c r="AD33" s="5" t="n">
        <f aca="false">AD29+AD31+AD32</f>
        <v>0</v>
      </c>
      <c r="AE33" s="5" t="n">
        <f aca="false">AE29+AE31+AE32</f>
        <v>0</v>
      </c>
      <c r="AF33" s="5" t="n">
        <f aca="false">AF29+AF31+AF32</f>
        <v>0</v>
      </c>
      <c r="AG33" s="5" t="n">
        <f aca="false">AG29+AG31+AG32</f>
        <v>0</v>
      </c>
      <c r="AH33" s="5" t="n">
        <f aca="false">AH29+AH31+AH32</f>
        <v>0</v>
      </c>
      <c r="AI33" s="5" t="n">
        <f aca="false">AI29+AI31+AI32</f>
        <v>0</v>
      </c>
      <c r="AJ33" s="5" t="n">
        <f aca="false">AJ29+AJ31+AJ32</f>
        <v>0</v>
      </c>
      <c r="AK33" s="5" t="n">
        <f aca="false">AK29+AK31+AK32</f>
        <v>0</v>
      </c>
      <c r="AL33" s="5" t="n">
        <f aca="false">AL29+AL31+AL32</f>
        <v>0</v>
      </c>
      <c r="AM33" s="5" t="n">
        <f aca="false">AM29+AM31+AM32</f>
        <v>0</v>
      </c>
      <c r="AN33" s="5" t="n">
        <f aca="false">AN29+AN31+AN32</f>
        <v>0</v>
      </c>
      <c r="AO33" s="5" t="n">
        <f aca="false">AO29+AO31+AO32</f>
        <v>0</v>
      </c>
      <c r="AP33" s="5" t="n">
        <f aca="false">AP29+AP31+AP32</f>
        <v>0</v>
      </c>
      <c r="AQ33" s="5" t="n">
        <f aca="false">AQ29+AQ31+AQ32</f>
        <v>0</v>
      </c>
      <c r="AR33" s="5" t="n">
        <f aca="false">AR29+AR31+AR32</f>
        <v>0</v>
      </c>
      <c r="AS33" s="5" t="n">
        <f aca="false">AS29+AS31+AS32</f>
        <v>0</v>
      </c>
      <c r="AT33" s="5" t="n">
        <f aca="false">AT29+AT31+AT32</f>
        <v>0</v>
      </c>
      <c r="AU33" s="5" t="n">
        <f aca="false">AU29+AU31+AU32</f>
        <v>0</v>
      </c>
      <c r="AV33" s="5" t="n">
        <f aca="false">AV29+AV31+AV32</f>
        <v>0</v>
      </c>
      <c r="AW33" s="5" t="n">
        <f aca="false">AW29+AW31+AW32</f>
        <v>0</v>
      </c>
      <c r="AX33" s="5" t="n">
        <f aca="false">AX29+AX31+AX32</f>
        <v>0</v>
      </c>
      <c r="AY33" s="5" t="n">
        <f aca="false">AY29+AY31+AY32</f>
        <v>0</v>
      </c>
      <c r="AZ33" s="5" t="n">
        <f aca="false">AZ29+AZ31+AZ32</f>
        <v>0</v>
      </c>
      <c r="BA33" s="5" t="n">
        <f aca="false">BA29+BA31+BA32</f>
        <v>0</v>
      </c>
      <c r="BB33" s="5" t="n">
        <f aca="false">BB29+BB31+BB32</f>
        <v>0</v>
      </c>
      <c r="BC33" s="5" t="n">
        <f aca="false">BC29+BC31+BC32</f>
        <v>0</v>
      </c>
      <c r="BD33" s="5" t="n">
        <f aca="false">BD29+BD31+BD32</f>
        <v>0</v>
      </c>
      <c r="BE33" s="5" t="n">
        <f aca="false">BE29+BE31+BE32</f>
        <v>0</v>
      </c>
      <c r="BF33" s="5" t="n">
        <f aca="false">BF29+BF31+BF32</f>
        <v>0</v>
      </c>
      <c r="BG33" s="5" t="n">
        <f aca="false">BG29+BG31+BG32</f>
        <v>0</v>
      </c>
      <c r="BH33" s="5" t="n">
        <f aca="false">BH29+BH31+BH32</f>
        <v>0</v>
      </c>
      <c r="BI33" s="5" t="n">
        <f aca="false">BI29+BI31+BI32</f>
        <v>0</v>
      </c>
      <c r="BJ33" s="5" t="n">
        <f aca="false">BJ29+BJ31+BJ32</f>
        <v>0</v>
      </c>
      <c r="BK33" s="5" t="n">
        <f aca="false">BK29+BK31+BK32</f>
        <v>0</v>
      </c>
      <c r="BL33" s="5" t="n">
        <f aca="false">BL29+BL31+BL32</f>
        <v>0</v>
      </c>
      <c r="BM33" s="5" t="n">
        <f aca="false">BM29+BM31+BM32</f>
        <v>0</v>
      </c>
      <c r="BN33" s="5" t="n">
        <f aca="false">BN29+BN31+BN32</f>
        <v>0</v>
      </c>
      <c r="BO33" s="5" t="n">
        <f aca="false">BO29+BO31+BO32</f>
        <v>0</v>
      </c>
      <c r="BP33" s="5" t="n">
        <f aca="false">BP29+BP31+BP32</f>
        <v>0</v>
      </c>
      <c r="BQ33" s="5" t="n">
        <f aca="false">BQ29+BQ31+BQ32</f>
        <v>0</v>
      </c>
      <c r="BR33" s="5" t="n">
        <f aca="false">BR29+BR31+BR32</f>
        <v>0</v>
      </c>
      <c r="BS33" s="5" t="n">
        <f aca="false">BS29+BS31+BS32</f>
        <v>0</v>
      </c>
      <c r="BT33" s="5" t="n">
        <f aca="false">BT29+BT31+BT32</f>
        <v>0</v>
      </c>
      <c r="BU33" s="5" t="n">
        <f aca="false">BU29+BU31+BU32</f>
        <v>0</v>
      </c>
      <c r="BV33" s="5" t="n">
        <f aca="false">BV29+BV31+BV32</f>
        <v>0</v>
      </c>
      <c r="BW33" s="5" t="n">
        <f aca="false">BW29+BW31+BW32</f>
        <v>0</v>
      </c>
      <c r="BX33" s="5" t="n">
        <f aca="false">BX29+BX31+BX32</f>
        <v>0</v>
      </c>
      <c r="BY33" s="5" t="n">
        <f aca="false">BY29+BY31+BY32</f>
        <v>0</v>
      </c>
      <c r="BZ33" s="5" t="n">
        <f aca="false">BZ29+BZ31+BZ32</f>
        <v>0</v>
      </c>
      <c r="CA33" s="5" t="n">
        <f aca="false">CA29+CA31+CA32</f>
        <v>0</v>
      </c>
      <c r="CB33" s="5" t="n">
        <f aca="false">CB29+CB31+CB32</f>
        <v>0</v>
      </c>
      <c r="CC33" s="5" t="n">
        <f aca="false">CC29+CC31+CC32</f>
        <v>0</v>
      </c>
      <c r="CD33" s="5" t="n">
        <f aca="false">CD29+CD31+CD32</f>
        <v>0</v>
      </c>
      <c r="CE33" s="5" t="n">
        <f aca="false">CE29+CE31+CE32</f>
        <v>0</v>
      </c>
      <c r="CF33" s="5" t="n">
        <f aca="false">CF29+CF31+CF32</f>
        <v>0</v>
      </c>
      <c r="CG33" s="5" t="n">
        <f aca="false">CG29+CG31+CG32</f>
        <v>0</v>
      </c>
      <c r="CH33" s="5" t="n">
        <f aca="false">CH29+CH31+CH32</f>
        <v>0</v>
      </c>
      <c r="CI33" s="5" t="n">
        <f aca="false">CI29+CI31+CI32</f>
        <v>0</v>
      </c>
      <c r="CJ33" s="5" t="n">
        <f aca="false">CJ29+CJ31+CJ32</f>
        <v>0</v>
      </c>
      <c r="CK33" s="5" t="n">
        <f aca="false">CK29+CK31+CK32</f>
        <v>0</v>
      </c>
      <c r="CL33" s="5" t="n">
        <f aca="false">CL29+CL31+CL32</f>
        <v>0</v>
      </c>
      <c r="CM33" s="5" t="n">
        <f aca="false">CM29+CM31+CM32</f>
        <v>0</v>
      </c>
      <c r="CN33" s="5" t="n">
        <f aca="false">CN29+CN31+CN32</f>
        <v>0</v>
      </c>
      <c r="CO33" s="5" t="n">
        <f aca="false">CO29+CO31+CO32</f>
        <v>0</v>
      </c>
      <c r="CP33" s="5" t="n">
        <f aca="false">CP29+CP31+CP32</f>
        <v>0</v>
      </c>
      <c r="CQ33" s="5" t="n">
        <f aca="false">CQ29+CQ31+CQ32</f>
        <v>0</v>
      </c>
      <c r="CR33" s="5" t="n">
        <f aca="false">CR29+CR31+CR32</f>
        <v>0</v>
      </c>
      <c r="CS33" s="5" t="n">
        <f aca="false">CS29+CS31+CS32</f>
        <v>0</v>
      </c>
      <c r="CT33" s="5" t="n">
        <f aca="false">CT29+CT31+CT32</f>
        <v>0</v>
      </c>
      <c r="CU33" s="5" t="n">
        <f aca="false">CU29+CU31+CU32</f>
        <v>0</v>
      </c>
      <c r="CV33" s="5" t="n">
        <f aca="false">CV29+CV31+CV32</f>
        <v>0</v>
      </c>
      <c r="CW33" s="5" t="n">
        <f aca="false">CW29+CW31+CW32</f>
        <v>0</v>
      </c>
    </row>
    <row r="35" customFormat="false" ht="15" hidden="false" customHeight="false" outlineLevel="0" collapsed="false">
      <c r="B35" s="0" t="s">
        <v>152</v>
      </c>
      <c r="C35" s="0" t="str">
        <f aca="false">IF(ABS(SUM(F33:CW33)-C22)&lt;1,"OK","ERROR")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T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</cols>
  <sheetData>
    <row r="1" customFormat="false" ht="15" hidden="false" customHeight="false" outlineLevel="0" collapsed="false">
      <c r="B1" s="0" t="s">
        <v>145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  <c r="AG1" s="2" t="n">
        <v>31</v>
      </c>
      <c r="AH1" s="2" t="n">
        <v>32</v>
      </c>
      <c r="AI1" s="2" t="n">
        <v>33</v>
      </c>
      <c r="AJ1" s="2" t="n">
        <v>34</v>
      </c>
      <c r="AK1" s="2" t="n">
        <v>35</v>
      </c>
      <c r="AL1" s="2" t="n">
        <v>36</v>
      </c>
      <c r="AM1" s="2" t="n">
        <v>37</v>
      </c>
      <c r="AN1" s="2" t="n">
        <v>38</v>
      </c>
      <c r="AO1" s="2" t="n">
        <v>39</v>
      </c>
      <c r="AP1" s="2" t="n">
        <v>40</v>
      </c>
      <c r="AQ1" s="2" t="n">
        <v>41</v>
      </c>
      <c r="AR1" s="2" t="n">
        <v>42</v>
      </c>
      <c r="AS1" s="2" t="n">
        <v>43</v>
      </c>
      <c r="AT1" s="2" t="n">
        <v>44</v>
      </c>
      <c r="AU1" s="2" t="n">
        <v>45</v>
      </c>
      <c r="AV1" s="2" t="n">
        <v>46</v>
      </c>
      <c r="AW1" s="2" t="n">
        <v>47</v>
      </c>
      <c r="AX1" s="2" t="n">
        <v>48</v>
      </c>
      <c r="AY1" s="2" t="n">
        <v>49</v>
      </c>
      <c r="AZ1" s="2" t="n">
        <v>50</v>
      </c>
      <c r="BA1" s="2" t="n">
        <v>51</v>
      </c>
      <c r="BB1" s="2" t="n">
        <v>52</v>
      </c>
      <c r="BC1" s="2" t="n">
        <v>53</v>
      </c>
      <c r="BD1" s="2" t="n">
        <v>54</v>
      </c>
      <c r="BE1" s="2" t="n">
        <v>55</v>
      </c>
      <c r="BF1" s="2" t="n">
        <v>56</v>
      </c>
      <c r="BG1" s="2" t="n">
        <v>57</v>
      </c>
      <c r="BH1" s="2" t="n">
        <v>58</v>
      </c>
      <c r="BI1" s="2" t="n">
        <v>59</v>
      </c>
      <c r="BJ1" s="2" t="n">
        <v>60</v>
      </c>
      <c r="BK1" s="2" t="n">
        <v>61</v>
      </c>
      <c r="BL1" s="2" t="n">
        <v>62</v>
      </c>
      <c r="BM1" s="2" t="n">
        <v>63</v>
      </c>
      <c r="BN1" s="2" t="n">
        <v>64</v>
      </c>
      <c r="BO1" s="2" t="n">
        <v>65</v>
      </c>
      <c r="BP1" s="2" t="n">
        <v>66</v>
      </c>
      <c r="BQ1" s="2" t="n">
        <v>67</v>
      </c>
      <c r="BR1" s="2" t="n">
        <v>68</v>
      </c>
      <c r="BS1" s="2" t="n">
        <v>69</v>
      </c>
      <c r="BT1" s="2" t="n">
        <v>70</v>
      </c>
      <c r="BU1" s="2" t="n">
        <v>71</v>
      </c>
      <c r="BV1" s="2" t="n">
        <v>72</v>
      </c>
      <c r="BW1" s="2" t="n">
        <v>73</v>
      </c>
      <c r="BX1" s="2" t="n">
        <v>74</v>
      </c>
      <c r="BY1" s="2" t="n">
        <v>75</v>
      </c>
      <c r="BZ1" s="2" t="n">
        <v>76</v>
      </c>
      <c r="CA1" s="2" t="n">
        <v>77</v>
      </c>
      <c r="CB1" s="2" t="n">
        <v>78</v>
      </c>
      <c r="CC1" s="2" t="n">
        <v>79</v>
      </c>
      <c r="CD1" s="2" t="n">
        <v>80</v>
      </c>
      <c r="CE1" s="2" t="n">
        <v>81</v>
      </c>
      <c r="CF1" s="2" t="n">
        <v>82</v>
      </c>
      <c r="CG1" s="2" t="n">
        <v>83</v>
      </c>
      <c r="CH1" s="2" t="n">
        <v>84</v>
      </c>
      <c r="CI1" s="2" t="n">
        <v>85</v>
      </c>
      <c r="CJ1" s="2" t="n">
        <v>86</v>
      </c>
      <c r="CK1" s="2" t="n">
        <v>87</v>
      </c>
      <c r="CL1" s="2" t="n">
        <v>88</v>
      </c>
      <c r="CM1" s="2" t="n">
        <v>89</v>
      </c>
      <c r="CN1" s="2" t="n">
        <v>90</v>
      </c>
      <c r="CO1" s="2" t="n">
        <v>91</v>
      </c>
      <c r="CP1" s="2" t="n">
        <v>92</v>
      </c>
      <c r="CQ1" s="2" t="n">
        <v>93</v>
      </c>
      <c r="CR1" s="2" t="n">
        <v>94</v>
      </c>
      <c r="CS1" s="2" t="n">
        <v>95</v>
      </c>
      <c r="CT1" s="2" t="n">
        <v>96</v>
      </c>
    </row>
    <row r="2" customFormat="false" ht="15" hidden="false" customHeight="false" outlineLevel="0" collapsed="false">
      <c r="B2" s="0" t="s">
        <v>153</v>
      </c>
      <c r="C2" s="28" t="n">
        <f aca="false">EDATE(Inputs!$B$4,C1-1)</f>
        <v>46265</v>
      </c>
      <c r="D2" s="28" t="n">
        <f aca="false">EDATE(Inputs!$B$4,D1-1)</f>
        <v>46295</v>
      </c>
      <c r="E2" s="28" t="n">
        <f aca="false">EDATE(Inputs!$B$4,E1-1)</f>
        <v>46326</v>
      </c>
      <c r="F2" s="28" t="n">
        <f aca="false">EDATE(Inputs!$B$4,F1-1)</f>
        <v>46356</v>
      </c>
      <c r="G2" s="28" t="n">
        <f aca="false">EDATE(Inputs!$B$4,G1-1)</f>
        <v>46387</v>
      </c>
      <c r="H2" s="28" t="n">
        <f aca="false">EDATE(Inputs!$B$4,H1-1)</f>
        <v>46418</v>
      </c>
      <c r="I2" s="28" t="n">
        <f aca="false">EDATE(Inputs!$B$4,I1-1)</f>
        <v>46446</v>
      </c>
      <c r="J2" s="28" t="n">
        <f aca="false">EDATE(Inputs!$B$4,J1-1)</f>
        <v>46477</v>
      </c>
      <c r="K2" s="28" t="n">
        <f aca="false">EDATE(Inputs!$B$4,K1-1)</f>
        <v>46507</v>
      </c>
      <c r="L2" s="28" t="n">
        <f aca="false">EDATE(Inputs!$B$4,L1-1)</f>
        <v>46538</v>
      </c>
      <c r="M2" s="28" t="n">
        <f aca="false">EDATE(Inputs!$B$4,M1-1)</f>
        <v>46568</v>
      </c>
      <c r="N2" s="28" t="n">
        <f aca="false">EDATE(Inputs!$B$4,N1-1)</f>
        <v>46599</v>
      </c>
      <c r="O2" s="28" t="n">
        <f aca="false">EDATE(Inputs!$B$4,O1-1)</f>
        <v>46630</v>
      </c>
      <c r="P2" s="28" t="n">
        <f aca="false">EDATE(Inputs!$B$4,P1-1)</f>
        <v>46660</v>
      </c>
      <c r="Q2" s="28" t="n">
        <f aca="false">EDATE(Inputs!$B$4,Q1-1)</f>
        <v>46691</v>
      </c>
      <c r="R2" s="28" t="n">
        <f aca="false">EDATE(Inputs!$B$4,R1-1)</f>
        <v>46721</v>
      </c>
      <c r="S2" s="28" t="n">
        <f aca="false">EDATE(Inputs!$B$4,S1-1)</f>
        <v>46752</v>
      </c>
      <c r="T2" s="28" t="n">
        <f aca="false">EDATE(Inputs!$B$4,T1-1)</f>
        <v>46783</v>
      </c>
      <c r="U2" s="28" t="n">
        <f aca="false">EDATE(Inputs!$B$4,U1-1)</f>
        <v>46812</v>
      </c>
      <c r="V2" s="28" t="n">
        <f aca="false">EDATE(Inputs!$B$4,V1-1)</f>
        <v>46843</v>
      </c>
      <c r="W2" s="28" t="n">
        <f aca="false">EDATE(Inputs!$B$4,W1-1)</f>
        <v>46873</v>
      </c>
      <c r="X2" s="28" t="n">
        <f aca="false">EDATE(Inputs!$B$4,X1-1)</f>
        <v>46904</v>
      </c>
      <c r="Y2" s="28" t="n">
        <f aca="false">EDATE(Inputs!$B$4,Y1-1)</f>
        <v>46934</v>
      </c>
      <c r="Z2" s="28" t="n">
        <f aca="false">EDATE(Inputs!$B$4,Z1-1)</f>
        <v>46965</v>
      </c>
      <c r="AA2" s="28" t="n">
        <f aca="false">EDATE(Inputs!$B$4,AA1-1)</f>
        <v>46996</v>
      </c>
      <c r="AB2" s="28" t="n">
        <f aca="false">EDATE(Inputs!$B$4,AB1-1)</f>
        <v>47026</v>
      </c>
      <c r="AC2" s="28" t="n">
        <f aca="false">EDATE(Inputs!$B$4,AC1-1)</f>
        <v>47057</v>
      </c>
      <c r="AD2" s="28" t="n">
        <f aca="false">EDATE(Inputs!$B$4,AD1-1)</f>
        <v>47087</v>
      </c>
      <c r="AE2" s="28" t="n">
        <f aca="false">EDATE(Inputs!$B$4,AE1-1)</f>
        <v>47118</v>
      </c>
      <c r="AF2" s="28" t="n">
        <f aca="false">EDATE(Inputs!$B$4,AF1-1)</f>
        <v>47149</v>
      </c>
      <c r="AG2" s="28" t="n">
        <f aca="false">EDATE(Inputs!$B$4,AG1-1)</f>
        <v>47177</v>
      </c>
      <c r="AH2" s="28" t="n">
        <f aca="false">EDATE(Inputs!$B$4,AH1-1)</f>
        <v>47208</v>
      </c>
      <c r="AI2" s="28" t="n">
        <f aca="false">EDATE(Inputs!$B$4,AI1-1)</f>
        <v>47238</v>
      </c>
      <c r="AJ2" s="28" t="n">
        <f aca="false">EDATE(Inputs!$B$4,AJ1-1)</f>
        <v>47269</v>
      </c>
      <c r="AK2" s="28" t="n">
        <f aca="false">EDATE(Inputs!$B$4,AK1-1)</f>
        <v>47299</v>
      </c>
      <c r="AL2" s="28" t="n">
        <f aca="false">EDATE(Inputs!$B$4,AL1-1)</f>
        <v>47330</v>
      </c>
      <c r="AM2" s="28" t="n">
        <f aca="false">EDATE(Inputs!$B$4,AM1-1)</f>
        <v>47361</v>
      </c>
      <c r="AN2" s="28" t="n">
        <f aca="false">EDATE(Inputs!$B$4,AN1-1)</f>
        <v>47391</v>
      </c>
      <c r="AO2" s="28" t="n">
        <f aca="false">EDATE(Inputs!$B$4,AO1-1)</f>
        <v>47422</v>
      </c>
      <c r="AP2" s="28" t="n">
        <f aca="false">EDATE(Inputs!$B$4,AP1-1)</f>
        <v>47452</v>
      </c>
      <c r="AQ2" s="28" t="n">
        <f aca="false">EDATE(Inputs!$B$4,AQ1-1)</f>
        <v>47483</v>
      </c>
      <c r="AR2" s="28" t="n">
        <f aca="false">EDATE(Inputs!$B$4,AR1-1)</f>
        <v>47514</v>
      </c>
      <c r="AS2" s="28" t="n">
        <f aca="false">EDATE(Inputs!$B$4,AS1-1)</f>
        <v>47542</v>
      </c>
      <c r="AT2" s="28" t="n">
        <f aca="false">EDATE(Inputs!$B$4,AT1-1)</f>
        <v>47573</v>
      </c>
      <c r="AU2" s="28" t="n">
        <f aca="false">EDATE(Inputs!$B$4,AU1-1)</f>
        <v>47603</v>
      </c>
      <c r="AV2" s="28" t="n">
        <f aca="false">EDATE(Inputs!$B$4,AV1-1)</f>
        <v>47634</v>
      </c>
      <c r="AW2" s="28" t="n">
        <f aca="false">EDATE(Inputs!$B$4,AW1-1)</f>
        <v>47664</v>
      </c>
      <c r="AX2" s="28" t="n">
        <f aca="false">EDATE(Inputs!$B$4,AX1-1)</f>
        <v>47695</v>
      </c>
      <c r="AY2" s="28" t="n">
        <f aca="false">EDATE(Inputs!$B$4,AY1-1)</f>
        <v>47726</v>
      </c>
      <c r="AZ2" s="28" t="n">
        <f aca="false">EDATE(Inputs!$B$4,AZ1-1)</f>
        <v>47756</v>
      </c>
      <c r="BA2" s="28" t="n">
        <f aca="false">EDATE(Inputs!$B$4,BA1-1)</f>
        <v>47787</v>
      </c>
      <c r="BB2" s="28" t="n">
        <f aca="false">EDATE(Inputs!$B$4,BB1-1)</f>
        <v>47817</v>
      </c>
      <c r="BC2" s="28" t="n">
        <f aca="false">EDATE(Inputs!$B$4,BC1-1)</f>
        <v>47848</v>
      </c>
      <c r="BD2" s="28" t="n">
        <f aca="false">EDATE(Inputs!$B$4,BD1-1)</f>
        <v>47879</v>
      </c>
      <c r="BE2" s="28" t="n">
        <f aca="false">EDATE(Inputs!$B$4,BE1-1)</f>
        <v>47907</v>
      </c>
      <c r="BF2" s="28" t="n">
        <f aca="false">EDATE(Inputs!$B$4,BF1-1)</f>
        <v>47938</v>
      </c>
      <c r="BG2" s="28" t="n">
        <f aca="false">EDATE(Inputs!$B$4,BG1-1)</f>
        <v>47968</v>
      </c>
      <c r="BH2" s="28" t="n">
        <f aca="false">EDATE(Inputs!$B$4,BH1-1)</f>
        <v>47999</v>
      </c>
      <c r="BI2" s="28" t="n">
        <f aca="false">EDATE(Inputs!$B$4,BI1-1)</f>
        <v>48029</v>
      </c>
      <c r="BJ2" s="28" t="n">
        <f aca="false">EDATE(Inputs!$B$4,BJ1-1)</f>
        <v>48060</v>
      </c>
      <c r="BK2" s="28" t="n">
        <f aca="false">EDATE(Inputs!$B$4,BK1-1)</f>
        <v>48091</v>
      </c>
      <c r="BL2" s="28" t="n">
        <f aca="false">EDATE(Inputs!$B$4,BL1-1)</f>
        <v>48121</v>
      </c>
      <c r="BM2" s="28" t="n">
        <f aca="false">EDATE(Inputs!$B$4,BM1-1)</f>
        <v>48152</v>
      </c>
      <c r="BN2" s="28" t="n">
        <f aca="false">EDATE(Inputs!$B$4,BN1-1)</f>
        <v>48182</v>
      </c>
      <c r="BO2" s="28" t="n">
        <f aca="false">EDATE(Inputs!$B$4,BO1-1)</f>
        <v>48213</v>
      </c>
      <c r="BP2" s="28" t="n">
        <f aca="false">EDATE(Inputs!$B$4,BP1-1)</f>
        <v>48244</v>
      </c>
      <c r="BQ2" s="28" t="n">
        <f aca="false">EDATE(Inputs!$B$4,BQ1-1)</f>
        <v>48273</v>
      </c>
      <c r="BR2" s="28" t="n">
        <f aca="false">EDATE(Inputs!$B$4,BR1-1)</f>
        <v>48304</v>
      </c>
      <c r="BS2" s="28" t="n">
        <f aca="false">EDATE(Inputs!$B$4,BS1-1)</f>
        <v>48334</v>
      </c>
      <c r="BT2" s="28" t="n">
        <f aca="false">EDATE(Inputs!$B$4,BT1-1)</f>
        <v>48365</v>
      </c>
      <c r="BU2" s="28" t="n">
        <f aca="false">EDATE(Inputs!$B$4,BU1-1)</f>
        <v>48395</v>
      </c>
      <c r="BV2" s="28" t="n">
        <f aca="false">EDATE(Inputs!$B$4,BV1-1)</f>
        <v>48426</v>
      </c>
      <c r="BW2" s="28" t="n">
        <f aca="false">EDATE(Inputs!$B$4,BW1-1)</f>
        <v>48457</v>
      </c>
      <c r="BX2" s="28" t="n">
        <f aca="false">EDATE(Inputs!$B$4,BX1-1)</f>
        <v>48487</v>
      </c>
      <c r="BY2" s="28" t="n">
        <f aca="false">EDATE(Inputs!$B$4,BY1-1)</f>
        <v>48518</v>
      </c>
      <c r="BZ2" s="28" t="n">
        <f aca="false">EDATE(Inputs!$B$4,BZ1-1)</f>
        <v>48548</v>
      </c>
      <c r="CA2" s="28" t="n">
        <f aca="false">EDATE(Inputs!$B$4,CA1-1)</f>
        <v>48579</v>
      </c>
      <c r="CB2" s="28" t="n">
        <f aca="false">EDATE(Inputs!$B$4,CB1-1)</f>
        <v>48610</v>
      </c>
      <c r="CC2" s="28" t="n">
        <f aca="false">EDATE(Inputs!$B$4,CC1-1)</f>
        <v>48638</v>
      </c>
      <c r="CD2" s="28" t="n">
        <f aca="false">EDATE(Inputs!$B$4,CD1-1)</f>
        <v>48669</v>
      </c>
      <c r="CE2" s="28" t="n">
        <f aca="false">EDATE(Inputs!$B$4,CE1-1)</f>
        <v>48699</v>
      </c>
      <c r="CF2" s="28" t="n">
        <f aca="false">EDATE(Inputs!$B$4,CF1-1)</f>
        <v>48730</v>
      </c>
      <c r="CG2" s="28" t="n">
        <f aca="false">EDATE(Inputs!$B$4,CG1-1)</f>
        <v>48760</v>
      </c>
      <c r="CH2" s="28" t="n">
        <f aca="false">EDATE(Inputs!$B$4,CH1-1)</f>
        <v>48791</v>
      </c>
      <c r="CI2" s="28" t="n">
        <f aca="false">EDATE(Inputs!$B$4,CI1-1)</f>
        <v>48822</v>
      </c>
      <c r="CJ2" s="28" t="n">
        <f aca="false">EDATE(Inputs!$B$4,CJ1-1)</f>
        <v>48852</v>
      </c>
      <c r="CK2" s="28" t="n">
        <f aca="false">EDATE(Inputs!$B$4,CK1-1)</f>
        <v>48883</v>
      </c>
      <c r="CL2" s="28" t="n">
        <f aca="false">EDATE(Inputs!$B$4,CL1-1)</f>
        <v>48913</v>
      </c>
      <c r="CM2" s="28" t="n">
        <f aca="false">EDATE(Inputs!$B$4,CM1-1)</f>
        <v>48944</v>
      </c>
      <c r="CN2" s="28" t="n">
        <f aca="false">EDATE(Inputs!$B$4,CN1-1)</f>
        <v>48975</v>
      </c>
      <c r="CO2" s="28" t="n">
        <f aca="false">EDATE(Inputs!$B$4,CO1-1)</f>
        <v>49003</v>
      </c>
      <c r="CP2" s="28" t="n">
        <f aca="false">EDATE(Inputs!$B$4,CP1-1)</f>
        <v>49034</v>
      </c>
      <c r="CQ2" s="28" t="n">
        <f aca="false">EDATE(Inputs!$B$4,CQ1-1)</f>
        <v>49064</v>
      </c>
      <c r="CR2" s="28" t="n">
        <f aca="false">EDATE(Inputs!$B$4,CR1-1)</f>
        <v>49095</v>
      </c>
      <c r="CS2" s="28" t="n">
        <f aca="false">EDATE(Inputs!$B$4,CS1-1)</f>
        <v>49125</v>
      </c>
      <c r="CT2" s="28" t="n">
        <f aca="false">EDATE(Inputs!$B$4,CT1-1)</f>
        <v>49156</v>
      </c>
    </row>
    <row r="3" customFormat="false" ht="15" hidden="false" customHeight="false" outlineLevel="0" collapsed="false">
      <c r="B3" s="0" t="s">
        <v>154</v>
      </c>
      <c r="C3" s="0" t="n">
        <f aca="false">INT((C1-1)/12)+1</f>
        <v>1</v>
      </c>
      <c r="D3" s="0" t="n">
        <f aca="false">INT((D1-1)/12)+1</f>
        <v>1</v>
      </c>
      <c r="E3" s="0" t="n">
        <f aca="false">INT((E1-1)/12)+1</f>
        <v>1</v>
      </c>
      <c r="F3" s="0" t="n">
        <f aca="false">INT((F1-1)/12)+1</f>
        <v>1</v>
      </c>
      <c r="G3" s="0" t="n">
        <f aca="false">INT((G1-1)/12)+1</f>
        <v>1</v>
      </c>
      <c r="H3" s="0" t="n">
        <f aca="false">INT((H1-1)/12)+1</f>
        <v>1</v>
      </c>
      <c r="I3" s="0" t="n">
        <f aca="false">INT((I1-1)/12)+1</f>
        <v>1</v>
      </c>
      <c r="J3" s="0" t="n">
        <f aca="false">INT((J1-1)/12)+1</f>
        <v>1</v>
      </c>
      <c r="K3" s="0" t="n">
        <f aca="false">INT((K1-1)/12)+1</f>
        <v>1</v>
      </c>
      <c r="L3" s="0" t="n">
        <f aca="false">INT((L1-1)/12)+1</f>
        <v>1</v>
      </c>
      <c r="M3" s="0" t="n">
        <f aca="false">INT((M1-1)/12)+1</f>
        <v>1</v>
      </c>
      <c r="N3" s="0" t="n">
        <f aca="false">INT((N1-1)/12)+1</f>
        <v>1</v>
      </c>
      <c r="O3" s="0" t="n">
        <f aca="false">INT((O1-1)/12)+1</f>
        <v>2</v>
      </c>
      <c r="P3" s="0" t="n">
        <f aca="false">INT((P1-1)/12)+1</f>
        <v>2</v>
      </c>
      <c r="Q3" s="0" t="n">
        <f aca="false">INT((Q1-1)/12)+1</f>
        <v>2</v>
      </c>
      <c r="R3" s="0" t="n">
        <f aca="false">INT((R1-1)/12)+1</f>
        <v>2</v>
      </c>
      <c r="S3" s="0" t="n">
        <f aca="false">INT((S1-1)/12)+1</f>
        <v>2</v>
      </c>
      <c r="T3" s="0" t="n">
        <f aca="false">INT((T1-1)/12)+1</f>
        <v>2</v>
      </c>
      <c r="U3" s="0" t="n">
        <f aca="false">INT((U1-1)/12)+1</f>
        <v>2</v>
      </c>
      <c r="V3" s="0" t="n">
        <f aca="false">INT((V1-1)/12)+1</f>
        <v>2</v>
      </c>
      <c r="W3" s="0" t="n">
        <f aca="false">INT((W1-1)/12)+1</f>
        <v>2</v>
      </c>
      <c r="X3" s="0" t="n">
        <f aca="false">INT((X1-1)/12)+1</f>
        <v>2</v>
      </c>
      <c r="Y3" s="0" t="n">
        <f aca="false">INT((Y1-1)/12)+1</f>
        <v>2</v>
      </c>
      <c r="Z3" s="0" t="n">
        <f aca="false">INT((Z1-1)/12)+1</f>
        <v>2</v>
      </c>
      <c r="AA3" s="0" t="n">
        <f aca="false">INT((AA1-1)/12)+1</f>
        <v>3</v>
      </c>
      <c r="AB3" s="0" t="n">
        <f aca="false">INT((AB1-1)/12)+1</f>
        <v>3</v>
      </c>
      <c r="AC3" s="0" t="n">
        <f aca="false">INT((AC1-1)/12)+1</f>
        <v>3</v>
      </c>
      <c r="AD3" s="0" t="n">
        <f aca="false">INT((AD1-1)/12)+1</f>
        <v>3</v>
      </c>
      <c r="AE3" s="0" t="n">
        <f aca="false">INT((AE1-1)/12)+1</f>
        <v>3</v>
      </c>
      <c r="AF3" s="0" t="n">
        <f aca="false">INT((AF1-1)/12)+1</f>
        <v>3</v>
      </c>
      <c r="AG3" s="0" t="n">
        <f aca="false">INT((AG1-1)/12)+1</f>
        <v>3</v>
      </c>
      <c r="AH3" s="0" t="n">
        <f aca="false">INT((AH1-1)/12)+1</f>
        <v>3</v>
      </c>
      <c r="AI3" s="0" t="n">
        <f aca="false">INT((AI1-1)/12)+1</f>
        <v>3</v>
      </c>
      <c r="AJ3" s="0" t="n">
        <f aca="false">INT((AJ1-1)/12)+1</f>
        <v>3</v>
      </c>
      <c r="AK3" s="0" t="n">
        <f aca="false">INT((AK1-1)/12)+1</f>
        <v>3</v>
      </c>
      <c r="AL3" s="0" t="n">
        <f aca="false">INT((AL1-1)/12)+1</f>
        <v>3</v>
      </c>
      <c r="AM3" s="0" t="n">
        <f aca="false">INT((AM1-1)/12)+1</f>
        <v>4</v>
      </c>
      <c r="AN3" s="0" t="n">
        <f aca="false">INT((AN1-1)/12)+1</f>
        <v>4</v>
      </c>
      <c r="AO3" s="0" t="n">
        <f aca="false">INT((AO1-1)/12)+1</f>
        <v>4</v>
      </c>
      <c r="AP3" s="0" t="n">
        <f aca="false">INT((AP1-1)/12)+1</f>
        <v>4</v>
      </c>
      <c r="AQ3" s="0" t="n">
        <f aca="false">INT((AQ1-1)/12)+1</f>
        <v>4</v>
      </c>
      <c r="AR3" s="0" t="n">
        <f aca="false">INT((AR1-1)/12)+1</f>
        <v>4</v>
      </c>
      <c r="AS3" s="0" t="n">
        <f aca="false">INT((AS1-1)/12)+1</f>
        <v>4</v>
      </c>
      <c r="AT3" s="0" t="n">
        <f aca="false">INT((AT1-1)/12)+1</f>
        <v>4</v>
      </c>
      <c r="AU3" s="0" t="n">
        <f aca="false">INT((AU1-1)/12)+1</f>
        <v>4</v>
      </c>
      <c r="AV3" s="0" t="n">
        <f aca="false">INT((AV1-1)/12)+1</f>
        <v>4</v>
      </c>
      <c r="AW3" s="0" t="n">
        <f aca="false">INT((AW1-1)/12)+1</f>
        <v>4</v>
      </c>
      <c r="AX3" s="0" t="n">
        <f aca="false">INT((AX1-1)/12)+1</f>
        <v>4</v>
      </c>
      <c r="AY3" s="0" t="n">
        <f aca="false">INT((AY1-1)/12)+1</f>
        <v>5</v>
      </c>
      <c r="AZ3" s="0" t="n">
        <f aca="false">INT((AZ1-1)/12)+1</f>
        <v>5</v>
      </c>
      <c r="BA3" s="0" t="n">
        <f aca="false">INT((BA1-1)/12)+1</f>
        <v>5</v>
      </c>
      <c r="BB3" s="0" t="n">
        <f aca="false">INT((BB1-1)/12)+1</f>
        <v>5</v>
      </c>
      <c r="BC3" s="0" t="n">
        <f aca="false">INT((BC1-1)/12)+1</f>
        <v>5</v>
      </c>
      <c r="BD3" s="0" t="n">
        <f aca="false">INT((BD1-1)/12)+1</f>
        <v>5</v>
      </c>
      <c r="BE3" s="0" t="n">
        <f aca="false">INT((BE1-1)/12)+1</f>
        <v>5</v>
      </c>
      <c r="BF3" s="0" t="n">
        <f aca="false">INT((BF1-1)/12)+1</f>
        <v>5</v>
      </c>
      <c r="BG3" s="0" t="n">
        <f aca="false">INT((BG1-1)/12)+1</f>
        <v>5</v>
      </c>
      <c r="BH3" s="0" t="n">
        <f aca="false">INT((BH1-1)/12)+1</f>
        <v>5</v>
      </c>
      <c r="BI3" s="0" t="n">
        <f aca="false">INT((BI1-1)/12)+1</f>
        <v>5</v>
      </c>
      <c r="BJ3" s="0" t="n">
        <f aca="false">INT((BJ1-1)/12)+1</f>
        <v>5</v>
      </c>
      <c r="BK3" s="0" t="n">
        <f aca="false">INT((BK1-1)/12)+1</f>
        <v>6</v>
      </c>
      <c r="BL3" s="0" t="n">
        <f aca="false">INT((BL1-1)/12)+1</f>
        <v>6</v>
      </c>
      <c r="BM3" s="0" t="n">
        <f aca="false">INT((BM1-1)/12)+1</f>
        <v>6</v>
      </c>
      <c r="BN3" s="0" t="n">
        <f aca="false">INT((BN1-1)/12)+1</f>
        <v>6</v>
      </c>
      <c r="BO3" s="0" t="n">
        <f aca="false">INT((BO1-1)/12)+1</f>
        <v>6</v>
      </c>
      <c r="BP3" s="0" t="n">
        <f aca="false">INT((BP1-1)/12)+1</f>
        <v>6</v>
      </c>
      <c r="BQ3" s="0" t="n">
        <f aca="false">INT((BQ1-1)/12)+1</f>
        <v>6</v>
      </c>
      <c r="BR3" s="0" t="n">
        <f aca="false">INT((BR1-1)/12)+1</f>
        <v>6</v>
      </c>
      <c r="BS3" s="0" t="n">
        <f aca="false">INT((BS1-1)/12)+1</f>
        <v>6</v>
      </c>
      <c r="BT3" s="0" t="n">
        <f aca="false">INT((BT1-1)/12)+1</f>
        <v>6</v>
      </c>
      <c r="BU3" s="0" t="n">
        <f aca="false">INT((BU1-1)/12)+1</f>
        <v>6</v>
      </c>
      <c r="BV3" s="0" t="n">
        <f aca="false">INT((BV1-1)/12)+1</f>
        <v>6</v>
      </c>
      <c r="BW3" s="0" t="n">
        <f aca="false">INT((BW1-1)/12)+1</f>
        <v>7</v>
      </c>
      <c r="BX3" s="0" t="n">
        <f aca="false">INT((BX1-1)/12)+1</f>
        <v>7</v>
      </c>
      <c r="BY3" s="0" t="n">
        <f aca="false">INT((BY1-1)/12)+1</f>
        <v>7</v>
      </c>
      <c r="BZ3" s="0" t="n">
        <f aca="false">INT((BZ1-1)/12)+1</f>
        <v>7</v>
      </c>
      <c r="CA3" s="0" t="n">
        <f aca="false">INT((CA1-1)/12)+1</f>
        <v>7</v>
      </c>
      <c r="CB3" s="0" t="n">
        <f aca="false">INT((CB1-1)/12)+1</f>
        <v>7</v>
      </c>
      <c r="CC3" s="0" t="n">
        <f aca="false">INT((CC1-1)/12)+1</f>
        <v>7</v>
      </c>
      <c r="CD3" s="0" t="n">
        <f aca="false">INT((CD1-1)/12)+1</f>
        <v>7</v>
      </c>
      <c r="CE3" s="0" t="n">
        <f aca="false">INT((CE1-1)/12)+1</f>
        <v>7</v>
      </c>
      <c r="CF3" s="0" t="n">
        <f aca="false">INT((CF1-1)/12)+1</f>
        <v>7</v>
      </c>
      <c r="CG3" s="0" t="n">
        <f aca="false">INT((CG1-1)/12)+1</f>
        <v>7</v>
      </c>
      <c r="CH3" s="0" t="n">
        <f aca="false">INT((CH1-1)/12)+1</f>
        <v>7</v>
      </c>
      <c r="CI3" s="0" t="n">
        <f aca="false">INT((CI1-1)/12)+1</f>
        <v>8</v>
      </c>
      <c r="CJ3" s="0" t="n">
        <f aca="false">INT((CJ1-1)/12)+1</f>
        <v>8</v>
      </c>
      <c r="CK3" s="0" t="n">
        <f aca="false">INT((CK1-1)/12)+1</f>
        <v>8</v>
      </c>
      <c r="CL3" s="0" t="n">
        <f aca="false">INT((CL1-1)/12)+1</f>
        <v>8</v>
      </c>
      <c r="CM3" s="0" t="n">
        <f aca="false">INT((CM1-1)/12)+1</f>
        <v>8</v>
      </c>
      <c r="CN3" s="0" t="n">
        <f aca="false">INT((CN1-1)/12)+1</f>
        <v>8</v>
      </c>
      <c r="CO3" s="0" t="n">
        <f aca="false">INT((CO1-1)/12)+1</f>
        <v>8</v>
      </c>
      <c r="CP3" s="0" t="n">
        <f aca="false">INT((CP1-1)/12)+1</f>
        <v>8</v>
      </c>
      <c r="CQ3" s="0" t="n">
        <f aca="false">INT((CQ1-1)/12)+1</f>
        <v>8</v>
      </c>
      <c r="CR3" s="0" t="n">
        <f aca="false">INT((CR1-1)/12)+1</f>
        <v>8</v>
      </c>
      <c r="CS3" s="0" t="n">
        <f aca="false">INT((CS1-1)/12)+1</f>
        <v>8</v>
      </c>
      <c r="CT3" s="0" t="n">
        <f aca="false">INT((CT1-1)/12)+1</f>
        <v>8</v>
      </c>
    </row>
    <row r="5" customFormat="false" ht="15" hidden="false" customHeight="false" outlineLevel="0" collapsed="false">
      <c r="B5" s="26" t="s">
        <v>155</v>
      </c>
      <c r="C5" s="29" t="n">
        <f aca="false">MAX(0,MIN(Inputs!$B$6,(C1-Inputs!$B$10+1)*Inputs!$B$12))</f>
        <v>0</v>
      </c>
      <c r="D5" s="29" t="n">
        <f aca="false">MAX(0,MIN(Inputs!$B$6,(D1-Inputs!$B$10+1)*Inputs!$B$12))</f>
        <v>0</v>
      </c>
      <c r="E5" s="29" t="n">
        <f aca="false">MAX(0,MIN(Inputs!$B$6,(E1-Inputs!$B$10+1)*Inputs!$B$12))</f>
        <v>0</v>
      </c>
      <c r="F5" s="29" t="n">
        <f aca="false">MAX(0,MIN(Inputs!$B$6,(F1-Inputs!$B$10+1)*Inputs!$B$12))</f>
        <v>0</v>
      </c>
      <c r="G5" s="29" t="n">
        <f aca="false">MAX(0,MIN(Inputs!$B$6,(G1-Inputs!$B$10+1)*Inputs!$B$12))</f>
        <v>0</v>
      </c>
      <c r="H5" s="29" t="n">
        <f aca="false">MAX(0,MIN(Inputs!$B$6,(H1-Inputs!$B$10+1)*Inputs!$B$12))</f>
        <v>0</v>
      </c>
      <c r="I5" s="29" t="n">
        <f aca="false">MAX(0,MIN(Inputs!$B$6,(I1-Inputs!$B$10+1)*Inputs!$B$12))</f>
        <v>0</v>
      </c>
      <c r="J5" s="29" t="n">
        <f aca="false">MAX(0,MIN(Inputs!$B$6,(J1-Inputs!$B$10+1)*Inputs!$B$12))</f>
        <v>0</v>
      </c>
      <c r="K5" s="29" t="n">
        <f aca="false">MAX(0,MIN(Inputs!$B$6,(K1-Inputs!$B$10+1)*Inputs!$B$12))</f>
        <v>0</v>
      </c>
      <c r="L5" s="29" t="n">
        <f aca="false">MAX(0,MIN(Inputs!$B$6,(L1-Inputs!$B$10+1)*Inputs!$B$12))</f>
        <v>0</v>
      </c>
      <c r="M5" s="29" t="n">
        <f aca="false">MAX(0,MIN(Inputs!$B$6,(M1-Inputs!$B$10+1)*Inputs!$B$12))</f>
        <v>0</v>
      </c>
      <c r="N5" s="29" t="n">
        <f aca="false">MAX(0,MIN(Inputs!$B$6,(N1-Inputs!$B$10+1)*Inputs!$B$12))</f>
        <v>0</v>
      </c>
      <c r="O5" s="29" t="n">
        <f aca="false">MAX(0,MIN(Inputs!$B$6,(O1-Inputs!$B$10+1)*Inputs!$B$12))</f>
        <v>0</v>
      </c>
      <c r="P5" s="29" t="n">
        <f aca="false">MAX(0,MIN(Inputs!$B$6,(P1-Inputs!$B$10+1)*Inputs!$B$12))</f>
        <v>20.5714285714286</v>
      </c>
      <c r="Q5" s="29" t="n">
        <f aca="false">MAX(0,MIN(Inputs!$B$6,(Q1-Inputs!$B$10+1)*Inputs!$B$12))</f>
        <v>41.1428571428571</v>
      </c>
      <c r="R5" s="29" t="n">
        <f aca="false">MAX(0,MIN(Inputs!$B$6,(R1-Inputs!$B$10+1)*Inputs!$B$12))</f>
        <v>61.7142857142857</v>
      </c>
      <c r="S5" s="29" t="n">
        <f aca="false">MAX(0,MIN(Inputs!$B$6,(S1-Inputs!$B$10+1)*Inputs!$B$12))</f>
        <v>82.2857142857143</v>
      </c>
      <c r="T5" s="29" t="n">
        <f aca="false">MAX(0,MIN(Inputs!$B$6,(T1-Inputs!$B$10+1)*Inputs!$B$12))</f>
        <v>102.857142857143</v>
      </c>
      <c r="U5" s="29" t="n">
        <f aca="false">MAX(0,MIN(Inputs!$B$6,(U1-Inputs!$B$10+1)*Inputs!$B$12))</f>
        <v>123.428571428571</v>
      </c>
      <c r="V5" s="29" t="n">
        <f aca="false">MAX(0,MIN(Inputs!$B$6,(V1-Inputs!$B$10+1)*Inputs!$B$12))</f>
        <v>144</v>
      </c>
      <c r="W5" s="29" t="n">
        <f aca="false">MAX(0,MIN(Inputs!$B$6,(W1-Inputs!$B$10+1)*Inputs!$B$12))</f>
        <v>164.571428571429</v>
      </c>
      <c r="X5" s="29" t="n">
        <f aca="false">MAX(0,MIN(Inputs!$B$6,(X1-Inputs!$B$10+1)*Inputs!$B$12))</f>
        <v>185.142857142857</v>
      </c>
      <c r="Y5" s="29" t="n">
        <f aca="false">MAX(0,MIN(Inputs!$B$6,(Y1-Inputs!$B$10+1)*Inputs!$B$12))</f>
        <v>205.714285714286</v>
      </c>
      <c r="Z5" s="29" t="n">
        <f aca="false">MAX(0,MIN(Inputs!$B$6,(Z1-Inputs!$B$10+1)*Inputs!$B$12))</f>
        <v>226.285714285714</v>
      </c>
      <c r="AA5" s="29" t="n">
        <f aca="false">MAX(0,MIN(Inputs!$B$6,(AA1-Inputs!$B$10+1)*Inputs!$B$12))</f>
        <v>246.857142857143</v>
      </c>
      <c r="AB5" s="29" t="n">
        <f aca="false">MAX(0,MIN(Inputs!$B$6,(AB1-Inputs!$B$10+1)*Inputs!$B$12))</f>
        <v>267.428571428571</v>
      </c>
      <c r="AC5" s="29" t="n">
        <f aca="false">MAX(0,MIN(Inputs!$B$6,(AC1-Inputs!$B$10+1)*Inputs!$B$12))</f>
        <v>288</v>
      </c>
      <c r="AD5" s="29" t="n">
        <f aca="false">MAX(0,MIN(Inputs!$B$6,(AD1-Inputs!$B$10+1)*Inputs!$B$12))</f>
        <v>288</v>
      </c>
      <c r="AE5" s="29" t="n">
        <f aca="false">MAX(0,MIN(Inputs!$B$6,(AE1-Inputs!$B$10+1)*Inputs!$B$12))</f>
        <v>288</v>
      </c>
      <c r="AF5" s="29" t="n">
        <f aca="false">MAX(0,MIN(Inputs!$B$6,(AF1-Inputs!$B$10+1)*Inputs!$B$12))</f>
        <v>288</v>
      </c>
      <c r="AG5" s="29" t="n">
        <f aca="false">MAX(0,MIN(Inputs!$B$6,(AG1-Inputs!$B$10+1)*Inputs!$B$12))</f>
        <v>288</v>
      </c>
      <c r="AH5" s="29" t="n">
        <f aca="false">MAX(0,MIN(Inputs!$B$6,(AH1-Inputs!$B$10+1)*Inputs!$B$12))</f>
        <v>288</v>
      </c>
      <c r="AI5" s="29" t="n">
        <f aca="false">MAX(0,MIN(Inputs!$B$6,(AI1-Inputs!$B$10+1)*Inputs!$B$12))</f>
        <v>288</v>
      </c>
      <c r="AJ5" s="29" t="n">
        <f aca="false">MAX(0,MIN(Inputs!$B$6,(AJ1-Inputs!$B$10+1)*Inputs!$B$12))</f>
        <v>288</v>
      </c>
      <c r="AK5" s="29" t="n">
        <f aca="false">MAX(0,MIN(Inputs!$B$6,(AK1-Inputs!$B$10+1)*Inputs!$B$12))</f>
        <v>288</v>
      </c>
      <c r="AL5" s="29" t="n">
        <f aca="false">MAX(0,MIN(Inputs!$B$6,(AL1-Inputs!$B$10+1)*Inputs!$B$12))</f>
        <v>288</v>
      </c>
      <c r="AM5" s="29" t="n">
        <f aca="false">MAX(0,MIN(Inputs!$B$6,(AM1-Inputs!$B$10+1)*Inputs!$B$12))</f>
        <v>288</v>
      </c>
      <c r="AN5" s="29" t="n">
        <f aca="false">MAX(0,MIN(Inputs!$B$6,(AN1-Inputs!$B$10+1)*Inputs!$B$12))</f>
        <v>288</v>
      </c>
      <c r="AO5" s="29" t="n">
        <f aca="false">MAX(0,MIN(Inputs!$B$6,(AO1-Inputs!$B$10+1)*Inputs!$B$12))</f>
        <v>288</v>
      </c>
      <c r="AP5" s="29" t="n">
        <f aca="false">MAX(0,MIN(Inputs!$B$6,(AP1-Inputs!$B$10+1)*Inputs!$B$12))</f>
        <v>288</v>
      </c>
      <c r="AQ5" s="29" t="n">
        <f aca="false">MAX(0,MIN(Inputs!$B$6,(AQ1-Inputs!$B$10+1)*Inputs!$B$12))</f>
        <v>288</v>
      </c>
      <c r="AR5" s="29" t="n">
        <f aca="false">MAX(0,MIN(Inputs!$B$6,(AR1-Inputs!$B$10+1)*Inputs!$B$12))</f>
        <v>288</v>
      </c>
      <c r="AS5" s="29" t="n">
        <f aca="false">MAX(0,MIN(Inputs!$B$6,(AS1-Inputs!$B$10+1)*Inputs!$B$12))</f>
        <v>288</v>
      </c>
      <c r="AT5" s="29" t="n">
        <f aca="false">MAX(0,MIN(Inputs!$B$6,(AT1-Inputs!$B$10+1)*Inputs!$B$12))</f>
        <v>288</v>
      </c>
      <c r="AU5" s="29" t="n">
        <f aca="false">MAX(0,MIN(Inputs!$B$6,(AU1-Inputs!$B$10+1)*Inputs!$B$12))</f>
        <v>288</v>
      </c>
      <c r="AV5" s="29" t="n">
        <f aca="false">MAX(0,MIN(Inputs!$B$6,(AV1-Inputs!$B$10+1)*Inputs!$B$12))</f>
        <v>288</v>
      </c>
      <c r="AW5" s="29" t="n">
        <f aca="false">MAX(0,MIN(Inputs!$B$6,(AW1-Inputs!$B$10+1)*Inputs!$B$12))</f>
        <v>288</v>
      </c>
      <c r="AX5" s="29" t="n">
        <f aca="false">MAX(0,MIN(Inputs!$B$6,(AX1-Inputs!$B$10+1)*Inputs!$B$12))</f>
        <v>288</v>
      </c>
      <c r="AY5" s="29" t="n">
        <f aca="false">MAX(0,MIN(Inputs!$B$6,(AY1-Inputs!$B$10+1)*Inputs!$B$12))</f>
        <v>288</v>
      </c>
      <c r="AZ5" s="29" t="n">
        <f aca="false">MAX(0,MIN(Inputs!$B$6,(AZ1-Inputs!$B$10+1)*Inputs!$B$12))</f>
        <v>288</v>
      </c>
      <c r="BA5" s="29" t="n">
        <f aca="false">MAX(0,MIN(Inputs!$B$6,(BA1-Inputs!$B$10+1)*Inputs!$B$12))</f>
        <v>288</v>
      </c>
      <c r="BB5" s="29" t="n">
        <f aca="false">MAX(0,MIN(Inputs!$B$6,(BB1-Inputs!$B$10+1)*Inputs!$B$12))</f>
        <v>288</v>
      </c>
      <c r="BC5" s="29" t="n">
        <f aca="false">MAX(0,MIN(Inputs!$B$6,(BC1-Inputs!$B$10+1)*Inputs!$B$12))</f>
        <v>288</v>
      </c>
      <c r="BD5" s="29" t="n">
        <f aca="false">MAX(0,MIN(Inputs!$B$6,(BD1-Inputs!$B$10+1)*Inputs!$B$12))</f>
        <v>288</v>
      </c>
      <c r="BE5" s="29" t="n">
        <f aca="false">MAX(0,MIN(Inputs!$B$6,(BE1-Inputs!$B$10+1)*Inputs!$B$12))</f>
        <v>288</v>
      </c>
      <c r="BF5" s="29" t="n">
        <f aca="false">MAX(0,MIN(Inputs!$B$6,(BF1-Inputs!$B$10+1)*Inputs!$B$12))</f>
        <v>288</v>
      </c>
      <c r="BG5" s="29" t="n">
        <f aca="false">MAX(0,MIN(Inputs!$B$6,(BG1-Inputs!$B$10+1)*Inputs!$B$12))</f>
        <v>288</v>
      </c>
      <c r="BH5" s="29" t="n">
        <f aca="false">MAX(0,MIN(Inputs!$B$6,(BH1-Inputs!$B$10+1)*Inputs!$B$12))</f>
        <v>288</v>
      </c>
      <c r="BI5" s="29" t="n">
        <f aca="false">MAX(0,MIN(Inputs!$B$6,(BI1-Inputs!$B$10+1)*Inputs!$B$12))</f>
        <v>288</v>
      </c>
      <c r="BJ5" s="29" t="n">
        <f aca="false">MAX(0,MIN(Inputs!$B$6,(BJ1-Inputs!$B$10+1)*Inputs!$B$12))</f>
        <v>288</v>
      </c>
      <c r="BK5" s="29" t="n">
        <f aca="false">MAX(0,MIN(Inputs!$B$6,(BK1-Inputs!$B$10+1)*Inputs!$B$12))</f>
        <v>288</v>
      </c>
      <c r="BL5" s="29" t="n">
        <f aca="false">MAX(0,MIN(Inputs!$B$6,(BL1-Inputs!$B$10+1)*Inputs!$B$12))</f>
        <v>288</v>
      </c>
      <c r="BM5" s="29" t="n">
        <f aca="false">MAX(0,MIN(Inputs!$B$6,(BM1-Inputs!$B$10+1)*Inputs!$B$12))</f>
        <v>288</v>
      </c>
      <c r="BN5" s="29" t="n">
        <f aca="false">MAX(0,MIN(Inputs!$B$6,(BN1-Inputs!$B$10+1)*Inputs!$B$12))</f>
        <v>288</v>
      </c>
      <c r="BO5" s="29" t="n">
        <f aca="false">MAX(0,MIN(Inputs!$B$6,(BO1-Inputs!$B$10+1)*Inputs!$B$12))</f>
        <v>288</v>
      </c>
      <c r="BP5" s="29" t="n">
        <f aca="false">MAX(0,MIN(Inputs!$B$6,(BP1-Inputs!$B$10+1)*Inputs!$B$12))</f>
        <v>288</v>
      </c>
      <c r="BQ5" s="29" t="n">
        <f aca="false">MAX(0,MIN(Inputs!$B$6,(BQ1-Inputs!$B$10+1)*Inputs!$B$12))</f>
        <v>288</v>
      </c>
      <c r="BR5" s="29" t="n">
        <f aca="false">MAX(0,MIN(Inputs!$B$6,(BR1-Inputs!$B$10+1)*Inputs!$B$12))</f>
        <v>288</v>
      </c>
      <c r="BS5" s="29" t="n">
        <f aca="false">MAX(0,MIN(Inputs!$B$6,(BS1-Inputs!$B$10+1)*Inputs!$B$12))</f>
        <v>288</v>
      </c>
      <c r="BT5" s="29" t="n">
        <f aca="false">MAX(0,MIN(Inputs!$B$6,(BT1-Inputs!$B$10+1)*Inputs!$B$12))</f>
        <v>288</v>
      </c>
      <c r="BU5" s="29" t="n">
        <f aca="false">MAX(0,MIN(Inputs!$B$6,(BU1-Inputs!$B$10+1)*Inputs!$B$12))</f>
        <v>288</v>
      </c>
      <c r="BV5" s="29" t="n">
        <f aca="false">MAX(0,MIN(Inputs!$B$6,(BV1-Inputs!$B$10+1)*Inputs!$B$12))</f>
        <v>288</v>
      </c>
      <c r="BW5" s="29" t="n">
        <f aca="false">MAX(0,MIN(Inputs!$B$6,(BW1-Inputs!$B$10+1)*Inputs!$B$12))</f>
        <v>288</v>
      </c>
      <c r="BX5" s="29" t="n">
        <f aca="false">MAX(0,MIN(Inputs!$B$6,(BX1-Inputs!$B$10+1)*Inputs!$B$12))</f>
        <v>288</v>
      </c>
      <c r="BY5" s="29" t="n">
        <f aca="false">MAX(0,MIN(Inputs!$B$6,(BY1-Inputs!$B$10+1)*Inputs!$B$12))</f>
        <v>288</v>
      </c>
      <c r="BZ5" s="29" t="n">
        <f aca="false">MAX(0,MIN(Inputs!$B$6,(BZ1-Inputs!$B$10+1)*Inputs!$B$12))</f>
        <v>288</v>
      </c>
      <c r="CA5" s="29" t="n">
        <f aca="false">MAX(0,MIN(Inputs!$B$6,(CA1-Inputs!$B$10+1)*Inputs!$B$12))</f>
        <v>288</v>
      </c>
      <c r="CB5" s="29" t="n">
        <f aca="false">MAX(0,MIN(Inputs!$B$6,(CB1-Inputs!$B$10+1)*Inputs!$B$12))</f>
        <v>288</v>
      </c>
      <c r="CC5" s="29" t="n">
        <f aca="false">MAX(0,MIN(Inputs!$B$6,(CC1-Inputs!$B$10+1)*Inputs!$B$12))</f>
        <v>288</v>
      </c>
      <c r="CD5" s="29" t="n">
        <f aca="false">MAX(0,MIN(Inputs!$B$6,(CD1-Inputs!$B$10+1)*Inputs!$B$12))</f>
        <v>288</v>
      </c>
      <c r="CE5" s="29" t="n">
        <f aca="false">MAX(0,MIN(Inputs!$B$6,(CE1-Inputs!$B$10+1)*Inputs!$B$12))</f>
        <v>288</v>
      </c>
      <c r="CF5" s="29" t="n">
        <f aca="false">MAX(0,MIN(Inputs!$B$6,(CF1-Inputs!$B$10+1)*Inputs!$B$12))</f>
        <v>288</v>
      </c>
      <c r="CG5" s="29" t="n">
        <f aca="false">MAX(0,MIN(Inputs!$B$6,(CG1-Inputs!$B$10+1)*Inputs!$B$12))</f>
        <v>288</v>
      </c>
      <c r="CH5" s="29" t="n">
        <f aca="false">MAX(0,MIN(Inputs!$B$6,(CH1-Inputs!$B$10+1)*Inputs!$B$12))</f>
        <v>288</v>
      </c>
      <c r="CI5" s="29" t="n">
        <f aca="false">MAX(0,MIN(Inputs!$B$6,(CI1-Inputs!$B$10+1)*Inputs!$B$12))</f>
        <v>288</v>
      </c>
      <c r="CJ5" s="29" t="n">
        <f aca="false">MAX(0,MIN(Inputs!$B$6,(CJ1-Inputs!$B$10+1)*Inputs!$B$12))</f>
        <v>288</v>
      </c>
      <c r="CK5" s="29" t="n">
        <f aca="false">MAX(0,MIN(Inputs!$B$6,(CK1-Inputs!$B$10+1)*Inputs!$B$12))</f>
        <v>288</v>
      </c>
      <c r="CL5" s="29" t="n">
        <f aca="false">MAX(0,MIN(Inputs!$B$6,(CL1-Inputs!$B$10+1)*Inputs!$B$12))</f>
        <v>288</v>
      </c>
      <c r="CM5" s="29" t="n">
        <f aca="false">MAX(0,MIN(Inputs!$B$6,(CM1-Inputs!$B$10+1)*Inputs!$B$12))</f>
        <v>288</v>
      </c>
      <c r="CN5" s="29" t="n">
        <f aca="false">MAX(0,MIN(Inputs!$B$6,(CN1-Inputs!$B$10+1)*Inputs!$B$12))</f>
        <v>288</v>
      </c>
      <c r="CO5" s="29" t="n">
        <f aca="false">MAX(0,MIN(Inputs!$B$6,(CO1-Inputs!$B$10+1)*Inputs!$B$12))</f>
        <v>288</v>
      </c>
      <c r="CP5" s="29" t="n">
        <f aca="false">MAX(0,MIN(Inputs!$B$6,(CP1-Inputs!$B$10+1)*Inputs!$B$12))</f>
        <v>288</v>
      </c>
      <c r="CQ5" s="29" t="n">
        <f aca="false">MAX(0,MIN(Inputs!$B$6,(CQ1-Inputs!$B$10+1)*Inputs!$B$12))</f>
        <v>288</v>
      </c>
      <c r="CR5" s="29" t="n">
        <f aca="false">MAX(0,MIN(Inputs!$B$6,(CR1-Inputs!$B$10+1)*Inputs!$B$12))</f>
        <v>288</v>
      </c>
      <c r="CS5" s="29" t="n">
        <f aca="false">MAX(0,MIN(Inputs!$B$6,(CS1-Inputs!$B$10+1)*Inputs!$B$12))</f>
        <v>288</v>
      </c>
      <c r="CT5" s="29" t="n">
        <f aca="false">MAX(0,MIN(Inputs!$B$6,(CT1-Inputs!$B$10+1)*Inputs!$B$12))</f>
        <v>288</v>
      </c>
    </row>
    <row r="6" customFormat="false" ht="15" hidden="false" customHeight="false" outlineLevel="0" collapsed="false">
      <c r="B6" s="26" t="s">
        <v>156</v>
      </c>
      <c r="C6" s="29" t="n">
        <f aca="false">MIN(C5,Inputs!$B$6*(1-Inputs!$B$16))</f>
        <v>0</v>
      </c>
      <c r="D6" s="29" t="n">
        <f aca="false">MIN(D5,Inputs!$B$6*(1-Inputs!$B$16))</f>
        <v>0</v>
      </c>
      <c r="E6" s="29" t="n">
        <f aca="false">MIN(E5,Inputs!$B$6*(1-Inputs!$B$16))</f>
        <v>0</v>
      </c>
      <c r="F6" s="29" t="n">
        <f aca="false">MIN(F5,Inputs!$B$6*(1-Inputs!$B$16))</f>
        <v>0</v>
      </c>
      <c r="G6" s="29" t="n">
        <f aca="false">MIN(G5,Inputs!$B$6*(1-Inputs!$B$16))</f>
        <v>0</v>
      </c>
      <c r="H6" s="29" t="n">
        <f aca="false">MIN(H5,Inputs!$B$6*(1-Inputs!$B$16))</f>
        <v>0</v>
      </c>
      <c r="I6" s="29" t="n">
        <f aca="false">MIN(I5,Inputs!$B$6*(1-Inputs!$B$16))</f>
        <v>0</v>
      </c>
      <c r="J6" s="29" t="n">
        <f aca="false">MIN(J5,Inputs!$B$6*(1-Inputs!$B$16))</f>
        <v>0</v>
      </c>
      <c r="K6" s="29" t="n">
        <f aca="false">MIN(K5,Inputs!$B$6*(1-Inputs!$B$16))</f>
        <v>0</v>
      </c>
      <c r="L6" s="29" t="n">
        <f aca="false">MIN(L5,Inputs!$B$6*(1-Inputs!$B$16))</f>
        <v>0</v>
      </c>
      <c r="M6" s="29" t="n">
        <f aca="false">MIN(M5,Inputs!$B$6*(1-Inputs!$B$16))</f>
        <v>0</v>
      </c>
      <c r="N6" s="29" t="n">
        <f aca="false">MIN(N5,Inputs!$B$6*(1-Inputs!$B$16))</f>
        <v>0</v>
      </c>
      <c r="O6" s="29" t="n">
        <f aca="false">MIN(O5,Inputs!$B$6*(1-Inputs!$B$16))</f>
        <v>0</v>
      </c>
      <c r="P6" s="29" t="n">
        <f aca="false">MIN(P5,Inputs!$B$6*(1-Inputs!$B$16))</f>
        <v>20.5714285714286</v>
      </c>
      <c r="Q6" s="29" t="n">
        <f aca="false">MIN(Q5,Inputs!$B$6*(1-Inputs!$B$16))</f>
        <v>41.1428571428571</v>
      </c>
      <c r="R6" s="29" t="n">
        <f aca="false">MIN(R5,Inputs!$B$6*(1-Inputs!$B$16))</f>
        <v>61.7142857142857</v>
      </c>
      <c r="S6" s="29" t="n">
        <f aca="false">MIN(S5,Inputs!$B$6*(1-Inputs!$B$16))</f>
        <v>82.2857142857143</v>
      </c>
      <c r="T6" s="29" t="n">
        <f aca="false">MIN(T5,Inputs!$B$6*(1-Inputs!$B$16))</f>
        <v>102.857142857143</v>
      </c>
      <c r="U6" s="29" t="n">
        <f aca="false">MIN(U5,Inputs!$B$6*(1-Inputs!$B$16))</f>
        <v>123.428571428571</v>
      </c>
      <c r="V6" s="29" t="n">
        <f aca="false">MIN(V5,Inputs!$B$6*(1-Inputs!$B$16))</f>
        <v>144</v>
      </c>
      <c r="W6" s="29" t="n">
        <f aca="false">MIN(W5,Inputs!$B$6*(1-Inputs!$B$16))</f>
        <v>164.571428571429</v>
      </c>
      <c r="X6" s="29" t="n">
        <f aca="false">MIN(X5,Inputs!$B$6*(1-Inputs!$B$16))</f>
        <v>185.142857142857</v>
      </c>
      <c r="Y6" s="29" t="n">
        <f aca="false">MIN(Y5,Inputs!$B$6*(1-Inputs!$B$16))</f>
        <v>205.714285714286</v>
      </c>
      <c r="Z6" s="29" t="n">
        <f aca="false">MIN(Z5,Inputs!$B$6*(1-Inputs!$B$16))</f>
        <v>226.285714285714</v>
      </c>
      <c r="AA6" s="29" t="n">
        <f aca="false">MIN(AA5,Inputs!$B$6*(1-Inputs!$B$16))</f>
        <v>246.857142857143</v>
      </c>
      <c r="AB6" s="29" t="n">
        <f aca="false">MIN(AB5,Inputs!$B$6*(1-Inputs!$B$16))</f>
        <v>267.428571428571</v>
      </c>
      <c r="AC6" s="29" t="n">
        <f aca="false">MIN(AC5,Inputs!$B$6*(1-Inputs!$B$16))</f>
        <v>267.84</v>
      </c>
      <c r="AD6" s="29" t="n">
        <f aca="false">MIN(AD5,Inputs!$B$6*(1-Inputs!$B$16))</f>
        <v>267.84</v>
      </c>
      <c r="AE6" s="29" t="n">
        <f aca="false">MIN(AE5,Inputs!$B$6*(1-Inputs!$B$16))</f>
        <v>267.84</v>
      </c>
      <c r="AF6" s="29" t="n">
        <f aca="false">MIN(AF5,Inputs!$B$6*(1-Inputs!$B$16))</f>
        <v>267.84</v>
      </c>
      <c r="AG6" s="29" t="n">
        <f aca="false">MIN(AG5,Inputs!$B$6*(1-Inputs!$B$16))</f>
        <v>267.84</v>
      </c>
      <c r="AH6" s="29" t="n">
        <f aca="false">MIN(AH5,Inputs!$B$6*(1-Inputs!$B$16))</f>
        <v>267.84</v>
      </c>
      <c r="AI6" s="29" t="n">
        <f aca="false">MIN(AI5,Inputs!$B$6*(1-Inputs!$B$16))</f>
        <v>267.84</v>
      </c>
      <c r="AJ6" s="29" t="n">
        <f aca="false">MIN(AJ5,Inputs!$B$6*(1-Inputs!$B$16))</f>
        <v>267.84</v>
      </c>
      <c r="AK6" s="29" t="n">
        <f aca="false">MIN(AK5,Inputs!$B$6*(1-Inputs!$B$16))</f>
        <v>267.84</v>
      </c>
      <c r="AL6" s="29" t="n">
        <f aca="false">MIN(AL5,Inputs!$B$6*(1-Inputs!$B$16))</f>
        <v>267.84</v>
      </c>
      <c r="AM6" s="29" t="n">
        <f aca="false">MIN(AM5,Inputs!$B$6*(1-Inputs!$B$16))</f>
        <v>267.84</v>
      </c>
      <c r="AN6" s="29" t="n">
        <f aca="false">MIN(AN5,Inputs!$B$6*(1-Inputs!$B$16))</f>
        <v>267.84</v>
      </c>
      <c r="AO6" s="29" t="n">
        <f aca="false">MIN(AO5,Inputs!$B$6*(1-Inputs!$B$16))</f>
        <v>267.84</v>
      </c>
      <c r="AP6" s="29" t="n">
        <f aca="false">MIN(AP5,Inputs!$B$6*(1-Inputs!$B$16))</f>
        <v>267.84</v>
      </c>
      <c r="AQ6" s="29" t="n">
        <f aca="false">MIN(AQ5,Inputs!$B$6*(1-Inputs!$B$16))</f>
        <v>267.84</v>
      </c>
      <c r="AR6" s="29" t="n">
        <f aca="false">MIN(AR5,Inputs!$B$6*(1-Inputs!$B$16))</f>
        <v>267.84</v>
      </c>
      <c r="AS6" s="29" t="n">
        <f aca="false">MIN(AS5,Inputs!$B$6*(1-Inputs!$B$16))</f>
        <v>267.84</v>
      </c>
      <c r="AT6" s="29" t="n">
        <f aca="false">MIN(AT5,Inputs!$B$6*(1-Inputs!$B$16))</f>
        <v>267.84</v>
      </c>
      <c r="AU6" s="29" t="n">
        <f aca="false">MIN(AU5,Inputs!$B$6*(1-Inputs!$B$16))</f>
        <v>267.84</v>
      </c>
      <c r="AV6" s="29" t="n">
        <f aca="false">MIN(AV5,Inputs!$B$6*(1-Inputs!$B$16))</f>
        <v>267.84</v>
      </c>
      <c r="AW6" s="29" t="n">
        <f aca="false">MIN(AW5,Inputs!$B$6*(1-Inputs!$B$16))</f>
        <v>267.84</v>
      </c>
      <c r="AX6" s="29" t="n">
        <f aca="false">MIN(AX5,Inputs!$B$6*(1-Inputs!$B$16))</f>
        <v>267.84</v>
      </c>
      <c r="AY6" s="29" t="n">
        <f aca="false">MIN(AY5,Inputs!$B$6*(1-Inputs!$B$16))</f>
        <v>267.84</v>
      </c>
      <c r="AZ6" s="29" t="n">
        <f aca="false">MIN(AZ5,Inputs!$B$6*(1-Inputs!$B$16))</f>
        <v>267.84</v>
      </c>
      <c r="BA6" s="29" t="n">
        <f aca="false">MIN(BA5,Inputs!$B$6*(1-Inputs!$B$16))</f>
        <v>267.84</v>
      </c>
      <c r="BB6" s="29" t="n">
        <f aca="false">MIN(BB5,Inputs!$B$6*(1-Inputs!$B$16))</f>
        <v>267.84</v>
      </c>
      <c r="BC6" s="29" t="n">
        <f aca="false">MIN(BC5,Inputs!$B$6*(1-Inputs!$B$16))</f>
        <v>267.84</v>
      </c>
      <c r="BD6" s="29" t="n">
        <f aca="false">MIN(BD5,Inputs!$B$6*(1-Inputs!$B$16))</f>
        <v>267.84</v>
      </c>
      <c r="BE6" s="29" t="n">
        <f aca="false">MIN(BE5,Inputs!$B$6*(1-Inputs!$B$16))</f>
        <v>267.84</v>
      </c>
      <c r="BF6" s="29" t="n">
        <f aca="false">MIN(BF5,Inputs!$B$6*(1-Inputs!$B$16))</f>
        <v>267.84</v>
      </c>
      <c r="BG6" s="29" t="n">
        <f aca="false">MIN(BG5,Inputs!$B$6*(1-Inputs!$B$16))</f>
        <v>267.84</v>
      </c>
      <c r="BH6" s="29" t="n">
        <f aca="false">MIN(BH5,Inputs!$B$6*(1-Inputs!$B$16))</f>
        <v>267.84</v>
      </c>
      <c r="BI6" s="29" t="n">
        <f aca="false">MIN(BI5,Inputs!$B$6*(1-Inputs!$B$16))</f>
        <v>267.84</v>
      </c>
      <c r="BJ6" s="29" t="n">
        <f aca="false">MIN(BJ5,Inputs!$B$6*(1-Inputs!$B$16))</f>
        <v>267.84</v>
      </c>
      <c r="BK6" s="29" t="n">
        <f aca="false">MIN(BK5,Inputs!$B$6*(1-Inputs!$B$16))</f>
        <v>267.84</v>
      </c>
      <c r="BL6" s="29" t="n">
        <f aca="false">MIN(BL5,Inputs!$B$6*(1-Inputs!$B$16))</f>
        <v>267.84</v>
      </c>
      <c r="BM6" s="29" t="n">
        <f aca="false">MIN(BM5,Inputs!$B$6*(1-Inputs!$B$16))</f>
        <v>267.84</v>
      </c>
      <c r="BN6" s="29" t="n">
        <f aca="false">MIN(BN5,Inputs!$B$6*(1-Inputs!$B$16))</f>
        <v>267.84</v>
      </c>
      <c r="BO6" s="29" t="n">
        <f aca="false">MIN(BO5,Inputs!$B$6*(1-Inputs!$B$16))</f>
        <v>267.84</v>
      </c>
      <c r="BP6" s="29" t="n">
        <f aca="false">MIN(BP5,Inputs!$B$6*(1-Inputs!$B$16))</f>
        <v>267.84</v>
      </c>
      <c r="BQ6" s="29" t="n">
        <f aca="false">MIN(BQ5,Inputs!$B$6*(1-Inputs!$B$16))</f>
        <v>267.84</v>
      </c>
      <c r="BR6" s="29" t="n">
        <f aca="false">MIN(BR5,Inputs!$B$6*(1-Inputs!$B$16))</f>
        <v>267.84</v>
      </c>
      <c r="BS6" s="29" t="n">
        <f aca="false">MIN(BS5,Inputs!$B$6*(1-Inputs!$B$16))</f>
        <v>267.84</v>
      </c>
      <c r="BT6" s="29" t="n">
        <f aca="false">MIN(BT5,Inputs!$B$6*(1-Inputs!$B$16))</f>
        <v>267.84</v>
      </c>
      <c r="BU6" s="29" t="n">
        <f aca="false">MIN(BU5,Inputs!$B$6*(1-Inputs!$B$16))</f>
        <v>267.84</v>
      </c>
      <c r="BV6" s="29" t="n">
        <f aca="false">MIN(BV5,Inputs!$B$6*(1-Inputs!$B$16))</f>
        <v>267.84</v>
      </c>
      <c r="BW6" s="29" t="n">
        <f aca="false">MIN(BW5,Inputs!$B$6*(1-Inputs!$B$16))</f>
        <v>267.84</v>
      </c>
      <c r="BX6" s="29" t="n">
        <f aca="false">MIN(BX5,Inputs!$B$6*(1-Inputs!$B$16))</f>
        <v>267.84</v>
      </c>
      <c r="BY6" s="29" t="n">
        <f aca="false">MIN(BY5,Inputs!$B$6*(1-Inputs!$B$16))</f>
        <v>267.84</v>
      </c>
      <c r="BZ6" s="29" t="n">
        <f aca="false">MIN(BZ5,Inputs!$B$6*(1-Inputs!$B$16))</f>
        <v>267.84</v>
      </c>
      <c r="CA6" s="29" t="n">
        <f aca="false">MIN(CA5,Inputs!$B$6*(1-Inputs!$B$16))</f>
        <v>267.84</v>
      </c>
      <c r="CB6" s="29" t="n">
        <f aca="false">MIN(CB5,Inputs!$B$6*(1-Inputs!$B$16))</f>
        <v>267.84</v>
      </c>
      <c r="CC6" s="29" t="n">
        <f aca="false">MIN(CC5,Inputs!$B$6*(1-Inputs!$B$16))</f>
        <v>267.84</v>
      </c>
      <c r="CD6" s="29" t="n">
        <f aca="false">MIN(CD5,Inputs!$B$6*(1-Inputs!$B$16))</f>
        <v>267.84</v>
      </c>
      <c r="CE6" s="29" t="n">
        <f aca="false">MIN(CE5,Inputs!$B$6*(1-Inputs!$B$16))</f>
        <v>267.84</v>
      </c>
      <c r="CF6" s="29" t="n">
        <f aca="false">MIN(CF5,Inputs!$B$6*(1-Inputs!$B$16))</f>
        <v>267.84</v>
      </c>
      <c r="CG6" s="29" t="n">
        <f aca="false">MIN(CG5,Inputs!$B$6*(1-Inputs!$B$16))</f>
        <v>267.84</v>
      </c>
      <c r="CH6" s="29" t="n">
        <f aca="false">MIN(CH5,Inputs!$B$6*(1-Inputs!$B$16))</f>
        <v>267.84</v>
      </c>
      <c r="CI6" s="29" t="n">
        <f aca="false">MIN(CI5,Inputs!$B$6*(1-Inputs!$B$16))</f>
        <v>267.84</v>
      </c>
      <c r="CJ6" s="29" t="n">
        <f aca="false">MIN(CJ5,Inputs!$B$6*(1-Inputs!$B$16))</f>
        <v>267.84</v>
      </c>
      <c r="CK6" s="29" t="n">
        <f aca="false">MIN(CK5,Inputs!$B$6*(1-Inputs!$B$16))</f>
        <v>267.84</v>
      </c>
      <c r="CL6" s="29" t="n">
        <f aca="false">MIN(CL5,Inputs!$B$6*(1-Inputs!$B$16))</f>
        <v>267.84</v>
      </c>
      <c r="CM6" s="29" t="n">
        <f aca="false">MIN(CM5,Inputs!$B$6*(1-Inputs!$B$16))</f>
        <v>267.84</v>
      </c>
      <c r="CN6" s="29" t="n">
        <f aca="false">MIN(CN5,Inputs!$B$6*(1-Inputs!$B$16))</f>
        <v>267.84</v>
      </c>
      <c r="CO6" s="29" t="n">
        <f aca="false">MIN(CO5,Inputs!$B$6*(1-Inputs!$B$16))</f>
        <v>267.84</v>
      </c>
      <c r="CP6" s="29" t="n">
        <f aca="false">MIN(CP5,Inputs!$B$6*(1-Inputs!$B$16))</f>
        <v>267.84</v>
      </c>
      <c r="CQ6" s="29" t="n">
        <f aca="false">MIN(CQ5,Inputs!$B$6*(1-Inputs!$B$16))</f>
        <v>267.84</v>
      </c>
      <c r="CR6" s="29" t="n">
        <f aca="false">MIN(CR5,Inputs!$B$6*(1-Inputs!$B$16))</f>
        <v>267.84</v>
      </c>
      <c r="CS6" s="29" t="n">
        <f aca="false">MIN(CS5,Inputs!$B$6*(1-Inputs!$B$16))</f>
        <v>267.84</v>
      </c>
      <c r="CT6" s="29" t="n">
        <f aca="false">MIN(CT5,Inputs!$B$6*(1-Inputs!$B$16))</f>
        <v>267.84</v>
      </c>
    </row>
    <row r="7" customFormat="false" ht="15" hidden="false" customHeight="false" outlineLevel="0" collapsed="false">
      <c r="B7" s="26" t="s">
        <v>157</v>
      </c>
      <c r="C7" s="5" t="n">
        <f aca="false">SUMPRODUCT(Inputs!$E$3:$E$8,Inputs!$H$3:$H$8)*(1+Inputs!$B$19)^(C3-1)</f>
        <v>554585.571428571</v>
      </c>
      <c r="D7" s="5" t="n">
        <f aca="false">SUMPRODUCT(Inputs!$E$3:$E$8,Inputs!$H$3:$H$8)*(1+Inputs!$B$19)^(D3-1)</f>
        <v>554585.571428571</v>
      </c>
      <c r="E7" s="5" t="n">
        <f aca="false">SUMPRODUCT(Inputs!$E$3:$E$8,Inputs!$H$3:$H$8)*(1+Inputs!$B$19)^(E3-1)</f>
        <v>554585.571428571</v>
      </c>
      <c r="F7" s="5" t="n">
        <f aca="false">SUMPRODUCT(Inputs!$E$3:$E$8,Inputs!$H$3:$H$8)*(1+Inputs!$B$19)^(F3-1)</f>
        <v>554585.571428571</v>
      </c>
      <c r="G7" s="5" t="n">
        <f aca="false">SUMPRODUCT(Inputs!$E$3:$E$8,Inputs!$H$3:$H$8)*(1+Inputs!$B$19)^(G3-1)</f>
        <v>554585.571428571</v>
      </c>
      <c r="H7" s="5" t="n">
        <f aca="false">SUMPRODUCT(Inputs!$E$3:$E$8,Inputs!$H$3:$H$8)*(1+Inputs!$B$19)^(H3-1)</f>
        <v>554585.571428571</v>
      </c>
      <c r="I7" s="5" t="n">
        <f aca="false">SUMPRODUCT(Inputs!$E$3:$E$8,Inputs!$H$3:$H$8)*(1+Inputs!$B$19)^(I3-1)</f>
        <v>554585.571428571</v>
      </c>
      <c r="J7" s="5" t="n">
        <f aca="false">SUMPRODUCT(Inputs!$E$3:$E$8,Inputs!$H$3:$H$8)*(1+Inputs!$B$19)^(J3-1)</f>
        <v>554585.571428571</v>
      </c>
      <c r="K7" s="5" t="n">
        <f aca="false">SUMPRODUCT(Inputs!$E$3:$E$8,Inputs!$H$3:$H$8)*(1+Inputs!$B$19)^(K3-1)</f>
        <v>554585.571428571</v>
      </c>
      <c r="L7" s="5" t="n">
        <f aca="false">SUMPRODUCT(Inputs!$E$3:$E$8,Inputs!$H$3:$H$8)*(1+Inputs!$B$19)^(L3-1)</f>
        <v>554585.571428571</v>
      </c>
      <c r="M7" s="5" t="n">
        <f aca="false">SUMPRODUCT(Inputs!$E$3:$E$8,Inputs!$H$3:$H$8)*(1+Inputs!$B$19)^(M3-1)</f>
        <v>554585.571428571</v>
      </c>
      <c r="N7" s="5" t="n">
        <f aca="false">SUMPRODUCT(Inputs!$E$3:$E$8,Inputs!$H$3:$H$8)*(1+Inputs!$B$19)^(N3-1)</f>
        <v>554585.571428571</v>
      </c>
      <c r="O7" s="5" t="n">
        <f aca="false">SUMPRODUCT(Inputs!$E$3:$E$8,Inputs!$H$3:$H$8)*(1+Inputs!$B$19)^(O3-1)</f>
        <v>565677.282857143</v>
      </c>
      <c r="P7" s="5" t="n">
        <f aca="false">SUMPRODUCT(Inputs!$E$3:$E$8,Inputs!$H$3:$H$8)*(1+Inputs!$B$19)^(P3-1)</f>
        <v>565677.282857143</v>
      </c>
      <c r="Q7" s="5" t="n">
        <f aca="false">SUMPRODUCT(Inputs!$E$3:$E$8,Inputs!$H$3:$H$8)*(1+Inputs!$B$19)^(Q3-1)</f>
        <v>565677.282857143</v>
      </c>
      <c r="R7" s="5" t="n">
        <f aca="false">SUMPRODUCT(Inputs!$E$3:$E$8,Inputs!$H$3:$H$8)*(1+Inputs!$B$19)^(R3-1)</f>
        <v>565677.282857143</v>
      </c>
      <c r="S7" s="5" t="n">
        <f aca="false">SUMPRODUCT(Inputs!$E$3:$E$8,Inputs!$H$3:$H$8)*(1+Inputs!$B$19)^(S3-1)</f>
        <v>565677.282857143</v>
      </c>
      <c r="T7" s="5" t="n">
        <f aca="false">SUMPRODUCT(Inputs!$E$3:$E$8,Inputs!$H$3:$H$8)*(1+Inputs!$B$19)^(T3-1)</f>
        <v>565677.282857143</v>
      </c>
      <c r="U7" s="5" t="n">
        <f aca="false">SUMPRODUCT(Inputs!$E$3:$E$8,Inputs!$H$3:$H$8)*(1+Inputs!$B$19)^(U3-1)</f>
        <v>565677.282857143</v>
      </c>
      <c r="V7" s="5" t="n">
        <f aca="false">SUMPRODUCT(Inputs!$E$3:$E$8,Inputs!$H$3:$H$8)*(1+Inputs!$B$19)^(V3-1)</f>
        <v>565677.282857143</v>
      </c>
      <c r="W7" s="5" t="n">
        <f aca="false">SUMPRODUCT(Inputs!$E$3:$E$8,Inputs!$H$3:$H$8)*(1+Inputs!$B$19)^(W3-1)</f>
        <v>565677.282857143</v>
      </c>
      <c r="X7" s="5" t="n">
        <f aca="false">SUMPRODUCT(Inputs!$E$3:$E$8,Inputs!$H$3:$H$8)*(1+Inputs!$B$19)^(X3-1)</f>
        <v>565677.282857143</v>
      </c>
      <c r="Y7" s="5" t="n">
        <f aca="false">SUMPRODUCT(Inputs!$E$3:$E$8,Inputs!$H$3:$H$8)*(1+Inputs!$B$19)^(Y3-1)</f>
        <v>565677.282857143</v>
      </c>
      <c r="Z7" s="5" t="n">
        <f aca="false">SUMPRODUCT(Inputs!$E$3:$E$8,Inputs!$H$3:$H$8)*(1+Inputs!$B$19)^(Z3-1)</f>
        <v>565677.282857143</v>
      </c>
      <c r="AA7" s="5" t="n">
        <f aca="false">SUMPRODUCT(Inputs!$E$3:$E$8,Inputs!$H$3:$H$8)*(1+Inputs!$B$19)^(AA3-1)</f>
        <v>576990.828514286</v>
      </c>
      <c r="AB7" s="5" t="n">
        <f aca="false">SUMPRODUCT(Inputs!$E$3:$E$8,Inputs!$H$3:$H$8)*(1+Inputs!$B$19)^(AB3-1)</f>
        <v>576990.828514286</v>
      </c>
      <c r="AC7" s="5" t="n">
        <f aca="false">SUMPRODUCT(Inputs!$E$3:$E$8,Inputs!$H$3:$H$8)*(1+Inputs!$B$19)^(AC3-1)</f>
        <v>576990.828514286</v>
      </c>
      <c r="AD7" s="5" t="n">
        <f aca="false">SUMPRODUCT(Inputs!$E$3:$E$8,Inputs!$H$3:$H$8)*(1+Inputs!$B$19)^(AD3-1)</f>
        <v>576990.828514286</v>
      </c>
      <c r="AE7" s="5" t="n">
        <f aca="false">SUMPRODUCT(Inputs!$E$3:$E$8,Inputs!$H$3:$H$8)*(1+Inputs!$B$19)^(AE3-1)</f>
        <v>576990.828514286</v>
      </c>
      <c r="AF7" s="5" t="n">
        <f aca="false">SUMPRODUCT(Inputs!$E$3:$E$8,Inputs!$H$3:$H$8)*(1+Inputs!$B$19)^(AF3-1)</f>
        <v>576990.828514286</v>
      </c>
      <c r="AG7" s="5" t="n">
        <f aca="false">SUMPRODUCT(Inputs!$E$3:$E$8,Inputs!$H$3:$H$8)*(1+Inputs!$B$19)^(AG3-1)</f>
        <v>576990.828514286</v>
      </c>
      <c r="AH7" s="5" t="n">
        <f aca="false">SUMPRODUCT(Inputs!$E$3:$E$8,Inputs!$H$3:$H$8)*(1+Inputs!$B$19)^(AH3-1)</f>
        <v>576990.828514286</v>
      </c>
      <c r="AI7" s="5" t="n">
        <f aca="false">SUMPRODUCT(Inputs!$E$3:$E$8,Inputs!$H$3:$H$8)*(1+Inputs!$B$19)^(AI3-1)</f>
        <v>576990.828514286</v>
      </c>
      <c r="AJ7" s="5" t="n">
        <f aca="false">SUMPRODUCT(Inputs!$E$3:$E$8,Inputs!$H$3:$H$8)*(1+Inputs!$B$19)^(AJ3-1)</f>
        <v>576990.828514286</v>
      </c>
      <c r="AK7" s="5" t="n">
        <f aca="false">SUMPRODUCT(Inputs!$E$3:$E$8,Inputs!$H$3:$H$8)*(1+Inputs!$B$19)^(AK3-1)</f>
        <v>576990.828514286</v>
      </c>
      <c r="AL7" s="5" t="n">
        <f aca="false">SUMPRODUCT(Inputs!$E$3:$E$8,Inputs!$H$3:$H$8)*(1+Inputs!$B$19)^(AL3-1)</f>
        <v>576990.828514286</v>
      </c>
      <c r="AM7" s="5" t="n">
        <f aca="false">SUMPRODUCT(Inputs!$E$3:$E$8,Inputs!$H$3:$H$8)*(1+Inputs!$B$19)^(AM3-1)</f>
        <v>588530.645084571</v>
      </c>
      <c r="AN7" s="5" t="n">
        <f aca="false">SUMPRODUCT(Inputs!$E$3:$E$8,Inputs!$H$3:$H$8)*(1+Inputs!$B$19)^(AN3-1)</f>
        <v>588530.645084571</v>
      </c>
      <c r="AO7" s="5" t="n">
        <f aca="false">SUMPRODUCT(Inputs!$E$3:$E$8,Inputs!$H$3:$H$8)*(1+Inputs!$B$19)^(AO3-1)</f>
        <v>588530.645084571</v>
      </c>
      <c r="AP7" s="5" t="n">
        <f aca="false">SUMPRODUCT(Inputs!$E$3:$E$8,Inputs!$H$3:$H$8)*(1+Inputs!$B$19)^(AP3-1)</f>
        <v>588530.645084571</v>
      </c>
      <c r="AQ7" s="5" t="n">
        <f aca="false">SUMPRODUCT(Inputs!$E$3:$E$8,Inputs!$H$3:$H$8)*(1+Inputs!$B$19)^(AQ3-1)</f>
        <v>588530.645084571</v>
      </c>
      <c r="AR7" s="5" t="n">
        <f aca="false">SUMPRODUCT(Inputs!$E$3:$E$8,Inputs!$H$3:$H$8)*(1+Inputs!$B$19)^(AR3-1)</f>
        <v>588530.645084571</v>
      </c>
      <c r="AS7" s="5" t="n">
        <f aca="false">SUMPRODUCT(Inputs!$E$3:$E$8,Inputs!$H$3:$H$8)*(1+Inputs!$B$19)^(AS3-1)</f>
        <v>588530.645084571</v>
      </c>
      <c r="AT7" s="5" t="n">
        <f aca="false">SUMPRODUCT(Inputs!$E$3:$E$8,Inputs!$H$3:$H$8)*(1+Inputs!$B$19)^(AT3-1)</f>
        <v>588530.645084571</v>
      </c>
      <c r="AU7" s="5" t="n">
        <f aca="false">SUMPRODUCT(Inputs!$E$3:$E$8,Inputs!$H$3:$H$8)*(1+Inputs!$B$19)^(AU3-1)</f>
        <v>588530.645084571</v>
      </c>
      <c r="AV7" s="5" t="n">
        <f aca="false">SUMPRODUCT(Inputs!$E$3:$E$8,Inputs!$H$3:$H$8)*(1+Inputs!$B$19)^(AV3-1)</f>
        <v>588530.645084571</v>
      </c>
      <c r="AW7" s="5" t="n">
        <f aca="false">SUMPRODUCT(Inputs!$E$3:$E$8,Inputs!$H$3:$H$8)*(1+Inputs!$B$19)^(AW3-1)</f>
        <v>588530.645084571</v>
      </c>
      <c r="AX7" s="5" t="n">
        <f aca="false">SUMPRODUCT(Inputs!$E$3:$E$8,Inputs!$H$3:$H$8)*(1+Inputs!$B$19)^(AX3-1)</f>
        <v>588530.645084571</v>
      </c>
      <c r="AY7" s="5" t="n">
        <f aca="false">SUMPRODUCT(Inputs!$E$3:$E$8,Inputs!$H$3:$H$8)*(1+Inputs!$B$19)^(AY3-1)</f>
        <v>600301.257986263</v>
      </c>
      <c r="AZ7" s="5" t="n">
        <f aca="false">SUMPRODUCT(Inputs!$E$3:$E$8,Inputs!$H$3:$H$8)*(1+Inputs!$B$19)^(AZ3-1)</f>
        <v>600301.257986263</v>
      </c>
      <c r="BA7" s="5" t="n">
        <f aca="false">SUMPRODUCT(Inputs!$E$3:$E$8,Inputs!$H$3:$H$8)*(1+Inputs!$B$19)^(BA3-1)</f>
        <v>600301.257986263</v>
      </c>
      <c r="BB7" s="5" t="n">
        <f aca="false">SUMPRODUCT(Inputs!$E$3:$E$8,Inputs!$H$3:$H$8)*(1+Inputs!$B$19)^(BB3-1)</f>
        <v>600301.257986263</v>
      </c>
      <c r="BC7" s="5" t="n">
        <f aca="false">SUMPRODUCT(Inputs!$E$3:$E$8,Inputs!$H$3:$H$8)*(1+Inputs!$B$19)^(BC3-1)</f>
        <v>600301.257986263</v>
      </c>
      <c r="BD7" s="5" t="n">
        <f aca="false">SUMPRODUCT(Inputs!$E$3:$E$8,Inputs!$H$3:$H$8)*(1+Inputs!$B$19)^(BD3-1)</f>
        <v>600301.257986263</v>
      </c>
      <c r="BE7" s="5" t="n">
        <f aca="false">SUMPRODUCT(Inputs!$E$3:$E$8,Inputs!$H$3:$H$8)*(1+Inputs!$B$19)^(BE3-1)</f>
        <v>600301.257986263</v>
      </c>
      <c r="BF7" s="5" t="n">
        <f aca="false">SUMPRODUCT(Inputs!$E$3:$E$8,Inputs!$H$3:$H$8)*(1+Inputs!$B$19)^(BF3-1)</f>
        <v>600301.257986263</v>
      </c>
      <c r="BG7" s="5" t="n">
        <f aca="false">SUMPRODUCT(Inputs!$E$3:$E$8,Inputs!$H$3:$H$8)*(1+Inputs!$B$19)^(BG3-1)</f>
        <v>600301.257986263</v>
      </c>
      <c r="BH7" s="5" t="n">
        <f aca="false">SUMPRODUCT(Inputs!$E$3:$E$8,Inputs!$H$3:$H$8)*(1+Inputs!$B$19)^(BH3-1)</f>
        <v>600301.257986263</v>
      </c>
      <c r="BI7" s="5" t="n">
        <f aca="false">SUMPRODUCT(Inputs!$E$3:$E$8,Inputs!$H$3:$H$8)*(1+Inputs!$B$19)^(BI3-1)</f>
        <v>600301.257986263</v>
      </c>
      <c r="BJ7" s="5" t="n">
        <f aca="false">SUMPRODUCT(Inputs!$E$3:$E$8,Inputs!$H$3:$H$8)*(1+Inputs!$B$19)^(BJ3-1)</f>
        <v>600301.257986263</v>
      </c>
      <c r="BK7" s="5" t="n">
        <f aca="false">SUMPRODUCT(Inputs!$E$3:$E$8,Inputs!$H$3:$H$8)*(1+Inputs!$B$19)^(BK3-1)</f>
        <v>612307.283145988</v>
      </c>
      <c r="BL7" s="5" t="n">
        <f aca="false">SUMPRODUCT(Inputs!$E$3:$E$8,Inputs!$H$3:$H$8)*(1+Inputs!$B$19)^(BL3-1)</f>
        <v>612307.283145988</v>
      </c>
      <c r="BM7" s="5" t="n">
        <f aca="false">SUMPRODUCT(Inputs!$E$3:$E$8,Inputs!$H$3:$H$8)*(1+Inputs!$B$19)^(BM3-1)</f>
        <v>612307.283145988</v>
      </c>
      <c r="BN7" s="5" t="n">
        <f aca="false">SUMPRODUCT(Inputs!$E$3:$E$8,Inputs!$H$3:$H$8)*(1+Inputs!$B$19)^(BN3-1)</f>
        <v>612307.283145988</v>
      </c>
      <c r="BO7" s="5" t="n">
        <f aca="false">SUMPRODUCT(Inputs!$E$3:$E$8,Inputs!$H$3:$H$8)*(1+Inputs!$B$19)^(BO3-1)</f>
        <v>612307.283145988</v>
      </c>
      <c r="BP7" s="5" t="n">
        <f aca="false">SUMPRODUCT(Inputs!$E$3:$E$8,Inputs!$H$3:$H$8)*(1+Inputs!$B$19)^(BP3-1)</f>
        <v>612307.283145988</v>
      </c>
      <c r="BQ7" s="5" t="n">
        <f aca="false">SUMPRODUCT(Inputs!$E$3:$E$8,Inputs!$H$3:$H$8)*(1+Inputs!$B$19)^(BQ3-1)</f>
        <v>612307.283145988</v>
      </c>
      <c r="BR7" s="5" t="n">
        <f aca="false">SUMPRODUCT(Inputs!$E$3:$E$8,Inputs!$H$3:$H$8)*(1+Inputs!$B$19)^(BR3-1)</f>
        <v>612307.283145988</v>
      </c>
      <c r="BS7" s="5" t="n">
        <f aca="false">SUMPRODUCT(Inputs!$E$3:$E$8,Inputs!$H$3:$H$8)*(1+Inputs!$B$19)^(BS3-1)</f>
        <v>612307.283145988</v>
      </c>
      <c r="BT7" s="5" t="n">
        <f aca="false">SUMPRODUCT(Inputs!$E$3:$E$8,Inputs!$H$3:$H$8)*(1+Inputs!$B$19)^(BT3-1)</f>
        <v>612307.283145988</v>
      </c>
      <c r="BU7" s="5" t="n">
        <f aca="false">SUMPRODUCT(Inputs!$E$3:$E$8,Inputs!$H$3:$H$8)*(1+Inputs!$B$19)^(BU3-1)</f>
        <v>612307.283145988</v>
      </c>
      <c r="BV7" s="5" t="n">
        <f aca="false">SUMPRODUCT(Inputs!$E$3:$E$8,Inputs!$H$3:$H$8)*(1+Inputs!$B$19)^(BV3-1)</f>
        <v>612307.283145988</v>
      </c>
      <c r="BW7" s="5" t="n">
        <f aca="false">SUMPRODUCT(Inputs!$E$3:$E$8,Inputs!$H$3:$H$8)*(1+Inputs!$B$19)^(BW3-1)</f>
        <v>624553.428808908</v>
      </c>
      <c r="BX7" s="5" t="n">
        <f aca="false">SUMPRODUCT(Inputs!$E$3:$E$8,Inputs!$H$3:$H$8)*(1+Inputs!$B$19)^(BX3-1)</f>
        <v>624553.428808908</v>
      </c>
      <c r="BY7" s="5" t="n">
        <f aca="false">SUMPRODUCT(Inputs!$E$3:$E$8,Inputs!$H$3:$H$8)*(1+Inputs!$B$19)^(BY3-1)</f>
        <v>624553.428808908</v>
      </c>
      <c r="BZ7" s="5" t="n">
        <f aca="false">SUMPRODUCT(Inputs!$E$3:$E$8,Inputs!$H$3:$H$8)*(1+Inputs!$B$19)^(BZ3-1)</f>
        <v>624553.428808908</v>
      </c>
      <c r="CA7" s="5" t="n">
        <f aca="false">SUMPRODUCT(Inputs!$E$3:$E$8,Inputs!$H$3:$H$8)*(1+Inputs!$B$19)^(CA3-1)</f>
        <v>624553.428808908</v>
      </c>
      <c r="CB7" s="5" t="n">
        <f aca="false">SUMPRODUCT(Inputs!$E$3:$E$8,Inputs!$H$3:$H$8)*(1+Inputs!$B$19)^(CB3-1)</f>
        <v>624553.428808908</v>
      </c>
      <c r="CC7" s="5" t="n">
        <f aca="false">SUMPRODUCT(Inputs!$E$3:$E$8,Inputs!$H$3:$H$8)*(1+Inputs!$B$19)^(CC3-1)</f>
        <v>624553.428808908</v>
      </c>
      <c r="CD7" s="5" t="n">
        <f aca="false">SUMPRODUCT(Inputs!$E$3:$E$8,Inputs!$H$3:$H$8)*(1+Inputs!$B$19)^(CD3-1)</f>
        <v>624553.428808908</v>
      </c>
      <c r="CE7" s="5" t="n">
        <f aca="false">SUMPRODUCT(Inputs!$E$3:$E$8,Inputs!$H$3:$H$8)*(1+Inputs!$B$19)^(CE3-1)</f>
        <v>624553.428808908</v>
      </c>
      <c r="CF7" s="5" t="n">
        <f aca="false">SUMPRODUCT(Inputs!$E$3:$E$8,Inputs!$H$3:$H$8)*(1+Inputs!$B$19)^(CF3-1)</f>
        <v>624553.428808908</v>
      </c>
      <c r="CG7" s="5" t="n">
        <f aca="false">SUMPRODUCT(Inputs!$E$3:$E$8,Inputs!$H$3:$H$8)*(1+Inputs!$B$19)^(CG3-1)</f>
        <v>624553.428808908</v>
      </c>
      <c r="CH7" s="5" t="n">
        <f aca="false">SUMPRODUCT(Inputs!$E$3:$E$8,Inputs!$H$3:$H$8)*(1+Inputs!$B$19)^(CH3-1)</f>
        <v>624553.428808908</v>
      </c>
      <c r="CI7" s="5" t="n">
        <f aca="false">SUMPRODUCT(Inputs!$E$3:$E$8,Inputs!$H$3:$H$8)*(1+Inputs!$B$19)^(CI3-1)</f>
        <v>637044.497385086</v>
      </c>
      <c r="CJ7" s="5" t="n">
        <f aca="false">SUMPRODUCT(Inputs!$E$3:$E$8,Inputs!$H$3:$H$8)*(1+Inputs!$B$19)^(CJ3-1)</f>
        <v>637044.497385086</v>
      </c>
      <c r="CK7" s="5" t="n">
        <f aca="false">SUMPRODUCT(Inputs!$E$3:$E$8,Inputs!$H$3:$H$8)*(1+Inputs!$B$19)^(CK3-1)</f>
        <v>637044.497385086</v>
      </c>
      <c r="CL7" s="5" t="n">
        <f aca="false">SUMPRODUCT(Inputs!$E$3:$E$8,Inputs!$H$3:$H$8)*(1+Inputs!$B$19)^(CL3-1)</f>
        <v>637044.497385086</v>
      </c>
      <c r="CM7" s="5" t="n">
        <f aca="false">SUMPRODUCT(Inputs!$E$3:$E$8,Inputs!$H$3:$H$8)*(1+Inputs!$B$19)^(CM3-1)</f>
        <v>637044.497385086</v>
      </c>
      <c r="CN7" s="5" t="n">
        <f aca="false">SUMPRODUCT(Inputs!$E$3:$E$8,Inputs!$H$3:$H$8)*(1+Inputs!$B$19)^(CN3-1)</f>
        <v>637044.497385086</v>
      </c>
      <c r="CO7" s="5" t="n">
        <f aca="false">SUMPRODUCT(Inputs!$E$3:$E$8,Inputs!$H$3:$H$8)*(1+Inputs!$B$19)^(CO3-1)</f>
        <v>637044.497385086</v>
      </c>
      <c r="CP7" s="5" t="n">
        <f aca="false">SUMPRODUCT(Inputs!$E$3:$E$8,Inputs!$H$3:$H$8)*(1+Inputs!$B$19)^(CP3-1)</f>
        <v>637044.497385086</v>
      </c>
      <c r="CQ7" s="5" t="n">
        <f aca="false">SUMPRODUCT(Inputs!$E$3:$E$8,Inputs!$H$3:$H$8)*(1+Inputs!$B$19)^(CQ3-1)</f>
        <v>637044.497385086</v>
      </c>
      <c r="CR7" s="5" t="n">
        <f aca="false">SUMPRODUCT(Inputs!$E$3:$E$8,Inputs!$H$3:$H$8)*(1+Inputs!$B$19)^(CR3-1)</f>
        <v>637044.497385086</v>
      </c>
      <c r="CS7" s="5" t="n">
        <f aca="false">SUMPRODUCT(Inputs!$E$3:$E$8,Inputs!$H$3:$H$8)*(1+Inputs!$B$19)^(CS3-1)</f>
        <v>637044.497385086</v>
      </c>
      <c r="CT7" s="5" t="n">
        <f aca="false">SUMPRODUCT(Inputs!$E$3:$E$8,Inputs!$H$3:$H$8)*(1+Inputs!$B$19)^(CT3-1)</f>
        <v>637044.497385086</v>
      </c>
    </row>
    <row r="8" customFormat="false" ht="15" hidden="false" customHeight="false" outlineLevel="0" collapsed="false">
      <c r="B8" s="26" t="s">
        <v>158</v>
      </c>
      <c r="C8" s="5" t="n">
        <f aca="false">-C7*(1-C6/Inputs!$B$6)</f>
        <v>-554585.571428571</v>
      </c>
      <c r="D8" s="5" t="n">
        <f aca="false">-D7*(1-D6/Inputs!$B$6)</f>
        <v>-554585.571428571</v>
      </c>
      <c r="E8" s="5" t="n">
        <f aca="false">-E7*(1-E6/Inputs!$B$6)</f>
        <v>-554585.571428571</v>
      </c>
      <c r="F8" s="5" t="n">
        <f aca="false">-F7*(1-F6/Inputs!$B$6)</f>
        <v>-554585.571428571</v>
      </c>
      <c r="G8" s="5" t="n">
        <f aca="false">-G7*(1-G6/Inputs!$B$6)</f>
        <v>-554585.571428571</v>
      </c>
      <c r="H8" s="5" t="n">
        <f aca="false">-H7*(1-H6/Inputs!$B$6)</f>
        <v>-554585.571428571</v>
      </c>
      <c r="I8" s="5" t="n">
        <f aca="false">-I7*(1-I6/Inputs!$B$6)</f>
        <v>-554585.571428571</v>
      </c>
      <c r="J8" s="5" t="n">
        <f aca="false">-J7*(1-J6/Inputs!$B$6)</f>
        <v>-554585.571428571</v>
      </c>
      <c r="K8" s="5" t="n">
        <f aca="false">-K7*(1-K6/Inputs!$B$6)</f>
        <v>-554585.571428571</v>
      </c>
      <c r="L8" s="5" t="n">
        <f aca="false">-L7*(1-L6/Inputs!$B$6)</f>
        <v>-554585.571428571</v>
      </c>
      <c r="M8" s="5" t="n">
        <f aca="false">-M7*(1-M6/Inputs!$B$6)</f>
        <v>-554585.571428571</v>
      </c>
      <c r="N8" s="5" t="n">
        <f aca="false">-N7*(1-N6/Inputs!$B$6)</f>
        <v>-554585.571428571</v>
      </c>
      <c r="O8" s="5" t="n">
        <f aca="false">-O7*(1-O6/Inputs!$B$6)</f>
        <v>-565677.282857143</v>
      </c>
      <c r="P8" s="5" t="n">
        <f aca="false">-P7*(1-P6/Inputs!$B$6)</f>
        <v>-525271.762653061</v>
      </c>
      <c r="Q8" s="5" t="n">
        <f aca="false">-Q7*(1-Q6/Inputs!$B$6)</f>
        <v>-484866.24244898</v>
      </c>
      <c r="R8" s="5" t="n">
        <f aca="false">-R7*(1-R6/Inputs!$B$6)</f>
        <v>-444460.722244898</v>
      </c>
      <c r="S8" s="5" t="n">
        <f aca="false">-S7*(1-S6/Inputs!$B$6)</f>
        <v>-404055.202040816</v>
      </c>
      <c r="T8" s="5" t="n">
        <f aca="false">-T7*(1-T6/Inputs!$B$6)</f>
        <v>-363649.681836735</v>
      </c>
      <c r="U8" s="5" t="n">
        <f aca="false">-U7*(1-U6/Inputs!$B$6)</f>
        <v>-323244.161632653</v>
      </c>
      <c r="V8" s="5" t="n">
        <f aca="false">-V7*(1-V6/Inputs!$B$6)</f>
        <v>-282838.641428571</v>
      </c>
      <c r="W8" s="5" t="n">
        <f aca="false">-W7*(1-W6/Inputs!$B$6)</f>
        <v>-242433.12122449</v>
      </c>
      <c r="X8" s="5" t="n">
        <f aca="false">-X7*(1-X6/Inputs!$B$6)</f>
        <v>-202027.601020408</v>
      </c>
      <c r="Y8" s="5" t="n">
        <f aca="false">-Y7*(1-Y6/Inputs!$B$6)</f>
        <v>-161622.080816327</v>
      </c>
      <c r="Z8" s="5" t="n">
        <f aca="false">-Z7*(1-Z6/Inputs!$B$6)</f>
        <v>-121216.560612245</v>
      </c>
      <c r="AA8" s="5" t="n">
        <f aca="false">-AA7*(1-AA6/Inputs!$B$6)</f>
        <v>-82427.2612163265</v>
      </c>
      <c r="AB8" s="5" t="n">
        <f aca="false">-AB7*(1-AB6/Inputs!$B$6)</f>
        <v>-41213.6306081632</v>
      </c>
      <c r="AC8" s="5" t="n">
        <f aca="false">-AC7*(1-AC6/Inputs!$B$6)</f>
        <v>-40389.357996</v>
      </c>
      <c r="AD8" s="5" t="n">
        <f aca="false">-AD7*(1-AD6/Inputs!$B$6)</f>
        <v>-40389.357996</v>
      </c>
      <c r="AE8" s="5" t="n">
        <f aca="false">-AE7*(1-AE6/Inputs!$B$6)</f>
        <v>-40389.357996</v>
      </c>
      <c r="AF8" s="5" t="n">
        <f aca="false">-AF7*(1-AF6/Inputs!$B$6)</f>
        <v>-40389.357996</v>
      </c>
      <c r="AG8" s="5" t="n">
        <f aca="false">-AG7*(1-AG6/Inputs!$B$6)</f>
        <v>-40389.357996</v>
      </c>
      <c r="AH8" s="5" t="n">
        <f aca="false">-AH7*(1-AH6/Inputs!$B$6)</f>
        <v>-40389.357996</v>
      </c>
      <c r="AI8" s="5" t="n">
        <f aca="false">-AI7*(1-AI6/Inputs!$B$6)</f>
        <v>-40389.357996</v>
      </c>
      <c r="AJ8" s="5" t="n">
        <f aca="false">-AJ7*(1-AJ6/Inputs!$B$6)</f>
        <v>-40389.357996</v>
      </c>
      <c r="AK8" s="5" t="n">
        <f aca="false">-AK7*(1-AK6/Inputs!$B$6)</f>
        <v>-40389.357996</v>
      </c>
      <c r="AL8" s="5" t="n">
        <f aca="false">-AL7*(1-AL6/Inputs!$B$6)</f>
        <v>-40389.357996</v>
      </c>
      <c r="AM8" s="5" t="n">
        <f aca="false">-AM7*(1-AM6/Inputs!$B$6)</f>
        <v>-41197.14515592</v>
      </c>
      <c r="AN8" s="5" t="n">
        <f aca="false">-AN7*(1-AN6/Inputs!$B$6)</f>
        <v>-41197.14515592</v>
      </c>
      <c r="AO8" s="5" t="n">
        <f aca="false">-AO7*(1-AO6/Inputs!$B$6)</f>
        <v>-41197.14515592</v>
      </c>
      <c r="AP8" s="5" t="n">
        <f aca="false">-AP7*(1-AP6/Inputs!$B$6)</f>
        <v>-41197.14515592</v>
      </c>
      <c r="AQ8" s="5" t="n">
        <f aca="false">-AQ7*(1-AQ6/Inputs!$B$6)</f>
        <v>-41197.14515592</v>
      </c>
      <c r="AR8" s="5" t="n">
        <f aca="false">-AR7*(1-AR6/Inputs!$B$6)</f>
        <v>-41197.14515592</v>
      </c>
      <c r="AS8" s="5" t="n">
        <f aca="false">-AS7*(1-AS6/Inputs!$B$6)</f>
        <v>-41197.14515592</v>
      </c>
      <c r="AT8" s="5" t="n">
        <f aca="false">-AT7*(1-AT6/Inputs!$B$6)</f>
        <v>-41197.14515592</v>
      </c>
      <c r="AU8" s="5" t="n">
        <f aca="false">-AU7*(1-AU6/Inputs!$B$6)</f>
        <v>-41197.14515592</v>
      </c>
      <c r="AV8" s="5" t="n">
        <f aca="false">-AV7*(1-AV6/Inputs!$B$6)</f>
        <v>-41197.14515592</v>
      </c>
      <c r="AW8" s="5" t="n">
        <f aca="false">-AW7*(1-AW6/Inputs!$B$6)</f>
        <v>-41197.14515592</v>
      </c>
      <c r="AX8" s="5" t="n">
        <f aca="false">-AX7*(1-AX6/Inputs!$B$6)</f>
        <v>-41197.14515592</v>
      </c>
      <c r="AY8" s="5" t="n">
        <f aca="false">-AY7*(1-AY6/Inputs!$B$6)</f>
        <v>-42021.0880590384</v>
      </c>
      <c r="AZ8" s="5" t="n">
        <f aca="false">-AZ7*(1-AZ6/Inputs!$B$6)</f>
        <v>-42021.0880590384</v>
      </c>
      <c r="BA8" s="5" t="n">
        <f aca="false">-BA7*(1-BA6/Inputs!$B$6)</f>
        <v>-42021.0880590384</v>
      </c>
      <c r="BB8" s="5" t="n">
        <f aca="false">-BB7*(1-BB6/Inputs!$B$6)</f>
        <v>-42021.0880590384</v>
      </c>
      <c r="BC8" s="5" t="n">
        <f aca="false">-BC7*(1-BC6/Inputs!$B$6)</f>
        <v>-42021.0880590384</v>
      </c>
      <c r="BD8" s="5" t="n">
        <f aca="false">-BD7*(1-BD6/Inputs!$B$6)</f>
        <v>-42021.0880590384</v>
      </c>
      <c r="BE8" s="5" t="n">
        <f aca="false">-BE7*(1-BE6/Inputs!$B$6)</f>
        <v>-42021.0880590384</v>
      </c>
      <c r="BF8" s="5" t="n">
        <f aca="false">-BF7*(1-BF6/Inputs!$B$6)</f>
        <v>-42021.0880590384</v>
      </c>
      <c r="BG8" s="5" t="n">
        <f aca="false">-BG7*(1-BG6/Inputs!$B$6)</f>
        <v>-42021.0880590384</v>
      </c>
      <c r="BH8" s="5" t="n">
        <f aca="false">-BH7*(1-BH6/Inputs!$B$6)</f>
        <v>-42021.0880590384</v>
      </c>
      <c r="BI8" s="5" t="n">
        <f aca="false">-BI7*(1-BI6/Inputs!$B$6)</f>
        <v>-42021.0880590384</v>
      </c>
      <c r="BJ8" s="5" t="n">
        <f aca="false">-BJ7*(1-BJ6/Inputs!$B$6)</f>
        <v>-42021.0880590384</v>
      </c>
      <c r="BK8" s="5" t="n">
        <f aca="false">-BK7*(1-BK6/Inputs!$B$6)</f>
        <v>-42861.5098202192</v>
      </c>
      <c r="BL8" s="5" t="n">
        <f aca="false">-BL7*(1-BL6/Inputs!$B$6)</f>
        <v>-42861.5098202192</v>
      </c>
      <c r="BM8" s="5" t="n">
        <f aca="false">-BM7*(1-BM6/Inputs!$B$6)</f>
        <v>-42861.5098202192</v>
      </c>
      <c r="BN8" s="5" t="n">
        <f aca="false">-BN7*(1-BN6/Inputs!$B$6)</f>
        <v>-42861.5098202192</v>
      </c>
      <c r="BO8" s="5" t="n">
        <f aca="false">-BO7*(1-BO6/Inputs!$B$6)</f>
        <v>-42861.5098202192</v>
      </c>
      <c r="BP8" s="5" t="n">
        <f aca="false">-BP7*(1-BP6/Inputs!$B$6)</f>
        <v>-42861.5098202192</v>
      </c>
      <c r="BQ8" s="5" t="n">
        <f aca="false">-BQ7*(1-BQ6/Inputs!$B$6)</f>
        <v>-42861.5098202192</v>
      </c>
      <c r="BR8" s="5" t="n">
        <f aca="false">-BR7*(1-BR6/Inputs!$B$6)</f>
        <v>-42861.5098202192</v>
      </c>
      <c r="BS8" s="5" t="n">
        <f aca="false">-BS7*(1-BS6/Inputs!$B$6)</f>
        <v>-42861.5098202192</v>
      </c>
      <c r="BT8" s="5" t="n">
        <f aca="false">-BT7*(1-BT6/Inputs!$B$6)</f>
        <v>-42861.5098202192</v>
      </c>
      <c r="BU8" s="5" t="n">
        <f aca="false">-BU7*(1-BU6/Inputs!$B$6)</f>
        <v>-42861.5098202192</v>
      </c>
      <c r="BV8" s="5" t="n">
        <f aca="false">-BV7*(1-BV6/Inputs!$B$6)</f>
        <v>-42861.5098202192</v>
      </c>
      <c r="BW8" s="5" t="n">
        <f aca="false">-BW7*(1-BW6/Inputs!$B$6)</f>
        <v>-43718.7400166236</v>
      </c>
      <c r="BX8" s="5" t="n">
        <f aca="false">-BX7*(1-BX6/Inputs!$B$6)</f>
        <v>-43718.7400166236</v>
      </c>
      <c r="BY8" s="5" t="n">
        <f aca="false">-BY7*(1-BY6/Inputs!$B$6)</f>
        <v>-43718.7400166236</v>
      </c>
      <c r="BZ8" s="5" t="n">
        <f aca="false">-BZ7*(1-BZ6/Inputs!$B$6)</f>
        <v>-43718.7400166236</v>
      </c>
      <c r="CA8" s="5" t="n">
        <f aca="false">-CA7*(1-CA6/Inputs!$B$6)</f>
        <v>-43718.7400166236</v>
      </c>
      <c r="CB8" s="5" t="n">
        <f aca="false">-CB7*(1-CB6/Inputs!$B$6)</f>
        <v>-43718.7400166236</v>
      </c>
      <c r="CC8" s="5" t="n">
        <f aca="false">-CC7*(1-CC6/Inputs!$B$6)</f>
        <v>-43718.7400166236</v>
      </c>
      <c r="CD8" s="5" t="n">
        <f aca="false">-CD7*(1-CD6/Inputs!$B$6)</f>
        <v>-43718.7400166236</v>
      </c>
      <c r="CE8" s="5" t="n">
        <f aca="false">-CE7*(1-CE6/Inputs!$B$6)</f>
        <v>-43718.7400166236</v>
      </c>
      <c r="CF8" s="5" t="n">
        <f aca="false">-CF7*(1-CF6/Inputs!$B$6)</f>
        <v>-43718.7400166236</v>
      </c>
      <c r="CG8" s="5" t="n">
        <f aca="false">-CG7*(1-CG6/Inputs!$B$6)</f>
        <v>-43718.7400166236</v>
      </c>
      <c r="CH8" s="5" t="n">
        <f aca="false">-CH7*(1-CH6/Inputs!$B$6)</f>
        <v>-43718.7400166236</v>
      </c>
      <c r="CI8" s="5" t="n">
        <f aca="false">-CI7*(1-CI6/Inputs!$B$6)</f>
        <v>-44593.1148169561</v>
      </c>
      <c r="CJ8" s="5" t="n">
        <f aca="false">-CJ7*(1-CJ6/Inputs!$B$6)</f>
        <v>-44593.1148169561</v>
      </c>
      <c r="CK8" s="5" t="n">
        <f aca="false">-CK7*(1-CK6/Inputs!$B$6)</f>
        <v>-44593.1148169561</v>
      </c>
      <c r="CL8" s="5" t="n">
        <f aca="false">-CL7*(1-CL6/Inputs!$B$6)</f>
        <v>-44593.1148169561</v>
      </c>
      <c r="CM8" s="5" t="n">
        <f aca="false">-CM7*(1-CM6/Inputs!$B$6)</f>
        <v>-44593.1148169561</v>
      </c>
      <c r="CN8" s="5" t="n">
        <f aca="false">-CN7*(1-CN6/Inputs!$B$6)</f>
        <v>-44593.1148169561</v>
      </c>
      <c r="CO8" s="5" t="n">
        <f aca="false">-CO7*(1-CO6/Inputs!$B$6)</f>
        <v>-44593.1148169561</v>
      </c>
      <c r="CP8" s="5" t="n">
        <f aca="false">-CP7*(1-CP6/Inputs!$B$6)</f>
        <v>-44593.1148169561</v>
      </c>
      <c r="CQ8" s="5" t="n">
        <f aca="false">-CQ7*(1-CQ6/Inputs!$B$6)</f>
        <v>-44593.1148169561</v>
      </c>
      <c r="CR8" s="5" t="n">
        <f aca="false">-CR7*(1-CR6/Inputs!$B$6)</f>
        <v>-44593.1148169561</v>
      </c>
      <c r="CS8" s="5" t="n">
        <f aca="false">-CS7*(1-CS6/Inputs!$B$6)</f>
        <v>-44593.1148169561</v>
      </c>
      <c r="CT8" s="5" t="n">
        <f aca="false">-CT7*(1-CT6/Inputs!$B$6)</f>
        <v>-44593.1148169561</v>
      </c>
    </row>
    <row r="9" customFormat="false" ht="15" hidden="false" customHeight="false" outlineLevel="0" collapsed="false">
      <c r="B9" s="26" t="s">
        <v>159</v>
      </c>
      <c r="C9" s="5" t="n">
        <f aca="false">-(C7+C8)*Inputs!$B$17</f>
        <v>-0</v>
      </c>
      <c r="D9" s="5" t="n">
        <f aca="false">-(D7+D8)*Inputs!$B$17</f>
        <v>-0</v>
      </c>
      <c r="E9" s="5" t="n">
        <f aca="false">-(E7+E8)*Inputs!$B$17</f>
        <v>-0</v>
      </c>
      <c r="F9" s="5" t="n">
        <f aca="false">-(F7+F8)*Inputs!$B$17</f>
        <v>-0</v>
      </c>
      <c r="G9" s="5" t="n">
        <f aca="false">-(G7+G8)*Inputs!$B$17</f>
        <v>-0</v>
      </c>
      <c r="H9" s="5" t="n">
        <f aca="false">-(H7+H8)*Inputs!$B$17</f>
        <v>-0</v>
      </c>
      <c r="I9" s="5" t="n">
        <f aca="false">-(I7+I8)*Inputs!$B$17</f>
        <v>-0</v>
      </c>
      <c r="J9" s="5" t="n">
        <f aca="false">-(J7+J8)*Inputs!$B$17</f>
        <v>-0</v>
      </c>
      <c r="K9" s="5" t="n">
        <f aca="false">-(K7+K8)*Inputs!$B$17</f>
        <v>-0</v>
      </c>
      <c r="L9" s="5" t="n">
        <f aca="false">-(L7+L8)*Inputs!$B$17</f>
        <v>-0</v>
      </c>
      <c r="M9" s="5" t="n">
        <f aca="false">-(M7+M8)*Inputs!$B$17</f>
        <v>-0</v>
      </c>
      <c r="N9" s="5" t="n">
        <f aca="false">-(N7+N8)*Inputs!$B$17</f>
        <v>-0</v>
      </c>
      <c r="O9" s="5" t="n">
        <f aca="false">-(O7+O8)*Inputs!$B$17</f>
        <v>-0</v>
      </c>
      <c r="P9" s="5" t="n">
        <f aca="false">-(P7+P8)*Inputs!$B$17</f>
        <v>-202.027601020408</v>
      </c>
      <c r="Q9" s="5" t="n">
        <f aca="false">-(Q7+Q8)*Inputs!$B$17</f>
        <v>-404.055202040816</v>
      </c>
      <c r="R9" s="5" t="n">
        <f aca="false">-(R7+R8)*Inputs!$B$17</f>
        <v>-606.082803061225</v>
      </c>
      <c r="S9" s="5" t="n">
        <f aca="false">-(S7+S8)*Inputs!$B$17</f>
        <v>-808.110404081633</v>
      </c>
      <c r="T9" s="5" t="n">
        <f aca="false">-(T7+T8)*Inputs!$B$17</f>
        <v>-1010.13800510204</v>
      </c>
      <c r="U9" s="5" t="n">
        <f aca="false">-(U7+U8)*Inputs!$B$17</f>
        <v>-1212.16560612245</v>
      </c>
      <c r="V9" s="5" t="n">
        <f aca="false">-(V7+V8)*Inputs!$B$17</f>
        <v>-1414.19320714286</v>
      </c>
      <c r="W9" s="5" t="n">
        <f aca="false">-(W7+W8)*Inputs!$B$17</f>
        <v>-1616.22080816327</v>
      </c>
      <c r="X9" s="5" t="n">
        <f aca="false">-(X7+X8)*Inputs!$B$17</f>
        <v>-1818.24840918367</v>
      </c>
      <c r="Y9" s="5" t="n">
        <f aca="false">-(Y7+Y8)*Inputs!$B$17</f>
        <v>-2020.27601020408</v>
      </c>
      <c r="Z9" s="5" t="n">
        <f aca="false">-(Z7+Z8)*Inputs!$B$17</f>
        <v>-2222.30361122449</v>
      </c>
      <c r="AA9" s="5" t="n">
        <f aca="false">-(AA7+AA8)*Inputs!$B$17</f>
        <v>-2472.8178364898</v>
      </c>
      <c r="AB9" s="5" t="n">
        <f aca="false">-(AB7+AB8)*Inputs!$B$17</f>
        <v>-2678.88598953061</v>
      </c>
      <c r="AC9" s="5" t="n">
        <f aca="false">-(AC7+AC8)*Inputs!$B$17</f>
        <v>-2683.00735259143</v>
      </c>
      <c r="AD9" s="5" t="n">
        <f aca="false">-(AD7+AD8)*Inputs!$B$17</f>
        <v>-2683.00735259143</v>
      </c>
      <c r="AE9" s="5" t="n">
        <f aca="false">-(AE7+AE8)*Inputs!$B$17</f>
        <v>-2683.00735259143</v>
      </c>
      <c r="AF9" s="5" t="n">
        <f aca="false">-(AF7+AF8)*Inputs!$B$17</f>
        <v>-2683.00735259143</v>
      </c>
      <c r="AG9" s="5" t="n">
        <f aca="false">-(AG7+AG8)*Inputs!$B$17</f>
        <v>-2683.00735259143</v>
      </c>
      <c r="AH9" s="5" t="n">
        <f aca="false">-(AH7+AH8)*Inputs!$B$17</f>
        <v>-2683.00735259143</v>
      </c>
      <c r="AI9" s="5" t="n">
        <f aca="false">-(AI7+AI8)*Inputs!$B$17</f>
        <v>-2683.00735259143</v>
      </c>
      <c r="AJ9" s="5" t="n">
        <f aca="false">-(AJ7+AJ8)*Inputs!$B$17</f>
        <v>-2683.00735259143</v>
      </c>
      <c r="AK9" s="5" t="n">
        <f aca="false">-(AK7+AK8)*Inputs!$B$17</f>
        <v>-2683.00735259143</v>
      </c>
      <c r="AL9" s="5" t="n">
        <f aca="false">-(AL7+AL8)*Inputs!$B$17</f>
        <v>-2683.00735259143</v>
      </c>
      <c r="AM9" s="5" t="n">
        <f aca="false">-(AM7+AM8)*Inputs!$B$17</f>
        <v>-2736.66749964326</v>
      </c>
      <c r="AN9" s="5" t="n">
        <f aca="false">-(AN7+AN8)*Inputs!$B$17</f>
        <v>-2736.66749964326</v>
      </c>
      <c r="AO9" s="5" t="n">
        <f aca="false">-(AO7+AO8)*Inputs!$B$17</f>
        <v>-2736.66749964326</v>
      </c>
      <c r="AP9" s="5" t="n">
        <f aca="false">-(AP7+AP8)*Inputs!$B$17</f>
        <v>-2736.66749964326</v>
      </c>
      <c r="AQ9" s="5" t="n">
        <f aca="false">-(AQ7+AQ8)*Inputs!$B$17</f>
        <v>-2736.66749964326</v>
      </c>
      <c r="AR9" s="5" t="n">
        <f aca="false">-(AR7+AR8)*Inputs!$B$17</f>
        <v>-2736.66749964326</v>
      </c>
      <c r="AS9" s="5" t="n">
        <f aca="false">-(AS7+AS8)*Inputs!$B$17</f>
        <v>-2736.66749964326</v>
      </c>
      <c r="AT9" s="5" t="n">
        <f aca="false">-(AT7+AT8)*Inputs!$B$17</f>
        <v>-2736.66749964326</v>
      </c>
      <c r="AU9" s="5" t="n">
        <f aca="false">-(AU7+AU8)*Inputs!$B$17</f>
        <v>-2736.66749964326</v>
      </c>
      <c r="AV9" s="5" t="n">
        <f aca="false">-(AV7+AV8)*Inputs!$B$17</f>
        <v>-2736.66749964326</v>
      </c>
      <c r="AW9" s="5" t="n">
        <f aca="false">-(AW7+AW8)*Inputs!$B$17</f>
        <v>-2736.66749964326</v>
      </c>
      <c r="AX9" s="5" t="n">
        <f aca="false">-(AX7+AX8)*Inputs!$B$17</f>
        <v>-2736.66749964326</v>
      </c>
      <c r="AY9" s="5" t="n">
        <f aca="false">-(AY7+AY8)*Inputs!$B$17</f>
        <v>-2791.40084963612</v>
      </c>
      <c r="AZ9" s="5" t="n">
        <f aca="false">-(AZ7+AZ8)*Inputs!$B$17</f>
        <v>-2791.40084963612</v>
      </c>
      <c r="BA9" s="5" t="n">
        <f aca="false">-(BA7+BA8)*Inputs!$B$17</f>
        <v>-2791.40084963612</v>
      </c>
      <c r="BB9" s="5" t="n">
        <f aca="false">-(BB7+BB8)*Inputs!$B$17</f>
        <v>-2791.40084963612</v>
      </c>
      <c r="BC9" s="5" t="n">
        <f aca="false">-(BC7+BC8)*Inputs!$B$17</f>
        <v>-2791.40084963612</v>
      </c>
      <c r="BD9" s="5" t="n">
        <f aca="false">-(BD7+BD8)*Inputs!$B$17</f>
        <v>-2791.40084963612</v>
      </c>
      <c r="BE9" s="5" t="n">
        <f aca="false">-(BE7+BE8)*Inputs!$B$17</f>
        <v>-2791.40084963612</v>
      </c>
      <c r="BF9" s="5" t="n">
        <f aca="false">-(BF7+BF8)*Inputs!$B$17</f>
        <v>-2791.40084963612</v>
      </c>
      <c r="BG9" s="5" t="n">
        <f aca="false">-(BG7+BG8)*Inputs!$B$17</f>
        <v>-2791.40084963612</v>
      </c>
      <c r="BH9" s="5" t="n">
        <f aca="false">-(BH7+BH8)*Inputs!$B$17</f>
        <v>-2791.40084963612</v>
      </c>
      <c r="BI9" s="5" t="n">
        <f aca="false">-(BI7+BI8)*Inputs!$B$17</f>
        <v>-2791.40084963612</v>
      </c>
      <c r="BJ9" s="5" t="n">
        <f aca="false">-(BJ7+BJ8)*Inputs!$B$17</f>
        <v>-2791.40084963612</v>
      </c>
      <c r="BK9" s="5" t="n">
        <f aca="false">-(BK7+BK8)*Inputs!$B$17</f>
        <v>-2847.22886662884</v>
      </c>
      <c r="BL9" s="5" t="n">
        <f aca="false">-(BL7+BL8)*Inputs!$B$17</f>
        <v>-2847.22886662884</v>
      </c>
      <c r="BM9" s="5" t="n">
        <f aca="false">-(BM7+BM8)*Inputs!$B$17</f>
        <v>-2847.22886662884</v>
      </c>
      <c r="BN9" s="5" t="n">
        <f aca="false">-(BN7+BN8)*Inputs!$B$17</f>
        <v>-2847.22886662884</v>
      </c>
      <c r="BO9" s="5" t="n">
        <f aca="false">-(BO7+BO8)*Inputs!$B$17</f>
        <v>-2847.22886662884</v>
      </c>
      <c r="BP9" s="5" t="n">
        <f aca="false">-(BP7+BP8)*Inputs!$B$17</f>
        <v>-2847.22886662884</v>
      </c>
      <c r="BQ9" s="5" t="n">
        <f aca="false">-(BQ7+BQ8)*Inputs!$B$17</f>
        <v>-2847.22886662884</v>
      </c>
      <c r="BR9" s="5" t="n">
        <f aca="false">-(BR7+BR8)*Inputs!$B$17</f>
        <v>-2847.22886662884</v>
      </c>
      <c r="BS9" s="5" t="n">
        <f aca="false">-(BS7+BS8)*Inputs!$B$17</f>
        <v>-2847.22886662884</v>
      </c>
      <c r="BT9" s="5" t="n">
        <f aca="false">-(BT7+BT8)*Inputs!$B$17</f>
        <v>-2847.22886662884</v>
      </c>
      <c r="BU9" s="5" t="n">
        <f aca="false">-(BU7+BU8)*Inputs!$B$17</f>
        <v>-2847.22886662884</v>
      </c>
      <c r="BV9" s="5" t="n">
        <f aca="false">-(BV7+BV8)*Inputs!$B$17</f>
        <v>-2847.22886662884</v>
      </c>
      <c r="BW9" s="5" t="n">
        <f aca="false">-(BW7+BW8)*Inputs!$B$17</f>
        <v>-2904.17344396142</v>
      </c>
      <c r="BX9" s="5" t="n">
        <f aca="false">-(BX7+BX8)*Inputs!$B$17</f>
        <v>-2904.17344396142</v>
      </c>
      <c r="BY9" s="5" t="n">
        <f aca="false">-(BY7+BY8)*Inputs!$B$17</f>
        <v>-2904.17344396142</v>
      </c>
      <c r="BZ9" s="5" t="n">
        <f aca="false">-(BZ7+BZ8)*Inputs!$B$17</f>
        <v>-2904.17344396142</v>
      </c>
      <c r="CA9" s="5" t="n">
        <f aca="false">-(CA7+CA8)*Inputs!$B$17</f>
        <v>-2904.17344396142</v>
      </c>
      <c r="CB9" s="5" t="n">
        <f aca="false">-(CB7+CB8)*Inputs!$B$17</f>
        <v>-2904.17344396142</v>
      </c>
      <c r="CC9" s="5" t="n">
        <f aca="false">-(CC7+CC8)*Inputs!$B$17</f>
        <v>-2904.17344396142</v>
      </c>
      <c r="CD9" s="5" t="n">
        <f aca="false">-(CD7+CD8)*Inputs!$B$17</f>
        <v>-2904.17344396142</v>
      </c>
      <c r="CE9" s="5" t="n">
        <f aca="false">-(CE7+CE8)*Inputs!$B$17</f>
        <v>-2904.17344396142</v>
      </c>
      <c r="CF9" s="5" t="n">
        <f aca="false">-(CF7+CF8)*Inputs!$B$17</f>
        <v>-2904.17344396142</v>
      </c>
      <c r="CG9" s="5" t="n">
        <f aca="false">-(CG7+CG8)*Inputs!$B$17</f>
        <v>-2904.17344396142</v>
      </c>
      <c r="CH9" s="5" t="n">
        <f aca="false">-(CH7+CH8)*Inputs!$B$17</f>
        <v>-2904.17344396142</v>
      </c>
      <c r="CI9" s="5" t="n">
        <f aca="false">-(CI7+CI8)*Inputs!$B$17</f>
        <v>-2962.25691284065</v>
      </c>
      <c r="CJ9" s="5" t="n">
        <f aca="false">-(CJ7+CJ8)*Inputs!$B$17</f>
        <v>-2962.25691284065</v>
      </c>
      <c r="CK9" s="5" t="n">
        <f aca="false">-(CK7+CK8)*Inputs!$B$17</f>
        <v>-2962.25691284065</v>
      </c>
      <c r="CL9" s="5" t="n">
        <f aca="false">-(CL7+CL8)*Inputs!$B$17</f>
        <v>-2962.25691284065</v>
      </c>
      <c r="CM9" s="5" t="n">
        <f aca="false">-(CM7+CM8)*Inputs!$B$17</f>
        <v>-2962.25691284065</v>
      </c>
      <c r="CN9" s="5" t="n">
        <f aca="false">-(CN7+CN8)*Inputs!$B$17</f>
        <v>-2962.25691284065</v>
      </c>
      <c r="CO9" s="5" t="n">
        <f aca="false">-(CO7+CO8)*Inputs!$B$17</f>
        <v>-2962.25691284065</v>
      </c>
      <c r="CP9" s="5" t="n">
        <f aca="false">-(CP7+CP8)*Inputs!$B$17</f>
        <v>-2962.25691284065</v>
      </c>
      <c r="CQ9" s="5" t="n">
        <f aca="false">-(CQ7+CQ8)*Inputs!$B$17</f>
        <v>-2962.25691284065</v>
      </c>
      <c r="CR9" s="5" t="n">
        <f aca="false">-(CR7+CR8)*Inputs!$B$17</f>
        <v>-2962.25691284065</v>
      </c>
      <c r="CS9" s="5" t="n">
        <f aca="false">-(CS7+CS8)*Inputs!$B$17</f>
        <v>-2962.25691284065</v>
      </c>
      <c r="CT9" s="5" t="n">
        <f aca="false">-(CT7+CT8)*Inputs!$B$17</f>
        <v>-2962.25691284065</v>
      </c>
    </row>
    <row r="10" customFormat="false" ht="15" hidden="false" customHeight="false" outlineLevel="0" collapsed="false">
      <c r="B10" s="26" t="s">
        <v>160</v>
      </c>
      <c r="C10" s="5" t="n">
        <f aca="false">SUM(C7:C9)</f>
        <v>0</v>
      </c>
      <c r="D10" s="5" t="n">
        <f aca="false">SUM(D7:D9)</f>
        <v>0</v>
      </c>
      <c r="E10" s="5" t="n">
        <f aca="false">SUM(E7:E9)</f>
        <v>0</v>
      </c>
      <c r="F10" s="5" t="n">
        <f aca="false">SUM(F7:F9)</f>
        <v>0</v>
      </c>
      <c r="G10" s="5" t="n">
        <f aca="false">SUM(G7:G9)</f>
        <v>0</v>
      </c>
      <c r="H10" s="5" t="n">
        <f aca="false">SUM(H7:H9)</f>
        <v>0</v>
      </c>
      <c r="I10" s="5" t="n">
        <f aca="false">SUM(I7:I9)</f>
        <v>0</v>
      </c>
      <c r="J10" s="5" t="n">
        <f aca="false">SUM(J7:J9)</f>
        <v>0</v>
      </c>
      <c r="K10" s="5" t="n">
        <f aca="false">SUM(K7:K9)</f>
        <v>0</v>
      </c>
      <c r="L10" s="5" t="n">
        <f aca="false">SUM(L7:L9)</f>
        <v>0</v>
      </c>
      <c r="M10" s="5" t="n">
        <f aca="false">SUM(M7:M9)</f>
        <v>0</v>
      </c>
      <c r="N10" s="5" t="n">
        <f aca="false">SUM(N7:N9)</f>
        <v>0</v>
      </c>
      <c r="O10" s="5" t="n">
        <f aca="false">SUM(O7:O9)</f>
        <v>0</v>
      </c>
      <c r="P10" s="5" t="n">
        <f aca="false">SUM(P7:P9)</f>
        <v>40203.4926030613</v>
      </c>
      <c r="Q10" s="5" t="n">
        <f aca="false">SUM(Q7:Q9)</f>
        <v>80406.9852061225</v>
      </c>
      <c r="R10" s="5" t="n">
        <f aca="false">SUM(R7:R9)</f>
        <v>120610.477809184</v>
      </c>
      <c r="S10" s="5" t="n">
        <f aca="false">SUM(S7:S9)</f>
        <v>160813.970412245</v>
      </c>
      <c r="T10" s="5" t="n">
        <f aca="false">SUM(T7:T9)</f>
        <v>201017.463015306</v>
      </c>
      <c r="U10" s="5" t="n">
        <f aca="false">SUM(U7:U9)</f>
        <v>241220.955618367</v>
      </c>
      <c r="V10" s="5" t="n">
        <f aca="false">SUM(V7:V9)</f>
        <v>281424.448221429</v>
      </c>
      <c r="W10" s="5" t="n">
        <f aca="false">SUM(W7:W9)</f>
        <v>321627.94082449</v>
      </c>
      <c r="X10" s="5" t="n">
        <f aca="false">SUM(X7:X9)</f>
        <v>361831.433427551</v>
      </c>
      <c r="Y10" s="5" t="n">
        <f aca="false">SUM(Y7:Y9)</f>
        <v>402034.926030612</v>
      </c>
      <c r="Z10" s="5" t="n">
        <f aca="false">SUM(Z7:Z9)</f>
        <v>442238.418633674</v>
      </c>
      <c r="AA10" s="5" t="n">
        <f aca="false">SUM(AA7:AA9)</f>
        <v>492090.749461469</v>
      </c>
      <c r="AB10" s="5" t="n">
        <f aca="false">SUM(AB7:AB9)</f>
        <v>533098.311916592</v>
      </c>
      <c r="AC10" s="5" t="n">
        <f aca="false">SUM(AC7:AC9)</f>
        <v>533918.463165694</v>
      </c>
      <c r="AD10" s="5" t="n">
        <f aca="false">SUM(AD7:AD9)</f>
        <v>533918.463165694</v>
      </c>
      <c r="AE10" s="5" t="n">
        <f aca="false">SUM(AE7:AE9)</f>
        <v>533918.463165694</v>
      </c>
      <c r="AF10" s="5" t="n">
        <f aca="false">SUM(AF7:AF9)</f>
        <v>533918.463165694</v>
      </c>
      <c r="AG10" s="5" t="n">
        <f aca="false">SUM(AG7:AG9)</f>
        <v>533918.463165694</v>
      </c>
      <c r="AH10" s="5" t="n">
        <f aca="false">SUM(AH7:AH9)</f>
        <v>533918.463165694</v>
      </c>
      <c r="AI10" s="5" t="n">
        <f aca="false">SUM(AI7:AI9)</f>
        <v>533918.463165694</v>
      </c>
      <c r="AJ10" s="5" t="n">
        <f aca="false">SUM(AJ7:AJ9)</f>
        <v>533918.463165694</v>
      </c>
      <c r="AK10" s="5" t="n">
        <f aca="false">SUM(AK7:AK9)</f>
        <v>533918.463165694</v>
      </c>
      <c r="AL10" s="5" t="n">
        <f aca="false">SUM(AL7:AL9)</f>
        <v>533918.463165694</v>
      </c>
      <c r="AM10" s="5" t="n">
        <f aca="false">SUM(AM7:AM9)</f>
        <v>544596.832429008</v>
      </c>
      <c r="AN10" s="5" t="n">
        <f aca="false">SUM(AN7:AN9)</f>
        <v>544596.832429008</v>
      </c>
      <c r="AO10" s="5" t="n">
        <f aca="false">SUM(AO7:AO9)</f>
        <v>544596.832429008</v>
      </c>
      <c r="AP10" s="5" t="n">
        <f aca="false">SUM(AP7:AP9)</f>
        <v>544596.832429008</v>
      </c>
      <c r="AQ10" s="5" t="n">
        <f aca="false">SUM(AQ7:AQ9)</f>
        <v>544596.832429008</v>
      </c>
      <c r="AR10" s="5" t="n">
        <f aca="false">SUM(AR7:AR9)</f>
        <v>544596.832429008</v>
      </c>
      <c r="AS10" s="5" t="n">
        <f aca="false">SUM(AS7:AS9)</f>
        <v>544596.832429008</v>
      </c>
      <c r="AT10" s="5" t="n">
        <f aca="false">SUM(AT7:AT9)</f>
        <v>544596.832429008</v>
      </c>
      <c r="AU10" s="5" t="n">
        <f aca="false">SUM(AU7:AU9)</f>
        <v>544596.832429008</v>
      </c>
      <c r="AV10" s="5" t="n">
        <f aca="false">SUM(AV7:AV9)</f>
        <v>544596.832429008</v>
      </c>
      <c r="AW10" s="5" t="n">
        <f aca="false">SUM(AW7:AW9)</f>
        <v>544596.832429008</v>
      </c>
      <c r="AX10" s="5" t="n">
        <f aca="false">SUM(AX7:AX9)</f>
        <v>544596.832429008</v>
      </c>
      <c r="AY10" s="5" t="n">
        <f aca="false">SUM(AY7:AY9)</f>
        <v>555488.769077588</v>
      </c>
      <c r="AZ10" s="5" t="n">
        <f aca="false">SUM(AZ7:AZ9)</f>
        <v>555488.769077588</v>
      </c>
      <c r="BA10" s="5" t="n">
        <f aca="false">SUM(BA7:BA9)</f>
        <v>555488.769077588</v>
      </c>
      <c r="BB10" s="5" t="n">
        <f aca="false">SUM(BB7:BB9)</f>
        <v>555488.769077588</v>
      </c>
      <c r="BC10" s="5" t="n">
        <f aca="false">SUM(BC7:BC9)</f>
        <v>555488.769077588</v>
      </c>
      <c r="BD10" s="5" t="n">
        <f aca="false">SUM(BD7:BD9)</f>
        <v>555488.769077588</v>
      </c>
      <c r="BE10" s="5" t="n">
        <f aca="false">SUM(BE7:BE9)</f>
        <v>555488.769077588</v>
      </c>
      <c r="BF10" s="5" t="n">
        <f aca="false">SUM(BF7:BF9)</f>
        <v>555488.769077588</v>
      </c>
      <c r="BG10" s="5" t="n">
        <f aca="false">SUM(BG7:BG9)</f>
        <v>555488.769077588</v>
      </c>
      <c r="BH10" s="5" t="n">
        <f aca="false">SUM(BH7:BH9)</f>
        <v>555488.769077588</v>
      </c>
      <c r="BI10" s="5" t="n">
        <f aca="false">SUM(BI7:BI9)</f>
        <v>555488.769077588</v>
      </c>
      <c r="BJ10" s="5" t="n">
        <f aca="false">SUM(BJ7:BJ9)</f>
        <v>555488.769077588</v>
      </c>
      <c r="BK10" s="5" t="n">
        <f aca="false">SUM(BK7:BK9)</f>
        <v>566598.54445914</v>
      </c>
      <c r="BL10" s="5" t="n">
        <f aca="false">SUM(BL7:BL9)</f>
        <v>566598.54445914</v>
      </c>
      <c r="BM10" s="5" t="n">
        <f aca="false">SUM(BM7:BM9)</f>
        <v>566598.54445914</v>
      </c>
      <c r="BN10" s="5" t="n">
        <f aca="false">SUM(BN7:BN9)</f>
        <v>566598.54445914</v>
      </c>
      <c r="BO10" s="5" t="n">
        <f aca="false">SUM(BO7:BO9)</f>
        <v>566598.54445914</v>
      </c>
      <c r="BP10" s="5" t="n">
        <f aca="false">SUM(BP7:BP9)</f>
        <v>566598.54445914</v>
      </c>
      <c r="BQ10" s="5" t="n">
        <f aca="false">SUM(BQ7:BQ9)</f>
        <v>566598.54445914</v>
      </c>
      <c r="BR10" s="5" t="n">
        <f aca="false">SUM(BR7:BR9)</f>
        <v>566598.54445914</v>
      </c>
      <c r="BS10" s="5" t="n">
        <f aca="false">SUM(BS7:BS9)</f>
        <v>566598.54445914</v>
      </c>
      <c r="BT10" s="5" t="n">
        <f aca="false">SUM(BT7:BT9)</f>
        <v>566598.54445914</v>
      </c>
      <c r="BU10" s="5" t="n">
        <f aca="false">SUM(BU7:BU9)</f>
        <v>566598.54445914</v>
      </c>
      <c r="BV10" s="5" t="n">
        <f aca="false">SUM(BV7:BV9)</f>
        <v>566598.54445914</v>
      </c>
      <c r="BW10" s="5" t="n">
        <f aca="false">SUM(BW7:BW9)</f>
        <v>577930.515348323</v>
      </c>
      <c r="BX10" s="5" t="n">
        <f aca="false">SUM(BX7:BX9)</f>
        <v>577930.515348323</v>
      </c>
      <c r="BY10" s="5" t="n">
        <f aca="false">SUM(BY7:BY9)</f>
        <v>577930.515348323</v>
      </c>
      <c r="BZ10" s="5" t="n">
        <f aca="false">SUM(BZ7:BZ9)</f>
        <v>577930.515348323</v>
      </c>
      <c r="CA10" s="5" t="n">
        <f aca="false">SUM(CA7:CA9)</f>
        <v>577930.515348323</v>
      </c>
      <c r="CB10" s="5" t="n">
        <f aca="false">SUM(CB7:CB9)</f>
        <v>577930.515348323</v>
      </c>
      <c r="CC10" s="5" t="n">
        <f aca="false">SUM(CC7:CC9)</f>
        <v>577930.515348323</v>
      </c>
      <c r="CD10" s="5" t="n">
        <f aca="false">SUM(CD7:CD9)</f>
        <v>577930.515348323</v>
      </c>
      <c r="CE10" s="5" t="n">
        <f aca="false">SUM(CE7:CE9)</f>
        <v>577930.515348323</v>
      </c>
      <c r="CF10" s="5" t="n">
        <f aca="false">SUM(CF7:CF9)</f>
        <v>577930.515348323</v>
      </c>
      <c r="CG10" s="5" t="n">
        <f aca="false">SUM(CG7:CG9)</f>
        <v>577930.515348323</v>
      </c>
      <c r="CH10" s="5" t="n">
        <f aca="false">SUM(CH7:CH9)</f>
        <v>577930.515348323</v>
      </c>
      <c r="CI10" s="5" t="n">
        <f aca="false">SUM(CI7:CI9)</f>
        <v>589489.125655289</v>
      </c>
      <c r="CJ10" s="5" t="n">
        <f aca="false">SUM(CJ7:CJ9)</f>
        <v>589489.125655289</v>
      </c>
      <c r="CK10" s="5" t="n">
        <f aca="false">SUM(CK7:CK9)</f>
        <v>589489.125655289</v>
      </c>
      <c r="CL10" s="5" t="n">
        <f aca="false">SUM(CL7:CL9)</f>
        <v>589489.125655289</v>
      </c>
      <c r="CM10" s="5" t="n">
        <f aca="false">SUM(CM7:CM9)</f>
        <v>589489.125655289</v>
      </c>
      <c r="CN10" s="5" t="n">
        <f aca="false">SUM(CN7:CN9)</f>
        <v>589489.125655289</v>
      </c>
      <c r="CO10" s="5" t="n">
        <f aca="false">SUM(CO7:CO9)</f>
        <v>589489.125655289</v>
      </c>
      <c r="CP10" s="5" t="n">
        <f aca="false">SUM(CP7:CP9)</f>
        <v>589489.125655289</v>
      </c>
      <c r="CQ10" s="5" t="n">
        <f aca="false">SUM(CQ7:CQ9)</f>
        <v>589489.125655289</v>
      </c>
      <c r="CR10" s="5" t="n">
        <f aca="false">SUM(CR7:CR9)</f>
        <v>589489.125655289</v>
      </c>
      <c r="CS10" s="5" t="n">
        <f aca="false">SUM(CS7:CS9)</f>
        <v>589489.125655289</v>
      </c>
      <c r="CT10" s="5" t="n">
        <f aca="false">SUM(CT7:CT9)</f>
        <v>589489.125655289</v>
      </c>
    </row>
    <row r="11" customFormat="false" ht="15" hidden="false" customHeight="false" outlineLevel="0" collapsed="false">
      <c r="B11" s="26" t="s">
        <v>161</v>
      </c>
      <c r="C11" s="5" t="n">
        <f aca="false">C6*Inputs!$B$18*(1+Inputs!$B$19)^(C3-1)</f>
        <v>0</v>
      </c>
      <c r="D11" s="5" t="n">
        <f aca="false">D6*Inputs!$B$18*(1+Inputs!$B$19)^(D3-1)</f>
        <v>0</v>
      </c>
      <c r="E11" s="5" t="n">
        <f aca="false">E6*Inputs!$B$18*(1+Inputs!$B$19)^(E3-1)</f>
        <v>0</v>
      </c>
      <c r="F11" s="5" t="n">
        <f aca="false">F6*Inputs!$B$18*(1+Inputs!$B$19)^(F3-1)</f>
        <v>0</v>
      </c>
      <c r="G11" s="5" t="n">
        <f aca="false">G6*Inputs!$B$18*(1+Inputs!$B$19)^(G3-1)</f>
        <v>0</v>
      </c>
      <c r="H11" s="5" t="n">
        <f aca="false">H6*Inputs!$B$18*(1+Inputs!$B$19)^(H3-1)</f>
        <v>0</v>
      </c>
      <c r="I11" s="5" t="n">
        <f aca="false">I6*Inputs!$B$18*(1+Inputs!$B$19)^(I3-1)</f>
        <v>0</v>
      </c>
      <c r="J11" s="5" t="n">
        <f aca="false">J6*Inputs!$B$18*(1+Inputs!$B$19)^(J3-1)</f>
        <v>0</v>
      </c>
      <c r="K11" s="5" t="n">
        <f aca="false">K6*Inputs!$B$18*(1+Inputs!$B$19)^(K3-1)</f>
        <v>0</v>
      </c>
      <c r="L11" s="5" t="n">
        <f aca="false">L6*Inputs!$B$18*(1+Inputs!$B$19)^(L3-1)</f>
        <v>0</v>
      </c>
      <c r="M11" s="5" t="n">
        <f aca="false">M6*Inputs!$B$18*(1+Inputs!$B$19)^(M3-1)</f>
        <v>0</v>
      </c>
      <c r="N11" s="5" t="n">
        <f aca="false">N6*Inputs!$B$18*(1+Inputs!$B$19)^(N3-1)</f>
        <v>0</v>
      </c>
      <c r="O11" s="5" t="n">
        <f aca="false">O6*Inputs!$B$18*(1+Inputs!$B$19)^(O3-1)</f>
        <v>0</v>
      </c>
      <c r="P11" s="5" t="n">
        <f aca="false">P6*Inputs!$B$18*(1+Inputs!$B$19)^(P3-1)</f>
        <v>839.314285714286</v>
      </c>
      <c r="Q11" s="5" t="n">
        <f aca="false">Q6*Inputs!$B$18*(1+Inputs!$B$19)^(Q3-1)</f>
        <v>1678.62857142857</v>
      </c>
      <c r="R11" s="5" t="n">
        <f aca="false">R6*Inputs!$B$18*(1+Inputs!$B$19)^(R3-1)</f>
        <v>2517.94285714286</v>
      </c>
      <c r="S11" s="5" t="n">
        <f aca="false">S6*Inputs!$B$18*(1+Inputs!$B$19)^(S3-1)</f>
        <v>3357.25714285714</v>
      </c>
      <c r="T11" s="5" t="n">
        <f aca="false">T6*Inputs!$B$18*(1+Inputs!$B$19)^(T3-1)</f>
        <v>4196.57142857143</v>
      </c>
      <c r="U11" s="5" t="n">
        <f aca="false">U6*Inputs!$B$18*(1+Inputs!$B$19)^(U3-1)</f>
        <v>5035.88571428572</v>
      </c>
      <c r="V11" s="5" t="n">
        <f aca="false">V6*Inputs!$B$18*(1+Inputs!$B$19)^(V3-1)</f>
        <v>5875.2</v>
      </c>
      <c r="W11" s="5" t="n">
        <f aca="false">W6*Inputs!$B$18*(1+Inputs!$B$19)^(W3-1)</f>
        <v>6714.51428571429</v>
      </c>
      <c r="X11" s="5" t="n">
        <f aca="false">X6*Inputs!$B$18*(1+Inputs!$B$19)^(X3-1)</f>
        <v>7553.82857142857</v>
      </c>
      <c r="Y11" s="5" t="n">
        <f aca="false">Y6*Inputs!$B$18*(1+Inputs!$B$19)^(Y3-1)</f>
        <v>8393.14285714286</v>
      </c>
      <c r="Z11" s="5" t="n">
        <f aca="false">Z6*Inputs!$B$18*(1+Inputs!$B$19)^(Z3-1)</f>
        <v>9232.45714285714</v>
      </c>
      <c r="AA11" s="5" t="n">
        <f aca="false">AA6*Inputs!$B$18*(1+Inputs!$B$19)^(AA3-1)</f>
        <v>10273.2068571429</v>
      </c>
      <c r="AB11" s="5" t="n">
        <f aca="false">AB6*Inputs!$B$18*(1+Inputs!$B$19)^(AB3-1)</f>
        <v>11129.3074285714</v>
      </c>
      <c r="AC11" s="5" t="n">
        <f aca="false">AC6*Inputs!$B$18*(1+Inputs!$B$19)^(AC3-1)</f>
        <v>11146.42944</v>
      </c>
      <c r="AD11" s="5" t="n">
        <f aca="false">AD6*Inputs!$B$18*(1+Inputs!$B$19)^(AD3-1)</f>
        <v>11146.42944</v>
      </c>
      <c r="AE11" s="5" t="n">
        <f aca="false">AE6*Inputs!$B$18*(1+Inputs!$B$19)^(AE3-1)</f>
        <v>11146.42944</v>
      </c>
      <c r="AF11" s="5" t="n">
        <f aca="false">AF6*Inputs!$B$18*(1+Inputs!$B$19)^(AF3-1)</f>
        <v>11146.42944</v>
      </c>
      <c r="AG11" s="5" t="n">
        <f aca="false">AG6*Inputs!$B$18*(1+Inputs!$B$19)^(AG3-1)</f>
        <v>11146.42944</v>
      </c>
      <c r="AH11" s="5" t="n">
        <f aca="false">AH6*Inputs!$B$18*(1+Inputs!$B$19)^(AH3-1)</f>
        <v>11146.42944</v>
      </c>
      <c r="AI11" s="5" t="n">
        <f aca="false">AI6*Inputs!$B$18*(1+Inputs!$B$19)^(AI3-1)</f>
        <v>11146.42944</v>
      </c>
      <c r="AJ11" s="5" t="n">
        <f aca="false">AJ6*Inputs!$B$18*(1+Inputs!$B$19)^(AJ3-1)</f>
        <v>11146.42944</v>
      </c>
      <c r="AK11" s="5" t="n">
        <f aca="false">AK6*Inputs!$B$18*(1+Inputs!$B$19)^(AK3-1)</f>
        <v>11146.42944</v>
      </c>
      <c r="AL11" s="5" t="n">
        <f aca="false">AL6*Inputs!$B$18*(1+Inputs!$B$19)^(AL3-1)</f>
        <v>11146.42944</v>
      </c>
      <c r="AM11" s="5" t="n">
        <f aca="false">AM6*Inputs!$B$18*(1+Inputs!$B$19)^(AM3-1)</f>
        <v>11369.3580288</v>
      </c>
      <c r="AN11" s="5" t="n">
        <f aca="false">AN6*Inputs!$B$18*(1+Inputs!$B$19)^(AN3-1)</f>
        <v>11369.3580288</v>
      </c>
      <c r="AO11" s="5" t="n">
        <f aca="false">AO6*Inputs!$B$18*(1+Inputs!$B$19)^(AO3-1)</f>
        <v>11369.3580288</v>
      </c>
      <c r="AP11" s="5" t="n">
        <f aca="false">AP6*Inputs!$B$18*(1+Inputs!$B$19)^(AP3-1)</f>
        <v>11369.3580288</v>
      </c>
      <c r="AQ11" s="5" t="n">
        <f aca="false">AQ6*Inputs!$B$18*(1+Inputs!$B$19)^(AQ3-1)</f>
        <v>11369.3580288</v>
      </c>
      <c r="AR11" s="5" t="n">
        <f aca="false">AR6*Inputs!$B$18*(1+Inputs!$B$19)^(AR3-1)</f>
        <v>11369.3580288</v>
      </c>
      <c r="AS11" s="5" t="n">
        <f aca="false">AS6*Inputs!$B$18*(1+Inputs!$B$19)^(AS3-1)</f>
        <v>11369.3580288</v>
      </c>
      <c r="AT11" s="5" t="n">
        <f aca="false">AT6*Inputs!$B$18*(1+Inputs!$B$19)^(AT3-1)</f>
        <v>11369.3580288</v>
      </c>
      <c r="AU11" s="5" t="n">
        <f aca="false">AU6*Inputs!$B$18*(1+Inputs!$B$19)^(AU3-1)</f>
        <v>11369.3580288</v>
      </c>
      <c r="AV11" s="5" t="n">
        <f aca="false">AV6*Inputs!$B$18*(1+Inputs!$B$19)^(AV3-1)</f>
        <v>11369.3580288</v>
      </c>
      <c r="AW11" s="5" t="n">
        <f aca="false">AW6*Inputs!$B$18*(1+Inputs!$B$19)^(AW3-1)</f>
        <v>11369.3580288</v>
      </c>
      <c r="AX11" s="5" t="n">
        <f aca="false">AX6*Inputs!$B$18*(1+Inputs!$B$19)^(AX3-1)</f>
        <v>11369.3580288</v>
      </c>
      <c r="AY11" s="5" t="n">
        <f aca="false">AY6*Inputs!$B$18*(1+Inputs!$B$19)^(AY3-1)</f>
        <v>11596.745189376</v>
      </c>
      <c r="AZ11" s="5" t="n">
        <f aca="false">AZ6*Inputs!$B$18*(1+Inputs!$B$19)^(AZ3-1)</f>
        <v>11596.745189376</v>
      </c>
      <c r="BA11" s="5" t="n">
        <f aca="false">BA6*Inputs!$B$18*(1+Inputs!$B$19)^(BA3-1)</f>
        <v>11596.745189376</v>
      </c>
      <c r="BB11" s="5" t="n">
        <f aca="false">BB6*Inputs!$B$18*(1+Inputs!$B$19)^(BB3-1)</f>
        <v>11596.745189376</v>
      </c>
      <c r="BC11" s="5" t="n">
        <f aca="false">BC6*Inputs!$B$18*(1+Inputs!$B$19)^(BC3-1)</f>
        <v>11596.745189376</v>
      </c>
      <c r="BD11" s="5" t="n">
        <f aca="false">BD6*Inputs!$B$18*(1+Inputs!$B$19)^(BD3-1)</f>
        <v>11596.745189376</v>
      </c>
      <c r="BE11" s="5" t="n">
        <f aca="false">BE6*Inputs!$B$18*(1+Inputs!$B$19)^(BE3-1)</f>
        <v>11596.745189376</v>
      </c>
      <c r="BF11" s="5" t="n">
        <f aca="false">BF6*Inputs!$B$18*(1+Inputs!$B$19)^(BF3-1)</f>
        <v>11596.745189376</v>
      </c>
      <c r="BG11" s="5" t="n">
        <f aca="false">BG6*Inputs!$B$18*(1+Inputs!$B$19)^(BG3-1)</f>
        <v>11596.745189376</v>
      </c>
      <c r="BH11" s="5" t="n">
        <f aca="false">BH6*Inputs!$B$18*(1+Inputs!$B$19)^(BH3-1)</f>
        <v>11596.745189376</v>
      </c>
      <c r="BI11" s="5" t="n">
        <f aca="false">BI6*Inputs!$B$18*(1+Inputs!$B$19)^(BI3-1)</f>
        <v>11596.745189376</v>
      </c>
      <c r="BJ11" s="5" t="n">
        <f aca="false">BJ6*Inputs!$B$18*(1+Inputs!$B$19)^(BJ3-1)</f>
        <v>11596.745189376</v>
      </c>
      <c r="BK11" s="5" t="n">
        <f aca="false">BK6*Inputs!$B$18*(1+Inputs!$B$19)^(BK3-1)</f>
        <v>11828.6800931635</v>
      </c>
      <c r="BL11" s="5" t="n">
        <f aca="false">BL6*Inputs!$B$18*(1+Inputs!$B$19)^(BL3-1)</f>
        <v>11828.6800931635</v>
      </c>
      <c r="BM11" s="5" t="n">
        <f aca="false">BM6*Inputs!$B$18*(1+Inputs!$B$19)^(BM3-1)</f>
        <v>11828.6800931635</v>
      </c>
      <c r="BN11" s="5" t="n">
        <f aca="false">BN6*Inputs!$B$18*(1+Inputs!$B$19)^(BN3-1)</f>
        <v>11828.6800931635</v>
      </c>
      <c r="BO11" s="5" t="n">
        <f aca="false">BO6*Inputs!$B$18*(1+Inputs!$B$19)^(BO3-1)</f>
        <v>11828.6800931635</v>
      </c>
      <c r="BP11" s="5" t="n">
        <f aca="false">BP6*Inputs!$B$18*(1+Inputs!$B$19)^(BP3-1)</f>
        <v>11828.6800931635</v>
      </c>
      <c r="BQ11" s="5" t="n">
        <f aca="false">BQ6*Inputs!$B$18*(1+Inputs!$B$19)^(BQ3-1)</f>
        <v>11828.6800931635</v>
      </c>
      <c r="BR11" s="5" t="n">
        <f aca="false">BR6*Inputs!$B$18*(1+Inputs!$B$19)^(BR3-1)</f>
        <v>11828.6800931635</v>
      </c>
      <c r="BS11" s="5" t="n">
        <f aca="false">BS6*Inputs!$B$18*(1+Inputs!$B$19)^(BS3-1)</f>
        <v>11828.6800931635</v>
      </c>
      <c r="BT11" s="5" t="n">
        <f aca="false">BT6*Inputs!$B$18*(1+Inputs!$B$19)^(BT3-1)</f>
        <v>11828.6800931635</v>
      </c>
      <c r="BU11" s="5" t="n">
        <f aca="false">BU6*Inputs!$B$18*(1+Inputs!$B$19)^(BU3-1)</f>
        <v>11828.6800931635</v>
      </c>
      <c r="BV11" s="5" t="n">
        <f aca="false">BV6*Inputs!$B$18*(1+Inputs!$B$19)^(BV3-1)</f>
        <v>11828.6800931635</v>
      </c>
      <c r="BW11" s="5" t="n">
        <f aca="false">BW6*Inputs!$B$18*(1+Inputs!$B$19)^(BW3-1)</f>
        <v>12065.2536950268</v>
      </c>
      <c r="BX11" s="5" t="n">
        <f aca="false">BX6*Inputs!$B$18*(1+Inputs!$B$19)^(BX3-1)</f>
        <v>12065.2536950268</v>
      </c>
      <c r="BY11" s="5" t="n">
        <f aca="false">BY6*Inputs!$B$18*(1+Inputs!$B$19)^(BY3-1)</f>
        <v>12065.2536950268</v>
      </c>
      <c r="BZ11" s="5" t="n">
        <f aca="false">BZ6*Inputs!$B$18*(1+Inputs!$B$19)^(BZ3-1)</f>
        <v>12065.2536950268</v>
      </c>
      <c r="CA11" s="5" t="n">
        <f aca="false">CA6*Inputs!$B$18*(1+Inputs!$B$19)^(CA3-1)</f>
        <v>12065.2536950268</v>
      </c>
      <c r="CB11" s="5" t="n">
        <f aca="false">CB6*Inputs!$B$18*(1+Inputs!$B$19)^(CB3-1)</f>
        <v>12065.2536950268</v>
      </c>
      <c r="CC11" s="5" t="n">
        <f aca="false">CC6*Inputs!$B$18*(1+Inputs!$B$19)^(CC3-1)</f>
        <v>12065.2536950268</v>
      </c>
      <c r="CD11" s="5" t="n">
        <f aca="false">CD6*Inputs!$B$18*(1+Inputs!$B$19)^(CD3-1)</f>
        <v>12065.2536950268</v>
      </c>
      <c r="CE11" s="5" t="n">
        <f aca="false">CE6*Inputs!$B$18*(1+Inputs!$B$19)^(CE3-1)</f>
        <v>12065.2536950268</v>
      </c>
      <c r="CF11" s="5" t="n">
        <f aca="false">CF6*Inputs!$B$18*(1+Inputs!$B$19)^(CF3-1)</f>
        <v>12065.2536950268</v>
      </c>
      <c r="CG11" s="5" t="n">
        <f aca="false">CG6*Inputs!$B$18*(1+Inputs!$B$19)^(CG3-1)</f>
        <v>12065.2536950268</v>
      </c>
      <c r="CH11" s="5" t="n">
        <f aca="false">CH6*Inputs!$B$18*(1+Inputs!$B$19)^(CH3-1)</f>
        <v>12065.2536950268</v>
      </c>
      <c r="CI11" s="5" t="n">
        <f aca="false">CI6*Inputs!$B$18*(1+Inputs!$B$19)^(CI3-1)</f>
        <v>12306.5587689273</v>
      </c>
      <c r="CJ11" s="5" t="n">
        <f aca="false">CJ6*Inputs!$B$18*(1+Inputs!$B$19)^(CJ3-1)</f>
        <v>12306.5587689273</v>
      </c>
      <c r="CK11" s="5" t="n">
        <f aca="false">CK6*Inputs!$B$18*(1+Inputs!$B$19)^(CK3-1)</f>
        <v>12306.5587689273</v>
      </c>
      <c r="CL11" s="5" t="n">
        <f aca="false">CL6*Inputs!$B$18*(1+Inputs!$B$19)^(CL3-1)</f>
        <v>12306.5587689273</v>
      </c>
      <c r="CM11" s="5" t="n">
        <f aca="false">CM6*Inputs!$B$18*(1+Inputs!$B$19)^(CM3-1)</f>
        <v>12306.5587689273</v>
      </c>
      <c r="CN11" s="5" t="n">
        <f aca="false">CN6*Inputs!$B$18*(1+Inputs!$B$19)^(CN3-1)</f>
        <v>12306.5587689273</v>
      </c>
      <c r="CO11" s="5" t="n">
        <f aca="false">CO6*Inputs!$B$18*(1+Inputs!$B$19)^(CO3-1)</f>
        <v>12306.5587689273</v>
      </c>
      <c r="CP11" s="5" t="n">
        <f aca="false">CP6*Inputs!$B$18*(1+Inputs!$B$19)^(CP3-1)</f>
        <v>12306.5587689273</v>
      </c>
      <c r="CQ11" s="5" t="n">
        <f aca="false">CQ6*Inputs!$B$18*(1+Inputs!$B$19)^(CQ3-1)</f>
        <v>12306.5587689273</v>
      </c>
      <c r="CR11" s="5" t="n">
        <f aca="false">CR6*Inputs!$B$18*(1+Inputs!$B$19)^(CR3-1)</f>
        <v>12306.5587689273</v>
      </c>
      <c r="CS11" s="5" t="n">
        <f aca="false">CS6*Inputs!$B$18*(1+Inputs!$B$19)^(CS3-1)</f>
        <v>12306.5587689273</v>
      </c>
      <c r="CT11" s="5" t="n">
        <f aca="false">CT6*Inputs!$B$18*(1+Inputs!$B$19)^(CT3-1)</f>
        <v>12306.5587689273</v>
      </c>
    </row>
    <row r="12" customFormat="false" ht="15" hidden="false" customHeight="false" outlineLevel="0" collapsed="false">
      <c r="B12" s="2" t="s">
        <v>162</v>
      </c>
      <c r="C12" s="5" t="n">
        <f aca="false">C10+C11</f>
        <v>0</v>
      </c>
      <c r="D12" s="5" t="n">
        <f aca="false">D10+D11</f>
        <v>0</v>
      </c>
      <c r="E12" s="5" t="n">
        <f aca="false">E10+E11</f>
        <v>0</v>
      </c>
      <c r="F12" s="5" t="n">
        <f aca="false">F10+F11</f>
        <v>0</v>
      </c>
      <c r="G12" s="5" t="n">
        <f aca="false">G10+G11</f>
        <v>0</v>
      </c>
      <c r="H12" s="5" t="n">
        <f aca="false">H10+H11</f>
        <v>0</v>
      </c>
      <c r="I12" s="5" t="n">
        <f aca="false">I10+I11</f>
        <v>0</v>
      </c>
      <c r="J12" s="5" t="n">
        <f aca="false">J10+J11</f>
        <v>0</v>
      </c>
      <c r="K12" s="5" t="n">
        <f aca="false">K10+K11</f>
        <v>0</v>
      </c>
      <c r="L12" s="5" t="n">
        <f aca="false">L10+L11</f>
        <v>0</v>
      </c>
      <c r="M12" s="5" t="n">
        <f aca="false">M10+M11</f>
        <v>0</v>
      </c>
      <c r="N12" s="5" t="n">
        <f aca="false">N10+N11</f>
        <v>0</v>
      </c>
      <c r="O12" s="5" t="n">
        <f aca="false">O10+O11</f>
        <v>0</v>
      </c>
      <c r="P12" s="5" t="n">
        <f aca="false">P10+P11</f>
        <v>41042.8068887755</v>
      </c>
      <c r="Q12" s="5" t="n">
        <f aca="false">Q10+Q11</f>
        <v>82085.613777551</v>
      </c>
      <c r="R12" s="5" t="n">
        <f aca="false">R10+R11</f>
        <v>123128.420666327</v>
      </c>
      <c r="S12" s="5" t="n">
        <f aca="false">S10+S11</f>
        <v>164171.227555102</v>
      </c>
      <c r="T12" s="5" t="n">
        <f aca="false">T10+T11</f>
        <v>205214.034443878</v>
      </c>
      <c r="U12" s="5" t="n">
        <f aca="false">U10+U11</f>
        <v>246256.841332653</v>
      </c>
      <c r="V12" s="5" t="n">
        <f aca="false">V10+V11</f>
        <v>287299.648221429</v>
      </c>
      <c r="W12" s="5" t="n">
        <f aca="false">W10+W11</f>
        <v>328342.455110204</v>
      </c>
      <c r="X12" s="5" t="n">
        <f aca="false">X10+X11</f>
        <v>369385.26199898</v>
      </c>
      <c r="Y12" s="5" t="n">
        <f aca="false">Y10+Y11</f>
        <v>410428.068887755</v>
      </c>
      <c r="Z12" s="5" t="n">
        <f aca="false">Z10+Z11</f>
        <v>451470.875776531</v>
      </c>
      <c r="AA12" s="5" t="n">
        <f aca="false">AA10+AA11</f>
        <v>502363.956318612</v>
      </c>
      <c r="AB12" s="5" t="n">
        <f aca="false">AB10+AB11</f>
        <v>544227.619345163</v>
      </c>
      <c r="AC12" s="5" t="n">
        <f aca="false">AC10+AC11</f>
        <v>545064.892605694</v>
      </c>
      <c r="AD12" s="5" t="n">
        <f aca="false">AD10+AD11</f>
        <v>545064.892605694</v>
      </c>
      <c r="AE12" s="5" t="n">
        <f aca="false">AE10+AE11</f>
        <v>545064.892605694</v>
      </c>
      <c r="AF12" s="5" t="n">
        <f aca="false">AF10+AF11</f>
        <v>545064.892605694</v>
      </c>
      <c r="AG12" s="5" t="n">
        <f aca="false">AG10+AG11</f>
        <v>545064.892605694</v>
      </c>
      <c r="AH12" s="5" t="n">
        <f aca="false">AH10+AH11</f>
        <v>545064.892605694</v>
      </c>
      <c r="AI12" s="5" t="n">
        <f aca="false">AI10+AI11</f>
        <v>545064.892605694</v>
      </c>
      <c r="AJ12" s="5" t="n">
        <f aca="false">AJ10+AJ11</f>
        <v>545064.892605694</v>
      </c>
      <c r="AK12" s="5" t="n">
        <f aca="false">AK10+AK11</f>
        <v>545064.892605694</v>
      </c>
      <c r="AL12" s="5" t="n">
        <f aca="false">AL10+AL11</f>
        <v>545064.892605694</v>
      </c>
      <c r="AM12" s="5" t="n">
        <f aca="false">AM10+AM11</f>
        <v>555966.190457808</v>
      </c>
      <c r="AN12" s="5" t="n">
        <f aca="false">AN10+AN11</f>
        <v>555966.190457808</v>
      </c>
      <c r="AO12" s="5" t="n">
        <f aca="false">AO10+AO11</f>
        <v>555966.190457808</v>
      </c>
      <c r="AP12" s="5" t="n">
        <f aca="false">AP10+AP11</f>
        <v>555966.190457808</v>
      </c>
      <c r="AQ12" s="5" t="n">
        <f aca="false">AQ10+AQ11</f>
        <v>555966.190457808</v>
      </c>
      <c r="AR12" s="5" t="n">
        <f aca="false">AR10+AR11</f>
        <v>555966.190457808</v>
      </c>
      <c r="AS12" s="5" t="n">
        <f aca="false">AS10+AS11</f>
        <v>555966.190457808</v>
      </c>
      <c r="AT12" s="5" t="n">
        <f aca="false">AT10+AT11</f>
        <v>555966.190457808</v>
      </c>
      <c r="AU12" s="5" t="n">
        <f aca="false">AU10+AU11</f>
        <v>555966.190457808</v>
      </c>
      <c r="AV12" s="5" t="n">
        <f aca="false">AV10+AV11</f>
        <v>555966.190457808</v>
      </c>
      <c r="AW12" s="5" t="n">
        <f aca="false">AW10+AW11</f>
        <v>555966.190457808</v>
      </c>
      <c r="AX12" s="5" t="n">
        <f aca="false">AX10+AX11</f>
        <v>555966.190457808</v>
      </c>
      <c r="AY12" s="5" t="n">
        <f aca="false">AY10+AY11</f>
        <v>567085.514266964</v>
      </c>
      <c r="AZ12" s="5" t="n">
        <f aca="false">AZ10+AZ11</f>
        <v>567085.514266964</v>
      </c>
      <c r="BA12" s="5" t="n">
        <f aca="false">BA10+BA11</f>
        <v>567085.514266964</v>
      </c>
      <c r="BB12" s="5" t="n">
        <f aca="false">BB10+BB11</f>
        <v>567085.514266964</v>
      </c>
      <c r="BC12" s="5" t="n">
        <f aca="false">BC10+BC11</f>
        <v>567085.514266964</v>
      </c>
      <c r="BD12" s="5" t="n">
        <f aca="false">BD10+BD11</f>
        <v>567085.514266964</v>
      </c>
      <c r="BE12" s="5" t="n">
        <f aca="false">BE10+BE11</f>
        <v>567085.514266964</v>
      </c>
      <c r="BF12" s="5" t="n">
        <f aca="false">BF10+BF11</f>
        <v>567085.514266964</v>
      </c>
      <c r="BG12" s="5" t="n">
        <f aca="false">BG10+BG11</f>
        <v>567085.514266964</v>
      </c>
      <c r="BH12" s="5" t="n">
        <f aca="false">BH10+BH11</f>
        <v>567085.514266964</v>
      </c>
      <c r="BI12" s="5" t="n">
        <f aca="false">BI10+BI11</f>
        <v>567085.514266964</v>
      </c>
      <c r="BJ12" s="5" t="n">
        <f aca="false">BJ10+BJ11</f>
        <v>567085.514266964</v>
      </c>
      <c r="BK12" s="5" t="n">
        <f aca="false">BK10+BK11</f>
        <v>578427.224552303</v>
      </c>
      <c r="BL12" s="5" t="n">
        <f aca="false">BL10+BL11</f>
        <v>578427.224552303</v>
      </c>
      <c r="BM12" s="5" t="n">
        <f aca="false">BM10+BM11</f>
        <v>578427.224552303</v>
      </c>
      <c r="BN12" s="5" t="n">
        <f aca="false">BN10+BN11</f>
        <v>578427.224552303</v>
      </c>
      <c r="BO12" s="5" t="n">
        <f aca="false">BO10+BO11</f>
        <v>578427.224552303</v>
      </c>
      <c r="BP12" s="5" t="n">
        <f aca="false">BP10+BP11</f>
        <v>578427.224552303</v>
      </c>
      <c r="BQ12" s="5" t="n">
        <f aca="false">BQ10+BQ11</f>
        <v>578427.224552303</v>
      </c>
      <c r="BR12" s="5" t="n">
        <f aca="false">BR10+BR11</f>
        <v>578427.224552303</v>
      </c>
      <c r="BS12" s="5" t="n">
        <f aca="false">BS10+BS11</f>
        <v>578427.224552303</v>
      </c>
      <c r="BT12" s="5" t="n">
        <f aca="false">BT10+BT11</f>
        <v>578427.224552303</v>
      </c>
      <c r="BU12" s="5" t="n">
        <f aca="false">BU10+BU11</f>
        <v>578427.224552303</v>
      </c>
      <c r="BV12" s="5" t="n">
        <f aca="false">BV10+BV11</f>
        <v>578427.224552303</v>
      </c>
      <c r="BW12" s="5" t="n">
        <f aca="false">BW10+BW11</f>
        <v>589995.76904335</v>
      </c>
      <c r="BX12" s="5" t="n">
        <f aca="false">BX10+BX11</f>
        <v>589995.76904335</v>
      </c>
      <c r="BY12" s="5" t="n">
        <f aca="false">BY10+BY11</f>
        <v>589995.76904335</v>
      </c>
      <c r="BZ12" s="5" t="n">
        <f aca="false">BZ10+BZ11</f>
        <v>589995.76904335</v>
      </c>
      <c r="CA12" s="5" t="n">
        <f aca="false">CA10+CA11</f>
        <v>589995.76904335</v>
      </c>
      <c r="CB12" s="5" t="n">
        <f aca="false">CB10+CB11</f>
        <v>589995.76904335</v>
      </c>
      <c r="CC12" s="5" t="n">
        <f aca="false">CC10+CC11</f>
        <v>589995.76904335</v>
      </c>
      <c r="CD12" s="5" t="n">
        <f aca="false">CD10+CD11</f>
        <v>589995.76904335</v>
      </c>
      <c r="CE12" s="5" t="n">
        <f aca="false">CE10+CE11</f>
        <v>589995.76904335</v>
      </c>
      <c r="CF12" s="5" t="n">
        <f aca="false">CF10+CF11</f>
        <v>589995.76904335</v>
      </c>
      <c r="CG12" s="5" t="n">
        <f aca="false">CG10+CG11</f>
        <v>589995.76904335</v>
      </c>
      <c r="CH12" s="5" t="n">
        <f aca="false">CH10+CH11</f>
        <v>589995.76904335</v>
      </c>
      <c r="CI12" s="5" t="n">
        <f aca="false">CI10+CI11</f>
        <v>601795.684424217</v>
      </c>
      <c r="CJ12" s="5" t="n">
        <f aca="false">CJ10+CJ11</f>
        <v>601795.684424217</v>
      </c>
      <c r="CK12" s="5" t="n">
        <f aca="false">CK10+CK11</f>
        <v>601795.684424217</v>
      </c>
      <c r="CL12" s="5" t="n">
        <f aca="false">CL10+CL11</f>
        <v>601795.684424217</v>
      </c>
      <c r="CM12" s="5" t="n">
        <f aca="false">CM10+CM11</f>
        <v>601795.684424217</v>
      </c>
      <c r="CN12" s="5" t="n">
        <f aca="false">CN10+CN11</f>
        <v>601795.684424217</v>
      </c>
      <c r="CO12" s="5" t="n">
        <f aca="false">CO10+CO11</f>
        <v>601795.684424217</v>
      </c>
      <c r="CP12" s="5" t="n">
        <f aca="false">CP10+CP11</f>
        <v>601795.684424217</v>
      </c>
      <c r="CQ12" s="5" t="n">
        <f aca="false">CQ10+CQ11</f>
        <v>601795.684424217</v>
      </c>
      <c r="CR12" s="5" t="n">
        <f aca="false">CR10+CR11</f>
        <v>601795.684424217</v>
      </c>
      <c r="CS12" s="5" t="n">
        <f aca="false">CS10+CS11</f>
        <v>601795.684424217</v>
      </c>
      <c r="CT12" s="5" t="n">
        <f aca="false">CT10+CT11</f>
        <v>601795.684424217</v>
      </c>
    </row>
    <row r="14" customFormat="false" ht="15" hidden="false" customHeight="false" outlineLevel="0" collapsed="false">
      <c r="B14" s="26" t="s">
        <v>67</v>
      </c>
      <c r="C14" s="5" t="n">
        <f aca="false">IF(C1&gt;=Inputs!$B$10-Inputs!$D$35,-(Inputs!$B$35*Inputs!$B$6/12)*(1+Inputs!$B$48)^(C3-1)*(Inputs!$C$35+(1-Inputs!$C$35)*C6/Inputs!$B$6),0)</f>
        <v>0</v>
      </c>
      <c r="D14" s="5" t="n">
        <f aca="false">IF(D1&gt;=Inputs!$B$10-Inputs!$D$35,-(Inputs!$B$35*Inputs!$B$6/12)*(1+Inputs!$B$48)^(D3-1)*(Inputs!$C$35+(1-Inputs!$C$35)*D6/Inputs!$B$6),0)</f>
        <v>0</v>
      </c>
      <c r="E14" s="5" t="n">
        <f aca="false">IF(E1&gt;=Inputs!$B$10-Inputs!$D$35,-(Inputs!$B$35*Inputs!$B$6/12)*(1+Inputs!$B$48)^(E3-1)*(Inputs!$C$35+(1-Inputs!$C$35)*E6/Inputs!$B$6),0)</f>
        <v>0</v>
      </c>
      <c r="F14" s="5" t="n">
        <f aca="false">IF(F1&gt;=Inputs!$B$10-Inputs!$D$35,-(Inputs!$B$35*Inputs!$B$6/12)*(1+Inputs!$B$48)^(F3-1)*(Inputs!$C$35+(1-Inputs!$C$35)*F6/Inputs!$B$6),0)</f>
        <v>0</v>
      </c>
      <c r="G14" s="5" t="n">
        <f aca="false">IF(G1&gt;=Inputs!$B$10-Inputs!$D$35,-(Inputs!$B$35*Inputs!$B$6/12)*(1+Inputs!$B$48)^(G3-1)*(Inputs!$C$35+(1-Inputs!$C$35)*G6/Inputs!$B$6),0)</f>
        <v>0</v>
      </c>
      <c r="H14" s="5" t="n">
        <f aca="false">IF(H1&gt;=Inputs!$B$10-Inputs!$D$35,-(Inputs!$B$35*Inputs!$B$6/12)*(1+Inputs!$B$48)^(H3-1)*(Inputs!$C$35+(1-Inputs!$C$35)*H6/Inputs!$B$6),0)</f>
        <v>0</v>
      </c>
      <c r="I14" s="5" t="n">
        <f aca="false">IF(I1&gt;=Inputs!$B$10-Inputs!$D$35,-(Inputs!$B$35*Inputs!$B$6/12)*(1+Inputs!$B$48)^(I3-1)*(Inputs!$C$35+(1-Inputs!$C$35)*I6/Inputs!$B$6),0)</f>
        <v>0</v>
      </c>
      <c r="J14" s="5" t="n">
        <f aca="false">IF(J1&gt;=Inputs!$B$10-Inputs!$D$35,-(Inputs!$B$35*Inputs!$B$6/12)*(1+Inputs!$B$48)^(J3-1)*(Inputs!$C$35+(1-Inputs!$C$35)*J6/Inputs!$B$6),0)</f>
        <v>0</v>
      </c>
      <c r="K14" s="5" t="n">
        <f aca="false">IF(K1&gt;=Inputs!$B$10-Inputs!$D$35,-(Inputs!$B$35*Inputs!$B$6/12)*(1+Inputs!$B$48)^(K3-1)*(Inputs!$C$35+(1-Inputs!$C$35)*K6/Inputs!$B$6),0)</f>
        <v>0</v>
      </c>
      <c r="L14" s="5" t="n">
        <f aca="false">IF(L1&gt;=Inputs!$B$10-Inputs!$D$35,-(Inputs!$B$35*Inputs!$B$6/12)*(1+Inputs!$B$48)^(L3-1)*(Inputs!$C$35+(1-Inputs!$C$35)*L6/Inputs!$B$6),0)</f>
        <v>-41160</v>
      </c>
      <c r="M14" s="5" t="n">
        <f aca="false">IF(M1&gt;=Inputs!$B$10-Inputs!$D$35,-(Inputs!$B$35*Inputs!$B$6/12)*(1+Inputs!$B$48)^(M3-1)*(Inputs!$C$35+(1-Inputs!$C$35)*M6/Inputs!$B$6),0)</f>
        <v>-41160</v>
      </c>
      <c r="N14" s="5" t="n">
        <f aca="false">IF(N1&gt;=Inputs!$B$10-Inputs!$D$35,-(Inputs!$B$35*Inputs!$B$6/12)*(1+Inputs!$B$48)^(N3-1)*(Inputs!$C$35+(1-Inputs!$C$35)*N6/Inputs!$B$6),0)</f>
        <v>-41160</v>
      </c>
      <c r="O14" s="5" t="n">
        <f aca="false">IF(O1&gt;=Inputs!$B$10-Inputs!$D$35,-(Inputs!$B$35*Inputs!$B$6/12)*(1+Inputs!$B$48)^(O3-1)*(Inputs!$C$35+(1-Inputs!$C$35)*O6/Inputs!$B$6),0)</f>
        <v>-42189</v>
      </c>
      <c r="P14" s="5" t="n">
        <f aca="false">IF(P1&gt;=Inputs!$B$10-Inputs!$D$35,-(Inputs!$B$35*Inputs!$B$6/12)*(1+Inputs!$B$48)^(P3-1)*(Inputs!$C$35+(1-Inputs!$C$35)*P6/Inputs!$B$6),0)</f>
        <v>-42189</v>
      </c>
      <c r="Q14" s="5" t="n">
        <f aca="false">IF(Q1&gt;=Inputs!$B$10-Inputs!$D$35,-(Inputs!$B$35*Inputs!$B$6/12)*(1+Inputs!$B$48)^(Q3-1)*(Inputs!$C$35+(1-Inputs!$C$35)*Q6/Inputs!$B$6),0)</f>
        <v>-42189</v>
      </c>
      <c r="R14" s="5" t="n">
        <f aca="false">IF(R1&gt;=Inputs!$B$10-Inputs!$D$35,-(Inputs!$B$35*Inputs!$B$6/12)*(1+Inputs!$B$48)^(R3-1)*(Inputs!$C$35+(1-Inputs!$C$35)*R6/Inputs!$B$6),0)</f>
        <v>-42189</v>
      </c>
      <c r="S14" s="5" t="n">
        <f aca="false">IF(S1&gt;=Inputs!$B$10-Inputs!$D$35,-(Inputs!$B$35*Inputs!$B$6/12)*(1+Inputs!$B$48)^(S3-1)*(Inputs!$C$35+(1-Inputs!$C$35)*S6/Inputs!$B$6),0)</f>
        <v>-42189</v>
      </c>
      <c r="T14" s="5" t="n">
        <f aca="false">IF(T1&gt;=Inputs!$B$10-Inputs!$D$35,-(Inputs!$B$35*Inputs!$B$6/12)*(1+Inputs!$B$48)^(T3-1)*(Inputs!$C$35+(1-Inputs!$C$35)*T6/Inputs!$B$6),0)</f>
        <v>-42189</v>
      </c>
      <c r="U14" s="5" t="n">
        <f aca="false">IF(U1&gt;=Inputs!$B$10-Inputs!$D$35,-(Inputs!$B$35*Inputs!$B$6/12)*(1+Inputs!$B$48)^(U3-1)*(Inputs!$C$35+(1-Inputs!$C$35)*U6/Inputs!$B$6),0)</f>
        <v>-42189</v>
      </c>
      <c r="V14" s="5" t="n">
        <f aca="false">IF(V1&gt;=Inputs!$B$10-Inputs!$D$35,-(Inputs!$B$35*Inputs!$B$6/12)*(1+Inputs!$B$48)^(V3-1)*(Inputs!$C$35+(1-Inputs!$C$35)*V6/Inputs!$B$6),0)</f>
        <v>-42189</v>
      </c>
      <c r="W14" s="5" t="n">
        <f aca="false">IF(W1&gt;=Inputs!$B$10-Inputs!$D$35,-(Inputs!$B$35*Inputs!$B$6/12)*(1+Inputs!$B$48)^(W3-1)*(Inputs!$C$35+(1-Inputs!$C$35)*W6/Inputs!$B$6),0)</f>
        <v>-42189</v>
      </c>
      <c r="X14" s="5" t="n">
        <f aca="false">IF(X1&gt;=Inputs!$B$10-Inputs!$D$35,-(Inputs!$B$35*Inputs!$B$6/12)*(1+Inputs!$B$48)^(X3-1)*(Inputs!$C$35+(1-Inputs!$C$35)*X6/Inputs!$B$6),0)</f>
        <v>-42189</v>
      </c>
      <c r="Y14" s="5" t="n">
        <f aca="false">IF(Y1&gt;=Inputs!$B$10-Inputs!$D$35,-(Inputs!$B$35*Inputs!$B$6/12)*(1+Inputs!$B$48)^(Y3-1)*(Inputs!$C$35+(1-Inputs!$C$35)*Y6/Inputs!$B$6),0)</f>
        <v>-42189</v>
      </c>
      <c r="Z14" s="5" t="n">
        <f aca="false">IF(Z1&gt;=Inputs!$B$10-Inputs!$D$35,-(Inputs!$B$35*Inputs!$B$6/12)*(1+Inputs!$B$48)^(Z3-1)*(Inputs!$C$35+(1-Inputs!$C$35)*Z6/Inputs!$B$6),0)</f>
        <v>-42189</v>
      </c>
      <c r="AA14" s="5" t="n">
        <f aca="false">IF(AA1&gt;=Inputs!$B$10-Inputs!$D$35,-(Inputs!$B$35*Inputs!$B$6/12)*(1+Inputs!$B$48)^(AA3-1)*(Inputs!$C$35+(1-Inputs!$C$35)*AA6/Inputs!$B$6),0)</f>
        <v>-43243.725</v>
      </c>
      <c r="AB14" s="5" t="n">
        <f aca="false">IF(AB1&gt;=Inputs!$B$10-Inputs!$D$35,-(Inputs!$B$35*Inputs!$B$6/12)*(1+Inputs!$B$48)^(AB3-1)*(Inputs!$C$35+(1-Inputs!$C$35)*AB6/Inputs!$B$6),0)</f>
        <v>-43243.725</v>
      </c>
      <c r="AC14" s="5" t="n">
        <f aca="false">IF(AC1&gt;=Inputs!$B$10-Inputs!$D$35,-(Inputs!$B$35*Inputs!$B$6/12)*(1+Inputs!$B$48)^(AC3-1)*(Inputs!$C$35+(1-Inputs!$C$35)*AC6/Inputs!$B$6),0)</f>
        <v>-43243.725</v>
      </c>
      <c r="AD14" s="5" t="n">
        <f aca="false">IF(AD1&gt;=Inputs!$B$10-Inputs!$D$35,-(Inputs!$B$35*Inputs!$B$6/12)*(1+Inputs!$B$48)^(AD3-1)*(Inputs!$C$35+(1-Inputs!$C$35)*AD6/Inputs!$B$6),0)</f>
        <v>-43243.725</v>
      </c>
      <c r="AE14" s="5" t="n">
        <f aca="false">IF(AE1&gt;=Inputs!$B$10-Inputs!$D$35,-(Inputs!$B$35*Inputs!$B$6/12)*(1+Inputs!$B$48)^(AE3-1)*(Inputs!$C$35+(1-Inputs!$C$35)*AE6/Inputs!$B$6),0)</f>
        <v>-43243.725</v>
      </c>
      <c r="AF14" s="5" t="n">
        <f aca="false">IF(AF1&gt;=Inputs!$B$10-Inputs!$D$35,-(Inputs!$B$35*Inputs!$B$6/12)*(1+Inputs!$B$48)^(AF3-1)*(Inputs!$C$35+(1-Inputs!$C$35)*AF6/Inputs!$B$6),0)</f>
        <v>-43243.725</v>
      </c>
      <c r="AG14" s="5" t="n">
        <f aca="false">IF(AG1&gt;=Inputs!$B$10-Inputs!$D$35,-(Inputs!$B$35*Inputs!$B$6/12)*(1+Inputs!$B$48)^(AG3-1)*(Inputs!$C$35+(1-Inputs!$C$35)*AG6/Inputs!$B$6),0)</f>
        <v>-43243.725</v>
      </c>
      <c r="AH14" s="5" t="n">
        <f aca="false">IF(AH1&gt;=Inputs!$B$10-Inputs!$D$35,-(Inputs!$B$35*Inputs!$B$6/12)*(1+Inputs!$B$48)^(AH3-1)*(Inputs!$C$35+(1-Inputs!$C$35)*AH6/Inputs!$B$6),0)</f>
        <v>-43243.725</v>
      </c>
      <c r="AI14" s="5" t="n">
        <f aca="false">IF(AI1&gt;=Inputs!$B$10-Inputs!$D$35,-(Inputs!$B$35*Inputs!$B$6/12)*(1+Inputs!$B$48)^(AI3-1)*(Inputs!$C$35+(1-Inputs!$C$35)*AI6/Inputs!$B$6),0)</f>
        <v>-43243.725</v>
      </c>
      <c r="AJ14" s="5" t="n">
        <f aca="false">IF(AJ1&gt;=Inputs!$B$10-Inputs!$D$35,-(Inputs!$B$35*Inputs!$B$6/12)*(1+Inputs!$B$48)^(AJ3-1)*(Inputs!$C$35+(1-Inputs!$C$35)*AJ6/Inputs!$B$6),0)</f>
        <v>-43243.725</v>
      </c>
      <c r="AK14" s="5" t="n">
        <f aca="false">IF(AK1&gt;=Inputs!$B$10-Inputs!$D$35,-(Inputs!$B$35*Inputs!$B$6/12)*(1+Inputs!$B$48)^(AK3-1)*(Inputs!$C$35+(1-Inputs!$C$35)*AK6/Inputs!$B$6),0)</f>
        <v>-43243.725</v>
      </c>
      <c r="AL14" s="5" t="n">
        <f aca="false">IF(AL1&gt;=Inputs!$B$10-Inputs!$D$35,-(Inputs!$B$35*Inputs!$B$6/12)*(1+Inputs!$B$48)^(AL3-1)*(Inputs!$C$35+(1-Inputs!$C$35)*AL6/Inputs!$B$6),0)</f>
        <v>-43243.725</v>
      </c>
      <c r="AM14" s="5" t="n">
        <f aca="false">IF(AM1&gt;=Inputs!$B$10-Inputs!$D$35,-(Inputs!$B$35*Inputs!$B$6/12)*(1+Inputs!$B$48)^(AM3-1)*(Inputs!$C$35+(1-Inputs!$C$35)*AM6/Inputs!$B$6),0)</f>
        <v>-44324.818125</v>
      </c>
      <c r="AN14" s="5" t="n">
        <f aca="false">IF(AN1&gt;=Inputs!$B$10-Inputs!$D$35,-(Inputs!$B$35*Inputs!$B$6/12)*(1+Inputs!$B$48)^(AN3-1)*(Inputs!$C$35+(1-Inputs!$C$35)*AN6/Inputs!$B$6),0)</f>
        <v>-44324.818125</v>
      </c>
      <c r="AO14" s="5" t="n">
        <f aca="false">IF(AO1&gt;=Inputs!$B$10-Inputs!$D$35,-(Inputs!$B$35*Inputs!$B$6/12)*(1+Inputs!$B$48)^(AO3-1)*(Inputs!$C$35+(1-Inputs!$C$35)*AO6/Inputs!$B$6),0)</f>
        <v>-44324.818125</v>
      </c>
      <c r="AP14" s="5" t="n">
        <f aca="false">IF(AP1&gt;=Inputs!$B$10-Inputs!$D$35,-(Inputs!$B$35*Inputs!$B$6/12)*(1+Inputs!$B$48)^(AP3-1)*(Inputs!$C$35+(1-Inputs!$C$35)*AP6/Inputs!$B$6),0)</f>
        <v>-44324.818125</v>
      </c>
      <c r="AQ14" s="5" t="n">
        <f aca="false">IF(AQ1&gt;=Inputs!$B$10-Inputs!$D$35,-(Inputs!$B$35*Inputs!$B$6/12)*(1+Inputs!$B$48)^(AQ3-1)*(Inputs!$C$35+(1-Inputs!$C$35)*AQ6/Inputs!$B$6),0)</f>
        <v>-44324.818125</v>
      </c>
      <c r="AR14" s="5" t="n">
        <f aca="false">IF(AR1&gt;=Inputs!$B$10-Inputs!$D$35,-(Inputs!$B$35*Inputs!$B$6/12)*(1+Inputs!$B$48)^(AR3-1)*(Inputs!$C$35+(1-Inputs!$C$35)*AR6/Inputs!$B$6),0)</f>
        <v>-44324.818125</v>
      </c>
      <c r="AS14" s="5" t="n">
        <f aca="false">IF(AS1&gt;=Inputs!$B$10-Inputs!$D$35,-(Inputs!$B$35*Inputs!$B$6/12)*(1+Inputs!$B$48)^(AS3-1)*(Inputs!$C$35+(1-Inputs!$C$35)*AS6/Inputs!$B$6),0)</f>
        <v>-44324.818125</v>
      </c>
      <c r="AT14" s="5" t="n">
        <f aca="false">IF(AT1&gt;=Inputs!$B$10-Inputs!$D$35,-(Inputs!$B$35*Inputs!$B$6/12)*(1+Inputs!$B$48)^(AT3-1)*(Inputs!$C$35+(1-Inputs!$C$35)*AT6/Inputs!$B$6),0)</f>
        <v>-44324.818125</v>
      </c>
      <c r="AU14" s="5" t="n">
        <f aca="false">IF(AU1&gt;=Inputs!$B$10-Inputs!$D$35,-(Inputs!$B$35*Inputs!$B$6/12)*(1+Inputs!$B$48)^(AU3-1)*(Inputs!$C$35+(1-Inputs!$C$35)*AU6/Inputs!$B$6),0)</f>
        <v>-44324.818125</v>
      </c>
      <c r="AV14" s="5" t="n">
        <f aca="false">IF(AV1&gt;=Inputs!$B$10-Inputs!$D$35,-(Inputs!$B$35*Inputs!$B$6/12)*(1+Inputs!$B$48)^(AV3-1)*(Inputs!$C$35+(1-Inputs!$C$35)*AV6/Inputs!$B$6),0)</f>
        <v>-44324.818125</v>
      </c>
      <c r="AW14" s="5" t="n">
        <f aca="false">IF(AW1&gt;=Inputs!$B$10-Inputs!$D$35,-(Inputs!$B$35*Inputs!$B$6/12)*(1+Inputs!$B$48)^(AW3-1)*(Inputs!$C$35+(1-Inputs!$C$35)*AW6/Inputs!$B$6),0)</f>
        <v>-44324.818125</v>
      </c>
      <c r="AX14" s="5" t="n">
        <f aca="false">IF(AX1&gt;=Inputs!$B$10-Inputs!$D$35,-(Inputs!$B$35*Inputs!$B$6/12)*(1+Inputs!$B$48)^(AX3-1)*(Inputs!$C$35+(1-Inputs!$C$35)*AX6/Inputs!$B$6),0)</f>
        <v>-44324.818125</v>
      </c>
      <c r="AY14" s="5" t="n">
        <f aca="false">IF(AY1&gt;=Inputs!$B$10-Inputs!$D$35,-(Inputs!$B$35*Inputs!$B$6/12)*(1+Inputs!$B$48)^(AY3-1)*(Inputs!$C$35+(1-Inputs!$C$35)*AY6/Inputs!$B$6),0)</f>
        <v>-45432.938578125</v>
      </c>
      <c r="AZ14" s="5" t="n">
        <f aca="false">IF(AZ1&gt;=Inputs!$B$10-Inputs!$D$35,-(Inputs!$B$35*Inputs!$B$6/12)*(1+Inputs!$B$48)^(AZ3-1)*(Inputs!$C$35+(1-Inputs!$C$35)*AZ6/Inputs!$B$6),0)</f>
        <v>-45432.938578125</v>
      </c>
      <c r="BA14" s="5" t="n">
        <f aca="false">IF(BA1&gt;=Inputs!$B$10-Inputs!$D$35,-(Inputs!$B$35*Inputs!$B$6/12)*(1+Inputs!$B$48)^(BA3-1)*(Inputs!$C$35+(1-Inputs!$C$35)*BA6/Inputs!$B$6),0)</f>
        <v>-45432.938578125</v>
      </c>
      <c r="BB14" s="5" t="n">
        <f aca="false">IF(BB1&gt;=Inputs!$B$10-Inputs!$D$35,-(Inputs!$B$35*Inputs!$B$6/12)*(1+Inputs!$B$48)^(BB3-1)*(Inputs!$C$35+(1-Inputs!$C$35)*BB6/Inputs!$B$6),0)</f>
        <v>-45432.938578125</v>
      </c>
      <c r="BC14" s="5" t="n">
        <f aca="false">IF(BC1&gt;=Inputs!$B$10-Inputs!$D$35,-(Inputs!$B$35*Inputs!$B$6/12)*(1+Inputs!$B$48)^(BC3-1)*(Inputs!$C$35+(1-Inputs!$C$35)*BC6/Inputs!$B$6),0)</f>
        <v>-45432.938578125</v>
      </c>
      <c r="BD14" s="5" t="n">
        <f aca="false">IF(BD1&gt;=Inputs!$B$10-Inputs!$D$35,-(Inputs!$B$35*Inputs!$B$6/12)*(1+Inputs!$B$48)^(BD3-1)*(Inputs!$C$35+(1-Inputs!$C$35)*BD6/Inputs!$B$6),0)</f>
        <v>-45432.938578125</v>
      </c>
      <c r="BE14" s="5" t="n">
        <f aca="false">IF(BE1&gt;=Inputs!$B$10-Inputs!$D$35,-(Inputs!$B$35*Inputs!$B$6/12)*(1+Inputs!$B$48)^(BE3-1)*(Inputs!$C$35+(1-Inputs!$C$35)*BE6/Inputs!$B$6),0)</f>
        <v>-45432.938578125</v>
      </c>
      <c r="BF14" s="5" t="n">
        <f aca="false">IF(BF1&gt;=Inputs!$B$10-Inputs!$D$35,-(Inputs!$B$35*Inputs!$B$6/12)*(1+Inputs!$B$48)^(BF3-1)*(Inputs!$C$35+(1-Inputs!$C$35)*BF6/Inputs!$B$6),0)</f>
        <v>-45432.938578125</v>
      </c>
      <c r="BG14" s="5" t="n">
        <f aca="false">IF(BG1&gt;=Inputs!$B$10-Inputs!$D$35,-(Inputs!$B$35*Inputs!$B$6/12)*(1+Inputs!$B$48)^(BG3-1)*(Inputs!$C$35+(1-Inputs!$C$35)*BG6/Inputs!$B$6),0)</f>
        <v>-45432.938578125</v>
      </c>
      <c r="BH14" s="5" t="n">
        <f aca="false">IF(BH1&gt;=Inputs!$B$10-Inputs!$D$35,-(Inputs!$B$35*Inputs!$B$6/12)*(1+Inputs!$B$48)^(BH3-1)*(Inputs!$C$35+(1-Inputs!$C$35)*BH6/Inputs!$B$6),0)</f>
        <v>-45432.938578125</v>
      </c>
      <c r="BI14" s="5" t="n">
        <f aca="false">IF(BI1&gt;=Inputs!$B$10-Inputs!$D$35,-(Inputs!$B$35*Inputs!$B$6/12)*(1+Inputs!$B$48)^(BI3-1)*(Inputs!$C$35+(1-Inputs!$C$35)*BI6/Inputs!$B$6),0)</f>
        <v>-45432.938578125</v>
      </c>
      <c r="BJ14" s="5" t="n">
        <f aca="false">IF(BJ1&gt;=Inputs!$B$10-Inputs!$D$35,-(Inputs!$B$35*Inputs!$B$6/12)*(1+Inputs!$B$48)^(BJ3-1)*(Inputs!$C$35+(1-Inputs!$C$35)*BJ6/Inputs!$B$6),0)</f>
        <v>-45432.938578125</v>
      </c>
      <c r="BK14" s="5" t="n">
        <f aca="false">IF(BK1&gt;=Inputs!$B$10-Inputs!$D$35,-(Inputs!$B$35*Inputs!$B$6/12)*(1+Inputs!$B$48)^(BK3-1)*(Inputs!$C$35+(1-Inputs!$C$35)*BK6/Inputs!$B$6),0)</f>
        <v>-46568.7620425781</v>
      </c>
      <c r="BL14" s="5" t="n">
        <f aca="false">IF(BL1&gt;=Inputs!$B$10-Inputs!$D$35,-(Inputs!$B$35*Inputs!$B$6/12)*(1+Inputs!$B$48)^(BL3-1)*(Inputs!$C$35+(1-Inputs!$C$35)*BL6/Inputs!$B$6),0)</f>
        <v>-46568.7620425781</v>
      </c>
      <c r="BM14" s="5" t="n">
        <f aca="false">IF(BM1&gt;=Inputs!$B$10-Inputs!$D$35,-(Inputs!$B$35*Inputs!$B$6/12)*(1+Inputs!$B$48)^(BM3-1)*(Inputs!$C$35+(1-Inputs!$C$35)*BM6/Inputs!$B$6),0)</f>
        <v>-46568.7620425781</v>
      </c>
      <c r="BN14" s="5" t="n">
        <f aca="false">IF(BN1&gt;=Inputs!$B$10-Inputs!$D$35,-(Inputs!$B$35*Inputs!$B$6/12)*(1+Inputs!$B$48)^(BN3-1)*(Inputs!$C$35+(1-Inputs!$C$35)*BN6/Inputs!$B$6),0)</f>
        <v>-46568.7620425781</v>
      </c>
      <c r="BO14" s="5" t="n">
        <f aca="false">IF(BO1&gt;=Inputs!$B$10-Inputs!$D$35,-(Inputs!$B$35*Inputs!$B$6/12)*(1+Inputs!$B$48)^(BO3-1)*(Inputs!$C$35+(1-Inputs!$C$35)*BO6/Inputs!$B$6),0)</f>
        <v>-46568.7620425781</v>
      </c>
      <c r="BP14" s="5" t="n">
        <f aca="false">IF(BP1&gt;=Inputs!$B$10-Inputs!$D$35,-(Inputs!$B$35*Inputs!$B$6/12)*(1+Inputs!$B$48)^(BP3-1)*(Inputs!$C$35+(1-Inputs!$C$35)*BP6/Inputs!$B$6),0)</f>
        <v>-46568.7620425781</v>
      </c>
      <c r="BQ14" s="5" t="n">
        <f aca="false">IF(BQ1&gt;=Inputs!$B$10-Inputs!$D$35,-(Inputs!$B$35*Inputs!$B$6/12)*(1+Inputs!$B$48)^(BQ3-1)*(Inputs!$C$35+(1-Inputs!$C$35)*BQ6/Inputs!$B$6),0)</f>
        <v>-46568.7620425781</v>
      </c>
      <c r="BR14" s="5" t="n">
        <f aca="false">IF(BR1&gt;=Inputs!$B$10-Inputs!$D$35,-(Inputs!$B$35*Inputs!$B$6/12)*(1+Inputs!$B$48)^(BR3-1)*(Inputs!$C$35+(1-Inputs!$C$35)*BR6/Inputs!$B$6),0)</f>
        <v>-46568.7620425781</v>
      </c>
      <c r="BS14" s="5" t="n">
        <f aca="false">IF(BS1&gt;=Inputs!$B$10-Inputs!$D$35,-(Inputs!$B$35*Inputs!$B$6/12)*(1+Inputs!$B$48)^(BS3-1)*(Inputs!$C$35+(1-Inputs!$C$35)*BS6/Inputs!$B$6),0)</f>
        <v>-46568.7620425781</v>
      </c>
      <c r="BT14" s="5" t="n">
        <f aca="false">IF(BT1&gt;=Inputs!$B$10-Inputs!$D$35,-(Inputs!$B$35*Inputs!$B$6/12)*(1+Inputs!$B$48)^(BT3-1)*(Inputs!$C$35+(1-Inputs!$C$35)*BT6/Inputs!$B$6),0)</f>
        <v>-46568.7620425781</v>
      </c>
      <c r="BU14" s="5" t="n">
        <f aca="false">IF(BU1&gt;=Inputs!$B$10-Inputs!$D$35,-(Inputs!$B$35*Inputs!$B$6/12)*(1+Inputs!$B$48)^(BU3-1)*(Inputs!$C$35+(1-Inputs!$C$35)*BU6/Inputs!$B$6),0)</f>
        <v>-46568.7620425781</v>
      </c>
      <c r="BV14" s="5" t="n">
        <f aca="false">IF(BV1&gt;=Inputs!$B$10-Inputs!$D$35,-(Inputs!$B$35*Inputs!$B$6/12)*(1+Inputs!$B$48)^(BV3-1)*(Inputs!$C$35+(1-Inputs!$C$35)*BV6/Inputs!$B$6),0)</f>
        <v>-46568.7620425781</v>
      </c>
      <c r="BW14" s="5" t="n">
        <f aca="false">IF(BW1&gt;=Inputs!$B$10-Inputs!$D$35,-(Inputs!$B$35*Inputs!$B$6/12)*(1+Inputs!$B$48)^(BW3-1)*(Inputs!$C$35+(1-Inputs!$C$35)*BW6/Inputs!$B$6),0)</f>
        <v>-47732.9810936426</v>
      </c>
      <c r="BX14" s="5" t="n">
        <f aca="false">IF(BX1&gt;=Inputs!$B$10-Inputs!$D$35,-(Inputs!$B$35*Inputs!$B$6/12)*(1+Inputs!$B$48)^(BX3-1)*(Inputs!$C$35+(1-Inputs!$C$35)*BX6/Inputs!$B$6),0)</f>
        <v>-47732.9810936426</v>
      </c>
      <c r="BY14" s="5" t="n">
        <f aca="false">IF(BY1&gt;=Inputs!$B$10-Inputs!$D$35,-(Inputs!$B$35*Inputs!$B$6/12)*(1+Inputs!$B$48)^(BY3-1)*(Inputs!$C$35+(1-Inputs!$C$35)*BY6/Inputs!$B$6),0)</f>
        <v>-47732.9810936426</v>
      </c>
      <c r="BZ14" s="5" t="n">
        <f aca="false">IF(BZ1&gt;=Inputs!$B$10-Inputs!$D$35,-(Inputs!$B$35*Inputs!$B$6/12)*(1+Inputs!$B$48)^(BZ3-1)*(Inputs!$C$35+(1-Inputs!$C$35)*BZ6/Inputs!$B$6),0)</f>
        <v>-47732.9810936426</v>
      </c>
      <c r="CA14" s="5" t="n">
        <f aca="false">IF(CA1&gt;=Inputs!$B$10-Inputs!$D$35,-(Inputs!$B$35*Inputs!$B$6/12)*(1+Inputs!$B$48)^(CA3-1)*(Inputs!$C$35+(1-Inputs!$C$35)*CA6/Inputs!$B$6),0)</f>
        <v>-47732.9810936426</v>
      </c>
      <c r="CB14" s="5" t="n">
        <f aca="false">IF(CB1&gt;=Inputs!$B$10-Inputs!$D$35,-(Inputs!$B$35*Inputs!$B$6/12)*(1+Inputs!$B$48)^(CB3-1)*(Inputs!$C$35+(1-Inputs!$C$35)*CB6/Inputs!$B$6),0)</f>
        <v>-47732.9810936426</v>
      </c>
      <c r="CC14" s="5" t="n">
        <f aca="false">IF(CC1&gt;=Inputs!$B$10-Inputs!$D$35,-(Inputs!$B$35*Inputs!$B$6/12)*(1+Inputs!$B$48)^(CC3-1)*(Inputs!$C$35+(1-Inputs!$C$35)*CC6/Inputs!$B$6),0)</f>
        <v>-47732.9810936426</v>
      </c>
      <c r="CD14" s="5" t="n">
        <f aca="false">IF(CD1&gt;=Inputs!$B$10-Inputs!$D$35,-(Inputs!$B$35*Inputs!$B$6/12)*(1+Inputs!$B$48)^(CD3-1)*(Inputs!$C$35+(1-Inputs!$C$35)*CD6/Inputs!$B$6),0)</f>
        <v>-47732.9810936426</v>
      </c>
      <c r="CE14" s="5" t="n">
        <f aca="false">IF(CE1&gt;=Inputs!$B$10-Inputs!$D$35,-(Inputs!$B$35*Inputs!$B$6/12)*(1+Inputs!$B$48)^(CE3-1)*(Inputs!$C$35+(1-Inputs!$C$35)*CE6/Inputs!$B$6),0)</f>
        <v>-47732.9810936426</v>
      </c>
      <c r="CF14" s="5" t="n">
        <f aca="false">IF(CF1&gt;=Inputs!$B$10-Inputs!$D$35,-(Inputs!$B$35*Inputs!$B$6/12)*(1+Inputs!$B$48)^(CF3-1)*(Inputs!$C$35+(1-Inputs!$C$35)*CF6/Inputs!$B$6),0)</f>
        <v>-47732.9810936426</v>
      </c>
      <c r="CG14" s="5" t="n">
        <f aca="false">IF(CG1&gt;=Inputs!$B$10-Inputs!$D$35,-(Inputs!$B$35*Inputs!$B$6/12)*(1+Inputs!$B$48)^(CG3-1)*(Inputs!$C$35+(1-Inputs!$C$35)*CG6/Inputs!$B$6),0)</f>
        <v>-47732.9810936426</v>
      </c>
      <c r="CH14" s="5" t="n">
        <f aca="false">IF(CH1&gt;=Inputs!$B$10-Inputs!$D$35,-(Inputs!$B$35*Inputs!$B$6/12)*(1+Inputs!$B$48)^(CH3-1)*(Inputs!$C$35+(1-Inputs!$C$35)*CH6/Inputs!$B$6),0)</f>
        <v>-47732.9810936426</v>
      </c>
      <c r="CI14" s="5" t="n">
        <f aca="false">IF(CI1&gt;=Inputs!$B$10-Inputs!$D$35,-(Inputs!$B$35*Inputs!$B$6/12)*(1+Inputs!$B$48)^(CI3-1)*(Inputs!$C$35+(1-Inputs!$C$35)*CI6/Inputs!$B$6),0)</f>
        <v>-48926.3056209836</v>
      </c>
      <c r="CJ14" s="5" t="n">
        <f aca="false">IF(CJ1&gt;=Inputs!$B$10-Inputs!$D$35,-(Inputs!$B$35*Inputs!$B$6/12)*(1+Inputs!$B$48)^(CJ3-1)*(Inputs!$C$35+(1-Inputs!$C$35)*CJ6/Inputs!$B$6),0)</f>
        <v>-48926.3056209836</v>
      </c>
      <c r="CK14" s="5" t="n">
        <f aca="false">IF(CK1&gt;=Inputs!$B$10-Inputs!$D$35,-(Inputs!$B$35*Inputs!$B$6/12)*(1+Inputs!$B$48)^(CK3-1)*(Inputs!$C$35+(1-Inputs!$C$35)*CK6/Inputs!$B$6),0)</f>
        <v>-48926.3056209836</v>
      </c>
      <c r="CL14" s="5" t="n">
        <f aca="false">IF(CL1&gt;=Inputs!$B$10-Inputs!$D$35,-(Inputs!$B$35*Inputs!$B$6/12)*(1+Inputs!$B$48)^(CL3-1)*(Inputs!$C$35+(1-Inputs!$C$35)*CL6/Inputs!$B$6),0)</f>
        <v>-48926.3056209836</v>
      </c>
      <c r="CM14" s="5" t="n">
        <f aca="false">IF(CM1&gt;=Inputs!$B$10-Inputs!$D$35,-(Inputs!$B$35*Inputs!$B$6/12)*(1+Inputs!$B$48)^(CM3-1)*(Inputs!$C$35+(1-Inputs!$C$35)*CM6/Inputs!$B$6),0)</f>
        <v>-48926.3056209836</v>
      </c>
      <c r="CN14" s="5" t="n">
        <f aca="false">IF(CN1&gt;=Inputs!$B$10-Inputs!$D$35,-(Inputs!$B$35*Inputs!$B$6/12)*(1+Inputs!$B$48)^(CN3-1)*(Inputs!$C$35+(1-Inputs!$C$35)*CN6/Inputs!$B$6),0)</f>
        <v>-48926.3056209836</v>
      </c>
      <c r="CO14" s="5" t="n">
        <f aca="false">IF(CO1&gt;=Inputs!$B$10-Inputs!$D$35,-(Inputs!$B$35*Inputs!$B$6/12)*(1+Inputs!$B$48)^(CO3-1)*(Inputs!$C$35+(1-Inputs!$C$35)*CO6/Inputs!$B$6),0)</f>
        <v>-48926.3056209836</v>
      </c>
      <c r="CP14" s="5" t="n">
        <f aca="false">IF(CP1&gt;=Inputs!$B$10-Inputs!$D$35,-(Inputs!$B$35*Inputs!$B$6/12)*(1+Inputs!$B$48)^(CP3-1)*(Inputs!$C$35+(1-Inputs!$C$35)*CP6/Inputs!$B$6),0)</f>
        <v>-48926.3056209836</v>
      </c>
      <c r="CQ14" s="5" t="n">
        <f aca="false">IF(CQ1&gt;=Inputs!$B$10-Inputs!$D$35,-(Inputs!$B$35*Inputs!$B$6/12)*(1+Inputs!$B$48)^(CQ3-1)*(Inputs!$C$35+(1-Inputs!$C$35)*CQ6/Inputs!$B$6),0)</f>
        <v>-48926.3056209836</v>
      </c>
      <c r="CR14" s="5" t="n">
        <f aca="false">IF(CR1&gt;=Inputs!$B$10-Inputs!$D$35,-(Inputs!$B$35*Inputs!$B$6/12)*(1+Inputs!$B$48)^(CR3-1)*(Inputs!$C$35+(1-Inputs!$C$35)*CR6/Inputs!$B$6),0)</f>
        <v>-48926.3056209836</v>
      </c>
      <c r="CS14" s="5" t="n">
        <f aca="false">IF(CS1&gt;=Inputs!$B$10-Inputs!$D$35,-(Inputs!$B$35*Inputs!$B$6/12)*(1+Inputs!$B$48)^(CS3-1)*(Inputs!$C$35+(1-Inputs!$C$35)*CS6/Inputs!$B$6),0)</f>
        <v>-48926.3056209836</v>
      </c>
      <c r="CT14" s="5" t="n">
        <f aca="false">IF(CT1&gt;=Inputs!$B$10-Inputs!$D$35,-(Inputs!$B$35*Inputs!$B$6/12)*(1+Inputs!$B$48)^(CT3-1)*(Inputs!$C$35+(1-Inputs!$C$35)*CT6/Inputs!$B$6),0)</f>
        <v>-48926.3056209836</v>
      </c>
    </row>
    <row r="15" customFormat="false" ht="15" hidden="false" customHeight="false" outlineLevel="0" collapsed="false">
      <c r="B15" s="26" t="s">
        <v>68</v>
      </c>
      <c r="C15" s="5" t="n">
        <f aca="false">IF(C1&gt;=Inputs!$B$10-Inputs!$D$36,-(Inputs!$B$36*Inputs!$B$6/12)*(1+Inputs!$B$48)^(C3-1)*(Inputs!$C$36+(1-Inputs!$C$36)*C6/Inputs!$B$6),0)</f>
        <v>0</v>
      </c>
      <c r="D15" s="5" t="n">
        <f aca="false">IF(D1&gt;=Inputs!$B$10-Inputs!$D$36,-(Inputs!$B$36*Inputs!$B$6/12)*(1+Inputs!$B$48)^(D3-1)*(Inputs!$C$36+(1-Inputs!$C$36)*D6/Inputs!$B$6),0)</f>
        <v>0</v>
      </c>
      <c r="E15" s="5" t="n">
        <f aca="false">IF(E1&gt;=Inputs!$B$10-Inputs!$D$36,-(Inputs!$B$36*Inputs!$B$6/12)*(1+Inputs!$B$48)^(E3-1)*(Inputs!$C$36+(1-Inputs!$C$36)*E6/Inputs!$B$6),0)</f>
        <v>0</v>
      </c>
      <c r="F15" s="5" t="n">
        <f aca="false">IF(F1&gt;=Inputs!$B$10-Inputs!$D$36,-(Inputs!$B$36*Inputs!$B$6/12)*(1+Inputs!$B$48)^(F3-1)*(Inputs!$C$36+(1-Inputs!$C$36)*F6/Inputs!$B$6),0)</f>
        <v>0</v>
      </c>
      <c r="G15" s="5" t="n">
        <f aca="false">IF(G1&gt;=Inputs!$B$10-Inputs!$D$36,-(Inputs!$B$36*Inputs!$B$6/12)*(1+Inputs!$B$48)^(G3-1)*(Inputs!$C$36+(1-Inputs!$C$36)*G6/Inputs!$B$6),0)</f>
        <v>0</v>
      </c>
      <c r="H15" s="5" t="n">
        <f aca="false">IF(H1&gt;=Inputs!$B$10-Inputs!$D$36,-(Inputs!$B$36*Inputs!$B$6/12)*(1+Inputs!$B$48)^(H3-1)*(Inputs!$C$36+(1-Inputs!$C$36)*H6/Inputs!$B$6),0)</f>
        <v>0</v>
      </c>
      <c r="I15" s="5" t="n">
        <f aca="false">IF(I1&gt;=Inputs!$B$10-Inputs!$D$36,-(Inputs!$B$36*Inputs!$B$6/12)*(1+Inputs!$B$48)^(I3-1)*(Inputs!$C$36+(1-Inputs!$C$36)*I6/Inputs!$B$6),0)</f>
        <v>0</v>
      </c>
      <c r="J15" s="5" t="n">
        <f aca="false">IF(J1&gt;=Inputs!$B$10-Inputs!$D$36,-(Inputs!$B$36*Inputs!$B$6/12)*(1+Inputs!$B$48)^(J3-1)*(Inputs!$C$36+(1-Inputs!$C$36)*J6/Inputs!$B$6),0)</f>
        <v>0</v>
      </c>
      <c r="K15" s="5" t="n">
        <f aca="false">IF(K1&gt;=Inputs!$B$10-Inputs!$D$36,-(Inputs!$B$36*Inputs!$B$6/12)*(1+Inputs!$B$48)^(K3-1)*(Inputs!$C$36+(1-Inputs!$C$36)*K6/Inputs!$B$6),0)</f>
        <v>0</v>
      </c>
      <c r="L15" s="5" t="n">
        <f aca="false">IF(L1&gt;=Inputs!$B$10-Inputs!$D$36,-(Inputs!$B$36*Inputs!$B$6/12)*(1+Inputs!$B$48)^(L3-1)*(Inputs!$C$36+(1-Inputs!$C$36)*L6/Inputs!$B$6),0)</f>
        <v>-11520</v>
      </c>
      <c r="M15" s="5" t="n">
        <f aca="false">IF(M1&gt;=Inputs!$B$10-Inputs!$D$36,-(Inputs!$B$36*Inputs!$B$6/12)*(1+Inputs!$B$48)^(M3-1)*(Inputs!$C$36+(1-Inputs!$C$36)*M6/Inputs!$B$6),0)</f>
        <v>-11520</v>
      </c>
      <c r="N15" s="5" t="n">
        <f aca="false">IF(N1&gt;=Inputs!$B$10-Inputs!$D$36,-(Inputs!$B$36*Inputs!$B$6/12)*(1+Inputs!$B$48)^(N3-1)*(Inputs!$C$36+(1-Inputs!$C$36)*N6/Inputs!$B$6),0)</f>
        <v>-11520</v>
      </c>
      <c r="O15" s="5" t="n">
        <f aca="false">IF(O1&gt;=Inputs!$B$10-Inputs!$D$36,-(Inputs!$B$36*Inputs!$B$6/12)*(1+Inputs!$B$48)^(O3-1)*(Inputs!$C$36+(1-Inputs!$C$36)*O6/Inputs!$B$6),0)</f>
        <v>-11808</v>
      </c>
      <c r="P15" s="5" t="n">
        <f aca="false">IF(P1&gt;=Inputs!$B$10-Inputs!$D$36,-(Inputs!$B$36*Inputs!$B$6/12)*(1+Inputs!$B$48)^(P3-1)*(Inputs!$C$36+(1-Inputs!$C$36)*P6/Inputs!$B$6),0)</f>
        <v>-11808</v>
      </c>
      <c r="Q15" s="5" t="n">
        <f aca="false">IF(Q1&gt;=Inputs!$B$10-Inputs!$D$36,-(Inputs!$B$36*Inputs!$B$6/12)*(1+Inputs!$B$48)^(Q3-1)*(Inputs!$C$36+(1-Inputs!$C$36)*Q6/Inputs!$B$6),0)</f>
        <v>-11808</v>
      </c>
      <c r="R15" s="5" t="n">
        <f aca="false">IF(R1&gt;=Inputs!$B$10-Inputs!$D$36,-(Inputs!$B$36*Inputs!$B$6/12)*(1+Inputs!$B$48)^(R3-1)*(Inputs!$C$36+(1-Inputs!$C$36)*R6/Inputs!$B$6),0)</f>
        <v>-11808</v>
      </c>
      <c r="S15" s="5" t="n">
        <f aca="false">IF(S1&gt;=Inputs!$B$10-Inputs!$D$36,-(Inputs!$B$36*Inputs!$B$6/12)*(1+Inputs!$B$48)^(S3-1)*(Inputs!$C$36+(1-Inputs!$C$36)*S6/Inputs!$B$6),0)</f>
        <v>-11808</v>
      </c>
      <c r="T15" s="5" t="n">
        <f aca="false">IF(T1&gt;=Inputs!$B$10-Inputs!$D$36,-(Inputs!$B$36*Inputs!$B$6/12)*(1+Inputs!$B$48)^(T3-1)*(Inputs!$C$36+(1-Inputs!$C$36)*T6/Inputs!$B$6),0)</f>
        <v>-11808</v>
      </c>
      <c r="U15" s="5" t="n">
        <f aca="false">IF(U1&gt;=Inputs!$B$10-Inputs!$D$36,-(Inputs!$B$36*Inputs!$B$6/12)*(1+Inputs!$B$48)^(U3-1)*(Inputs!$C$36+(1-Inputs!$C$36)*U6/Inputs!$B$6),0)</f>
        <v>-11808</v>
      </c>
      <c r="V15" s="5" t="n">
        <f aca="false">IF(V1&gt;=Inputs!$B$10-Inputs!$D$36,-(Inputs!$B$36*Inputs!$B$6/12)*(1+Inputs!$B$48)^(V3-1)*(Inputs!$C$36+(1-Inputs!$C$36)*V6/Inputs!$B$6),0)</f>
        <v>-11808</v>
      </c>
      <c r="W15" s="5" t="n">
        <f aca="false">IF(W1&gt;=Inputs!$B$10-Inputs!$D$36,-(Inputs!$B$36*Inputs!$B$6/12)*(1+Inputs!$B$48)^(W3-1)*(Inputs!$C$36+(1-Inputs!$C$36)*W6/Inputs!$B$6),0)</f>
        <v>-11808</v>
      </c>
      <c r="X15" s="5" t="n">
        <f aca="false">IF(X1&gt;=Inputs!$B$10-Inputs!$D$36,-(Inputs!$B$36*Inputs!$B$6/12)*(1+Inputs!$B$48)^(X3-1)*(Inputs!$C$36+(1-Inputs!$C$36)*X6/Inputs!$B$6),0)</f>
        <v>-11808</v>
      </c>
      <c r="Y15" s="5" t="n">
        <f aca="false">IF(Y1&gt;=Inputs!$B$10-Inputs!$D$36,-(Inputs!$B$36*Inputs!$B$6/12)*(1+Inputs!$B$48)^(Y3-1)*(Inputs!$C$36+(1-Inputs!$C$36)*Y6/Inputs!$B$6),0)</f>
        <v>-11808</v>
      </c>
      <c r="Z15" s="5" t="n">
        <f aca="false">IF(Z1&gt;=Inputs!$B$10-Inputs!$D$36,-(Inputs!$B$36*Inputs!$B$6/12)*(1+Inputs!$B$48)^(Z3-1)*(Inputs!$C$36+(1-Inputs!$C$36)*Z6/Inputs!$B$6),0)</f>
        <v>-11808</v>
      </c>
      <c r="AA15" s="5" t="n">
        <f aca="false">IF(AA1&gt;=Inputs!$B$10-Inputs!$D$36,-(Inputs!$B$36*Inputs!$B$6/12)*(1+Inputs!$B$48)^(AA3-1)*(Inputs!$C$36+(1-Inputs!$C$36)*AA6/Inputs!$B$6),0)</f>
        <v>-12103.2</v>
      </c>
      <c r="AB15" s="5" t="n">
        <f aca="false">IF(AB1&gt;=Inputs!$B$10-Inputs!$D$36,-(Inputs!$B$36*Inputs!$B$6/12)*(1+Inputs!$B$48)^(AB3-1)*(Inputs!$C$36+(1-Inputs!$C$36)*AB6/Inputs!$B$6),0)</f>
        <v>-12103.2</v>
      </c>
      <c r="AC15" s="5" t="n">
        <f aca="false">IF(AC1&gt;=Inputs!$B$10-Inputs!$D$36,-(Inputs!$B$36*Inputs!$B$6/12)*(1+Inputs!$B$48)^(AC3-1)*(Inputs!$C$36+(1-Inputs!$C$36)*AC6/Inputs!$B$6),0)</f>
        <v>-12103.2</v>
      </c>
      <c r="AD15" s="5" t="n">
        <f aca="false">IF(AD1&gt;=Inputs!$B$10-Inputs!$D$36,-(Inputs!$B$36*Inputs!$B$6/12)*(1+Inputs!$B$48)^(AD3-1)*(Inputs!$C$36+(1-Inputs!$C$36)*AD6/Inputs!$B$6),0)</f>
        <v>-12103.2</v>
      </c>
      <c r="AE15" s="5" t="n">
        <f aca="false">IF(AE1&gt;=Inputs!$B$10-Inputs!$D$36,-(Inputs!$B$36*Inputs!$B$6/12)*(1+Inputs!$B$48)^(AE3-1)*(Inputs!$C$36+(1-Inputs!$C$36)*AE6/Inputs!$B$6),0)</f>
        <v>-12103.2</v>
      </c>
      <c r="AF15" s="5" t="n">
        <f aca="false">IF(AF1&gt;=Inputs!$B$10-Inputs!$D$36,-(Inputs!$B$36*Inputs!$B$6/12)*(1+Inputs!$B$48)^(AF3-1)*(Inputs!$C$36+(1-Inputs!$C$36)*AF6/Inputs!$B$6),0)</f>
        <v>-12103.2</v>
      </c>
      <c r="AG15" s="5" t="n">
        <f aca="false">IF(AG1&gt;=Inputs!$B$10-Inputs!$D$36,-(Inputs!$B$36*Inputs!$B$6/12)*(1+Inputs!$B$48)^(AG3-1)*(Inputs!$C$36+(1-Inputs!$C$36)*AG6/Inputs!$B$6),0)</f>
        <v>-12103.2</v>
      </c>
      <c r="AH15" s="5" t="n">
        <f aca="false">IF(AH1&gt;=Inputs!$B$10-Inputs!$D$36,-(Inputs!$B$36*Inputs!$B$6/12)*(1+Inputs!$B$48)^(AH3-1)*(Inputs!$C$36+(1-Inputs!$C$36)*AH6/Inputs!$B$6),0)</f>
        <v>-12103.2</v>
      </c>
      <c r="AI15" s="5" t="n">
        <f aca="false">IF(AI1&gt;=Inputs!$B$10-Inputs!$D$36,-(Inputs!$B$36*Inputs!$B$6/12)*(1+Inputs!$B$48)^(AI3-1)*(Inputs!$C$36+(1-Inputs!$C$36)*AI6/Inputs!$B$6),0)</f>
        <v>-12103.2</v>
      </c>
      <c r="AJ15" s="5" t="n">
        <f aca="false">IF(AJ1&gt;=Inputs!$B$10-Inputs!$D$36,-(Inputs!$B$36*Inputs!$B$6/12)*(1+Inputs!$B$48)^(AJ3-1)*(Inputs!$C$36+(1-Inputs!$C$36)*AJ6/Inputs!$B$6),0)</f>
        <v>-12103.2</v>
      </c>
      <c r="AK15" s="5" t="n">
        <f aca="false">IF(AK1&gt;=Inputs!$B$10-Inputs!$D$36,-(Inputs!$B$36*Inputs!$B$6/12)*(1+Inputs!$B$48)^(AK3-1)*(Inputs!$C$36+(1-Inputs!$C$36)*AK6/Inputs!$B$6),0)</f>
        <v>-12103.2</v>
      </c>
      <c r="AL15" s="5" t="n">
        <f aca="false">IF(AL1&gt;=Inputs!$B$10-Inputs!$D$36,-(Inputs!$B$36*Inputs!$B$6/12)*(1+Inputs!$B$48)^(AL3-1)*(Inputs!$C$36+(1-Inputs!$C$36)*AL6/Inputs!$B$6),0)</f>
        <v>-12103.2</v>
      </c>
      <c r="AM15" s="5" t="n">
        <f aca="false">IF(AM1&gt;=Inputs!$B$10-Inputs!$D$36,-(Inputs!$B$36*Inputs!$B$6/12)*(1+Inputs!$B$48)^(AM3-1)*(Inputs!$C$36+(1-Inputs!$C$36)*AM6/Inputs!$B$6),0)</f>
        <v>-12405.78</v>
      </c>
      <c r="AN15" s="5" t="n">
        <f aca="false">IF(AN1&gt;=Inputs!$B$10-Inputs!$D$36,-(Inputs!$B$36*Inputs!$B$6/12)*(1+Inputs!$B$48)^(AN3-1)*(Inputs!$C$36+(1-Inputs!$C$36)*AN6/Inputs!$B$6),0)</f>
        <v>-12405.78</v>
      </c>
      <c r="AO15" s="5" t="n">
        <f aca="false">IF(AO1&gt;=Inputs!$B$10-Inputs!$D$36,-(Inputs!$B$36*Inputs!$B$6/12)*(1+Inputs!$B$48)^(AO3-1)*(Inputs!$C$36+(1-Inputs!$C$36)*AO6/Inputs!$B$6),0)</f>
        <v>-12405.78</v>
      </c>
      <c r="AP15" s="5" t="n">
        <f aca="false">IF(AP1&gt;=Inputs!$B$10-Inputs!$D$36,-(Inputs!$B$36*Inputs!$B$6/12)*(1+Inputs!$B$48)^(AP3-1)*(Inputs!$C$36+(1-Inputs!$C$36)*AP6/Inputs!$B$6),0)</f>
        <v>-12405.78</v>
      </c>
      <c r="AQ15" s="5" t="n">
        <f aca="false">IF(AQ1&gt;=Inputs!$B$10-Inputs!$D$36,-(Inputs!$B$36*Inputs!$B$6/12)*(1+Inputs!$B$48)^(AQ3-1)*(Inputs!$C$36+(1-Inputs!$C$36)*AQ6/Inputs!$B$6),0)</f>
        <v>-12405.78</v>
      </c>
      <c r="AR15" s="5" t="n">
        <f aca="false">IF(AR1&gt;=Inputs!$B$10-Inputs!$D$36,-(Inputs!$B$36*Inputs!$B$6/12)*(1+Inputs!$B$48)^(AR3-1)*(Inputs!$C$36+(1-Inputs!$C$36)*AR6/Inputs!$B$6),0)</f>
        <v>-12405.78</v>
      </c>
      <c r="AS15" s="5" t="n">
        <f aca="false">IF(AS1&gt;=Inputs!$B$10-Inputs!$D$36,-(Inputs!$B$36*Inputs!$B$6/12)*(1+Inputs!$B$48)^(AS3-1)*(Inputs!$C$36+(1-Inputs!$C$36)*AS6/Inputs!$B$6),0)</f>
        <v>-12405.78</v>
      </c>
      <c r="AT15" s="5" t="n">
        <f aca="false">IF(AT1&gt;=Inputs!$B$10-Inputs!$D$36,-(Inputs!$B$36*Inputs!$B$6/12)*(1+Inputs!$B$48)^(AT3-1)*(Inputs!$C$36+(1-Inputs!$C$36)*AT6/Inputs!$B$6),0)</f>
        <v>-12405.78</v>
      </c>
      <c r="AU15" s="5" t="n">
        <f aca="false">IF(AU1&gt;=Inputs!$B$10-Inputs!$D$36,-(Inputs!$B$36*Inputs!$B$6/12)*(1+Inputs!$B$48)^(AU3-1)*(Inputs!$C$36+(1-Inputs!$C$36)*AU6/Inputs!$B$6),0)</f>
        <v>-12405.78</v>
      </c>
      <c r="AV15" s="5" t="n">
        <f aca="false">IF(AV1&gt;=Inputs!$B$10-Inputs!$D$36,-(Inputs!$B$36*Inputs!$B$6/12)*(1+Inputs!$B$48)^(AV3-1)*(Inputs!$C$36+(1-Inputs!$C$36)*AV6/Inputs!$B$6),0)</f>
        <v>-12405.78</v>
      </c>
      <c r="AW15" s="5" t="n">
        <f aca="false">IF(AW1&gt;=Inputs!$B$10-Inputs!$D$36,-(Inputs!$B$36*Inputs!$B$6/12)*(1+Inputs!$B$48)^(AW3-1)*(Inputs!$C$36+(1-Inputs!$C$36)*AW6/Inputs!$B$6),0)</f>
        <v>-12405.78</v>
      </c>
      <c r="AX15" s="5" t="n">
        <f aca="false">IF(AX1&gt;=Inputs!$B$10-Inputs!$D$36,-(Inputs!$B$36*Inputs!$B$6/12)*(1+Inputs!$B$48)^(AX3-1)*(Inputs!$C$36+(1-Inputs!$C$36)*AX6/Inputs!$B$6),0)</f>
        <v>-12405.78</v>
      </c>
      <c r="AY15" s="5" t="n">
        <f aca="false">IF(AY1&gt;=Inputs!$B$10-Inputs!$D$36,-(Inputs!$B$36*Inputs!$B$6/12)*(1+Inputs!$B$48)^(AY3-1)*(Inputs!$C$36+(1-Inputs!$C$36)*AY6/Inputs!$B$6),0)</f>
        <v>-12715.9245</v>
      </c>
      <c r="AZ15" s="5" t="n">
        <f aca="false">IF(AZ1&gt;=Inputs!$B$10-Inputs!$D$36,-(Inputs!$B$36*Inputs!$B$6/12)*(1+Inputs!$B$48)^(AZ3-1)*(Inputs!$C$36+(1-Inputs!$C$36)*AZ6/Inputs!$B$6),0)</f>
        <v>-12715.9245</v>
      </c>
      <c r="BA15" s="5" t="n">
        <f aca="false">IF(BA1&gt;=Inputs!$B$10-Inputs!$D$36,-(Inputs!$B$36*Inputs!$B$6/12)*(1+Inputs!$B$48)^(BA3-1)*(Inputs!$C$36+(1-Inputs!$C$36)*BA6/Inputs!$B$6),0)</f>
        <v>-12715.9245</v>
      </c>
      <c r="BB15" s="5" t="n">
        <f aca="false">IF(BB1&gt;=Inputs!$B$10-Inputs!$D$36,-(Inputs!$B$36*Inputs!$B$6/12)*(1+Inputs!$B$48)^(BB3-1)*(Inputs!$C$36+(1-Inputs!$C$36)*BB6/Inputs!$B$6),0)</f>
        <v>-12715.9245</v>
      </c>
      <c r="BC15" s="5" t="n">
        <f aca="false">IF(BC1&gt;=Inputs!$B$10-Inputs!$D$36,-(Inputs!$B$36*Inputs!$B$6/12)*(1+Inputs!$B$48)^(BC3-1)*(Inputs!$C$36+(1-Inputs!$C$36)*BC6/Inputs!$B$6),0)</f>
        <v>-12715.9245</v>
      </c>
      <c r="BD15" s="5" t="n">
        <f aca="false">IF(BD1&gt;=Inputs!$B$10-Inputs!$D$36,-(Inputs!$B$36*Inputs!$B$6/12)*(1+Inputs!$B$48)^(BD3-1)*(Inputs!$C$36+(1-Inputs!$C$36)*BD6/Inputs!$B$6),0)</f>
        <v>-12715.9245</v>
      </c>
      <c r="BE15" s="5" t="n">
        <f aca="false">IF(BE1&gt;=Inputs!$B$10-Inputs!$D$36,-(Inputs!$B$36*Inputs!$B$6/12)*(1+Inputs!$B$48)^(BE3-1)*(Inputs!$C$36+(1-Inputs!$C$36)*BE6/Inputs!$B$6),0)</f>
        <v>-12715.9245</v>
      </c>
      <c r="BF15" s="5" t="n">
        <f aca="false">IF(BF1&gt;=Inputs!$B$10-Inputs!$D$36,-(Inputs!$B$36*Inputs!$B$6/12)*(1+Inputs!$B$48)^(BF3-1)*(Inputs!$C$36+(1-Inputs!$C$36)*BF6/Inputs!$B$6),0)</f>
        <v>-12715.9245</v>
      </c>
      <c r="BG15" s="5" t="n">
        <f aca="false">IF(BG1&gt;=Inputs!$B$10-Inputs!$D$36,-(Inputs!$B$36*Inputs!$B$6/12)*(1+Inputs!$B$48)^(BG3-1)*(Inputs!$C$36+(1-Inputs!$C$36)*BG6/Inputs!$B$6),0)</f>
        <v>-12715.9245</v>
      </c>
      <c r="BH15" s="5" t="n">
        <f aca="false">IF(BH1&gt;=Inputs!$B$10-Inputs!$D$36,-(Inputs!$B$36*Inputs!$B$6/12)*(1+Inputs!$B$48)^(BH3-1)*(Inputs!$C$36+(1-Inputs!$C$36)*BH6/Inputs!$B$6),0)</f>
        <v>-12715.9245</v>
      </c>
      <c r="BI15" s="5" t="n">
        <f aca="false">IF(BI1&gt;=Inputs!$B$10-Inputs!$D$36,-(Inputs!$B$36*Inputs!$B$6/12)*(1+Inputs!$B$48)^(BI3-1)*(Inputs!$C$36+(1-Inputs!$C$36)*BI6/Inputs!$B$6),0)</f>
        <v>-12715.9245</v>
      </c>
      <c r="BJ15" s="5" t="n">
        <f aca="false">IF(BJ1&gt;=Inputs!$B$10-Inputs!$D$36,-(Inputs!$B$36*Inputs!$B$6/12)*(1+Inputs!$B$48)^(BJ3-1)*(Inputs!$C$36+(1-Inputs!$C$36)*BJ6/Inputs!$B$6),0)</f>
        <v>-12715.9245</v>
      </c>
      <c r="BK15" s="5" t="n">
        <f aca="false">IF(BK1&gt;=Inputs!$B$10-Inputs!$D$36,-(Inputs!$B$36*Inputs!$B$6/12)*(1+Inputs!$B$48)^(BK3-1)*(Inputs!$C$36+(1-Inputs!$C$36)*BK6/Inputs!$B$6),0)</f>
        <v>-13033.8226125</v>
      </c>
      <c r="BL15" s="5" t="n">
        <f aca="false">IF(BL1&gt;=Inputs!$B$10-Inputs!$D$36,-(Inputs!$B$36*Inputs!$B$6/12)*(1+Inputs!$B$48)^(BL3-1)*(Inputs!$C$36+(1-Inputs!$C$36)*BL6/Inputs!$B$6),0)</f>
        <v>-13033.8226125</v>
      </c>
      <c r="BM15" s="5" t="n">
        <f aca="false">IF(BM1&gt;=Inputs!$B$10-Inputs!$D$36,-(Inputs!$B$36*Inputs!$B$6/12)*(1+Inputs!$B$48)^(BM3-1)*(Inputs!$C$36+(1-Inputs!$C$36)*BM6/Inputs!$B$6),0)</f>
        <v>-13033.8226125</v>
      </c>
      <c r="BN15" s="5" t="n">
        <f aca="false">IF(BN1&gt;=Inputs!$B$10-Inputs!$D$36,-(Inputs!$B$36*Inputs!$B$6/12)*(1+Inputs!$B$48)^(BN3-1)*(Inputs!$C$36+(1-Inputs!$C$36)*BN6/Inputs!$B$6),0)</f>
        <v>-13033.8226125</v>
      </c>
      <c r="BO15" s="5" t="n">
        <f aca="false">IF(BO1&gt;=Inputs!$B$10-Inputs!$D$36,-(Inputs!$B$36*Inputs!$B$6/12)*(1+Inputs!$B$48)^(BO3-1)*(Inputs!$C$36+(1-Inputs!$C$36)*BO6/Inputs!$B$6),0)</f>
        <v>-13033.8226125</v>
      </c>
      <c r="BP15" s="5" t="n">
        <f aca="false">IF(BP1&gt;=Inputs!$B$10-Inputs!$D$36,-(Inputs!$B$36*Inputs!$B$6/12)*(1+Inputs!$B$48)^(BP3-1)*(Inputs!$C$36+(1-Inputs!$C$36)*BP6/Inputs!$B$6),0)</f>
        <v>-13033.8226125</v>
      </c>
      <c r="BQ15" s="5" t="n">
        <f aca="false">IF(BQ1&gt;=Inputs!$B$10-Inputs!$D$36,-(Inputs!$B$36*Inputs!$B$6/12)*(1+Inputs!$B$48)^(BQ3-1)*(Inputs!$C$36+(1-Inputs!$C$36)*BQ6/Inputs!$B$6),0)</f>
        <v>-13033.8226125</v>
      </c>
      <c r="BR15" s="5" t="n">
        <f aca="false">IF(BR1&gt;=Inputs!$B$10-Inputs!$D$36,-(Inputs!$B$36*Inputs!$B$6/12)*(1+Inputs!$B$48)^(BR3-1)*(Inputs!$C$36+(1-Inputs!$C$36)*BR6/Inputs!$B$6),0)</f>
        <v>-13033.8226125</v>
      </c>
      <c r="BS15" s="5" t="n">
        <f aca="false">IF(BS1&gt;=Inputs!$B$10-Inputs!$D$36,-(Inputs!$B$36*Inputs!$B$6/12)*(1+Inputs!$B$48)^(BS3-1)*(Inputs!$C$36+(1-Inputs!$C$36)*BS6/Inputs!$B$6),0)</f>
        <v>-13033.8226125</v>
      </c>
      <c r="BT15" s="5" t="n">
        <f aca="false">IF(BT1&gt;=Inputs!$B$10-Inputs!$D$36,-(Inputs!$B$36*Inputs!$B$6/12)*(1+Inputs!$B$48)^(BT3-1)*(Inputs!$C$36+(1-Inputs!$C$36)*BT6/Inputs!$B$6),0)</f>
        <v>-13033.8226125</v>
      </c>
      <c r="BU15" s="5" t="n">
        <f aca="false">IF(BU1&gt;=Inputs!$B$10-Inputs!$D$36,-(Inputs!$B$36*Inputs!$B$6/12)*(1+Inputs!$B$48)^(BU3-1)*(Inputs!$C$36+(1-Inputs!$C$36)*BU6/Inputs!$B$6),0)</f>
        <v>-13033.8226125</v>
      </c>
      <c r="BV15" s="5" t="n">
        <f aca="false">IF(BV1&gt;=Inputs!$B$10-Inputs!$D$36,-(Inputs!$B$36*Inputs!$B$6/12)*(1+Inputs!$B$48)^(BV3-1)*(Inputs!$C$36+(1-Inputs!$C$36)*BV6/Inputs!$B$6),0)</f>
        <v>-13033.8226125</v>
      </c>
      <c r="BW15" s="5" t="n">
        <f aca="false">IF(BW1&gt;=Inputs!$B$10-Inputs!$D$36,-(Inputs!$B$36*Inputs!$B$6/12)*(1+Inputs!$B$48)^(BW3-1)*(Inputs!$C$36+(1-Inputs!$C$36)*BW6/Inputs!$B$6),0)</f>
        <v>-13359.6681778125</v>
      </c>
      <c r="BX15" s="5" t="n">
        <f aca="false">IF(BX1&gt;=Inputs!$B$10-Inputs!$D$36,-(Inputs!$B$36*Inputs!$B$6/12)*(1+Inputs!$B$48)^(BX3-1)*(Inputs!$C$36+(1-Inputs!$C$36)*BX6/Inputs!$B$6),0)</f>
        <v>-13359.6681778125</v>
      </c>
      <c r="BY15" s="5" t="n">
        <f aca="false">IF(BY1&gt;=Inputs!$B$10-Inputs!$D$36,-(Inputs!$B$36*Inputs!$B$6/12)*(1+Inputs!$B$48)^(BY3-1)*(Inputs!$C$36+(1-Inputs!$C$36)*BY6/Inputs!$B$6),0)</f>
        <v>-13359.6681778125</v>
      </c>
      <c r="BZ15" s="5" t="n">
        <f aca="false">IF(BZ1&gt;=Inputs!$B$10-Inputs!$D$36,-(Inputs!$B$36*Inputs!$B$6/12)*(1+Inputs!$B$48)^(BZ3-1)*(Inputs!$C$36+(1-Inputs!$C$36)*BZ6/Inputs!$B$6),0)</f>
        <v>-13359.6681778125</v>
      </c>
      <c r="CA15" s="5" t="n">
        <f aca="false">IF(CA1&gt;=Inputs!$B$10-Inputs!$D$36,-(Inputs!$B$36*Inputs!$B$6/12)*(1+Inputs!$B$48)^(CA3-1)*(Inputs!$C$36+(1-Inputs!$C$36)*CA6/Inputs!$B$6),0)</f>
        <v>-13359.6681778125</v>
      </c>
      <c r="CB15" s="5" t="n">
        <f aca="false">IF(CB1&gt;=Inputs!$B$10-Inputs!$D$36,-(Inputs!$B$36*Inputs!$B$6/12)*(1+Inputs!$B$48)^(CB3-1)*(Inputs!$C$36+(1-Inputs!$C$36)*CB6/Inputs!$B$6),0)</f>
        <v>-13359.6681778125</v>
      </c>
      <c r="CC15" s="5" t="n">
        <f aca="false">IF(CC1&gt;=Inputs!$B$10-Inputs!$D$36,-(Inputs!$B$36*Inputs!$B$6/12)*(1+Inputs!$B$48)^(CC3-1)*(Inputs!$C$36+(1-Inputs!$C$36)*CC6/Inputs!$B$6),0)</f>
        <v>-13359.6681778125</v>
      </c>
      <c r="CD15" s="5" t="n">
        <f aca="false">IF(CD1&gt;=Inputs!$B$10-Inputs!$D$36,-(Inputs!$B$36*Inputs!$B$6/12)*(1+Inputs!$B$48)^(CD3-1)*(Inputs!$C$36+(1-Inputs!$C$36)*CD6/Inputs!$B$6),0)</f>
        <v>-13359.6681778125</v>
      </c>
      <c r="CE15" s="5" t="n">
        <f aca="false">IF(CE1&gt;=Inputs!$B$10-Inputs!$D$36,-(Inputs!$B$36*Inputs!$B$6/12)*(1+Inputs!$B$48)^(CE3-1)*(Inputs!$C$36+(1-Inputs!$C$36)*CE6/Inputs!$B$6),0)</f>
        <v>-13359.6681778125</v>
      </c>
      <c r="CF15" s="5" t="n">
        <f aca="false">IF(CF1&gt;=Inputs!$B$10-Inputs!$D$36,-(Inputs!$B$36*Inputs!$B$6/12)*(1+Inputs!$B$48)^(CF3-1)*(Inputs!$C$36+(1-Inputs!$C$36)*CF6/Inputs!$B$6),0)</f>
        <v>-13359.6681778125</v>
      </c>
      <c r="CG15" s="5" t="n">
        <f aca="false">IF(CG1&gt;=Inputs!$B$10-Inputs!$D$36,-(Inputs!$B$36*Inputs!$B$6/12)*(1+Inputs!$B$48)^(CG3-1)*(Inputs!$C$36+(1-Inputs!$C$36)*CG6/Inputs!$B$6),0)</f>
        <v>-13359.6681778125</v>
      </c>
      <c r="CH15" s="5" t="n">
        <f aca="false">IF(CH1&gt;=Inputs!$B$10-Inputs!$D$36,-(Inputs!$B$36*Inputs!$B$6/12)*(1+Inputs!$B$48)^(CH3-1)*(Inputs!$C$36+(1-Inputs!$C$36)*CH6/Inputs!$B$6),0)</f>
        <v>-13359.6681778125</v>
      </c>
      <c r="CI15" s="5" t="n">
        <f aca="false">IF(CI1&gt;=Inputs!$B$10-Inputs!$D$36,-(Inputs!$B$36*Inputs!$B$6/12)*(1+Inputs!$B$48)^(CI3-1)*(Inputs!$C$36+(1-Inputs!$C$36)*CI6/Inputs!$B$6),0)</f>
        <v>-13693.6598822578</v>
      </c>
      <c r="CJ15" s="5" t="n">
        <f aca="false">IF(CJ1&gt;=Inputs!$B$10-Inputs!$D$36,-(Inputs!$B$36*Inputs!$B$6/12)*(1+Inputs!$B$48)^(CJ3-1)*(Inputs!$C$36+(1-Inputs!$C$36)*CJ6/Inputs!$B$6),0)</f>
        <v>-13693.6598822578</v>
      </c>
      <c r="CK15" s="5" t="n">
        <f aca="false">IF(CK1&gt;=Inputs!$B$10-Inputs!$D$36,-(Inputs!$B$36*Inputs!$B$6/12)*(1+Inputs!$B$48)^(CK3-1)*(Inputs!$C$36+(1-Inputs!$C$36)*CK6/Inputs!$B$6),0)</f>
        <v>-13693.6598822578</v>
      </c>
      <c r="CL15" s="5" t="n">
        <f aca="false">IF(CL1&gt;=Inputs!$B$10-Inputs!$D$36,-(Inputs!$B$36*Inputs!$B$6/12)*(1+Inputs!$B$48)^(CL3-1)*(Inputs!$C$36+(1-Inputs!$C$36)*CL6/Inputs!$B$6),0)</f>
        <v>-13693.6598822578</v>
      </c>
      <c r="CM15" s="5" t="n">
        <f aca="false">IF(CM1&gt;=Inputs!$B$10-Inputs!$D$36,-(Inputs!$B$36*Inputs!$B$6/12)*(1+Inputs!$B$48)^(CM3-1)*(Inputs!$C$36+(1-Inputs!$C$36)*CM6/Inputs!$B$6),0)</f>
        <v>-13693.6598822578</v>
      </c>
      <c r="CN15" s="5" t="n">
        <f aca="false">IF(CN1&gt;=Inputs!$B$10-Inputs!$D$36,-(Inputs!$B$36*Inputs!$B$6/12)*(1+Inputs!$B$48)^(CN3-1)*(Inputs!$C$36+(1-Inputs!$C$36)*CN6/Inputs!$B$6),0)</f>
        <v>-13693.6598822578</v>
      </c>
      <c r="CO15" s="5" t="n">
        <f aca="false">IF(CO1&gt;=Inputs!$B$10-Inputs!$D$36,-(Inputs!$B$36*Inputs!$B$6/12)*(1+Inputs!$B$48)^(CO3-1)*(Inputs!$C$36+(1-Inputs!$C$36)*CO6/Inputs!$B$6),0)</f>
        <v>-13693.6598822578</v>
      </c>
      <c r="CP15" s="5" t="n">
        <f aca="false">IF(CP1&gt;=Inputs!$B$10-Inputs!$D$36,-(Inputs!$B$36*Inputs!$B$6/12)*(1+Inputs!$B$48)^(CP3-1)*(Inputs!$C$36+(1-Inputs!$C$36)*CP6/Inputs!$B$6),0)</f>
        <v>-13693.6598822578</v>
      </c>
      <c r="CQ15" s="5" t="n">
        <f aca="false">IF(CQ1&gt;=Inputs!$B$10-Inputs!$D$36,-(Inputs!$B$36*Inputs!$B$6/12)*(1+Inputs!$B$48)^(CQ3-1)*(Inputs!$C$36+(1-Inputs!$C$36)*CQ6/Inputs!$B$6),0)</f>
        <v>-13693.6598822578</v>
      </c>
      <c r="CR15" s="5" t="n">
        <f aca="false">IF(CR1&gt;=Inputs!$B$10-Inputs!$D$36,-(Inputs!$B$36*Inputs!$B$6/12)*(1+Inputs!$B$48)^(CR3-1)*(Inputs!$C$36+(1-Inputs!$C$36)*CR6/Inputs!$B$6),0)</f>
        <v>-13693.6598822578</v>
      </c>
      <c r="CS15" s="5" t="n">
        <f aca="false">IF(CS1&gt;=Inputs!$B$10-Inputs!$D$36,-(Inputs!$B$36*Inputs!$B$6/12)*(1+Inputs!$B$48)^(CS3-1)*(Inputs!$C$36+(1-Inputs!$C$36)*CS6/Inputs!$B$6),0)</f>
        <v>-13693.6598822578</v>
      </c>
      <c r="CT15" s="5" t="n">
        <f aca="false">IF(CT1&gt;=Inputs!$B$10-Inputs!$D$36,-(Inputs!$B$36*Inputs!$B$6/12)*(1+Inputs!$B$48)^(CT3-1)*(Inputs!$C$36+(1-Inputs!$C$36)*CT6/Inputs!$B$6),0)</f>
        <v>-13693.6598822578</v>
      </c>
    </row>
    <row r="16" customFormat="false" ht="15" hidden="false" customHeight="false" outlineLevel="0" collapsed="false">
      <c r="B16" s="26" t="s">
        <v>69</v>
      </c>
      <c r="C16" s="5" t="n">
        <f aca="false">IF(C1&gt;=Inputs!$B$10-Inputs!$D$37,-(Inputs!$B$37*Inputs!$B$6/12)*(1+Inputs!$B$48)^(C3-1)*(Inputs!$C$37+(1-Inputs!$C$37)*C6/Inputs!$B$6),0)</f>
        <v>0</v>
      </c>
      <c r="D16" s="5" t="n">
        <f aca="false">IF(D1&gt;=Inputs!$B$10-Inputs!$D$37,-(Inputs!$B$37*Inputs!$B$6/12)*(1+Inputs!$B$48)^(D3-1)*(Inputs!$C$37+(1-Inputs!$C$37)*D6/Inputs!$B$6),0)</f>
        <v>0</v>
      </c>
      <c r="E16" s="5" t="n">
        <f aca="false">IF(E1&gt;=Inputs!$B$10-Inputs!$D$37,-(Inputs!$B$37*Inputs!$B$6/12)*(1+Inputs!$B$48)^(E3-1)*(Inputs!$C$37+(1-Inputs!$C$37)*E6/Inputs!$B$6),0)</f>
        <v>0</v>
      </c>
      <c r="F16" s="5" t="n">
        <f aca="false">IF(F1&gt;=Inputs!$B$10-Inputs!$D$37,-(Inputs!$B$37*Inputs!$B$6/12)*(1+Inputs!$B$48)^(F3-1)*(Inputs!$C$37+(1-Inputs!$C$37)*F6/Inputs!$B$6),0)</f>
        <v>0</v>
      </c>
      <c r="G16" s="5" t="n">
        <f aca="false">IF(G1&gt;=Inputs!$B$10-Inputs!$D$37,-(Inputs!$B$37*Inputs!$B$6/12)*(1+Inputs!$B$48)^(G3-1)*(Inputs!$C$37+(1-Inputs!$C$37)*G6/Inputs!$B$6),0)</f>
        <v>0</v>
      </c>
      <c r="H16" s="5" t="n">
        <f aca="false">IF(H1&gt;=Inputs!$B$10-Inputs!$D$37,-(Inputs!$B$37*Inputs!$B$6/12)*(1+Inputs!$B$48)^(H3-1)*(Inputs!$C$37+(1-Inputs!$C$37)*H6/Inputs!$B$6),0)</f>
        <v>0</v>
      </c>
      <c r="I16" s="5" t="n">
        <f aca="false">IF(I1&gt;=Inputs!$B$10-Inputs!$D$37,-(Inputs!$B$37*Inputs!$B$6/12)*(1+Inputs!$B$48)^(I3-1)*(Inputs!$C$37+(1-Inputs!$C$37)*I6/Inputs!$B$6),0)</f>
        <v>0</v>
      </c>
      <c r="J16" s="5" t="n">
        <f aca="false">IF(J1&gt;=Inputs!$B$10-Inputs!$D$37,-(Inputs!$B$37*Inputs!$B$6/12)*(1+Inputs!$B$48)^(J3-1)*(Inputs!$C$37+(1-Inputs!$C$37)*J6/Inputs!$B$6),0)</f>
        <v>0</v>
      </c>
      <c r="K16" s="5" t="n">
        <f aca="false">IF(K1&gt;=Inputs!$B$10-Inputs!$D$37,-(Inputs!$B$37*Inputs!$B$6/12)*(1+Inputs!$B$48)^(K3-1)*(Inputs!$C$37+(1-Inputs!$C$37)*K6/Inputs!$B$6),0)</f>
        <v>0</v>
      </c>
      <c r="L16" s="5" t="n">
        <f aca="false">IF(L1&gt;=Inputs!$B$10-Inputs!$D$37,-(Inputs!$B$37*Inputs!$B$6/12)*(1+Inputs!$B$48)^(L3-1)*(Inputs!$C$37+(1-Inputs!$C$37)*L6/Inputs!$B$6),0)</f>
        <v>-9960</v>
      </c>
      <c r="M16" s="5" t="n">
        <f aca="false">IF(M1&gt;=Inputs!$B$10-Inputs!$D$37,-(Inputs!$B$37*Inputs!$B$6/12)*(1+Inputs!$B$48)^(M3-1)*(Inputs!$C$37+(1-Inputs!$C$37)*M6/Inputs!$B$6),0)</f>
        <v>-9960</v>
      </c>
      <c r="N16" s="5" t="n">
        <f aca="false">IF(N1&gt;=Inputs!$B$10-Inputs!$D$37,-(Inputs!$B$37*Inputs!$B$6/12)*(1+Inputs!$B$48)^(N3-1)*(Inputs!$C$37+(1-Inputs!$C$37)*N6/Inputs!$B$6),0)</f>
        <v>-9960</v>
      </c>
      <c r="O16" s="5" t="n">
        <f aca="false">IF(O1&gt;=Inputs!$B$10-Inputs!$D$37,-(Inputs!$B$37*Inputs!$B$6/12)*(1+Inputs!$B$48)^(O3-1)*(Inputs!$C$37+(1-Inputs!$C$37)*O6/Inputs!$B$6),0)</f>
        <v>-10209</v>
      </c>
      <c r="P16" s="5" t="n">
        <f aca="false">IF(P1&gt;=Inputs!$B$10-Inputs!$D$37,-(Inputs!$B$37*Inputs!$B$6/12)*(1+Inputs!$B$48)^(P3-1)*(Inputs!$C$37+(1-Inputs!$C$37)*P6/Inputs!$B$6),0)</f>
        <v>-10209</v>
      </c>
      <c r="Q16" s="5" t="n">
        <f aca="false">IF(Q1&gt;=Inputs!$B$10-Inputs!$D$37,-(Inputs!$B$37*Inputs!$B$6/12)*(1+Inputs!$B$48)^(Q3-1)*(Inputs!$C$37+(1-Inputs!$C$37)*Q6/Inputs!$B$6),0)</f>
        <v>-10209</v>
      </c>
      <c r="R16" s="5" t="n">
        <f aca="false">IF(R1&gt;=Inputs!$B$10-Inputs!$D$37,-(Inputs!$B$37*Inputs!$B$6/12)*(1+Inputs!$B$48)^(R3-1)*(Inputs!$C$37+(1-Inputs!$C$37)*R6/Inputs!$B$6),0)</f>
        <v>-10209</v>
      </c>
      <c r="S16" s="5" t="n">
        <f aca="false">IF(S1&gt;=Inputs!$B$10-Inputs!$D$37,-(Inputs!$B$37*Inputs!$B$6/12)*(1+Inputs!$B$48)^(S3-1)*(Inputs!$C$37+(1-Inputs!$C$37)*S6/Inputs!$B$6),0)</f>
        <v>-10209</v>
      </c>
      <c r="T16" s="5" t="n">
        <f aca="false">IF(T1&gt;=Inputs!$B$10-Inputs!$D$37,-(Inputs!$B$37*Inputs!$B$6/12)*(1+Inputs!$B$48)^(T3-1)*(Inputs!$C$37+(1-Inputs!$C$37)*T6/Inputs!$B$6),0)</f>
        <v>-10209</v>
      </c>
      <c r="U16" s="5" t="n">
        <f aca="false">IF(U1&gt;=Inputs!$B$10-Inputs!$D$37,-(Inputs!$B$37*Inputs!$B$6/12)*(1+Inputs!$B$48)^(U3-1)*(Inputs!$C$37+(1-Inputs!$C$37)*U6/Inputs!$B$6),0)</f>
        <v>-10209</v>
      </c>
      <c r="V16" s="5" t="n">
        <f aca="false">IF(V1&gt;=Inputs!$B$10-Inputs!$D$37,-(Inputs!$B$37*Inputs!$B$6/12)*(1+Inputs!$B$48)^(V3-1)*(Inputs!$C$37+(1-Inputs!$C$37)*V6/Inputs!$B$6),0)</f>
        <v>-10209</v>
      </c>
      <c r="W16" s="5" t="n">
        <f aca="false">IF(W1&gt;=Inputs!$B$10-Inputs!$D$37,-(Inputs!$B$37*Inputs!$B$6/12)*(1+Inputs!$B$48)^(W3-1)*(Inputs!$C$37+(1-Inputs!$C$37)*W6/Inputs!$B$6),0)</f>
        <v>-10209</v>
      </c>
      <c r="X16" s="5" t="n">
        <f aca="false">IF(X1&gt;=Inputs!$B$10-Inputs!$D$37,-(Inputs!$B$37*Inputs!$B$6/12)*(1+Inputs!$B$48)^(X3-1)*(Inputs!$C$37+(1-Inputs!$C$37)*X6/Inputs!$B$6),0)</f>
        <v>-10209</v>
      </c>
      <c r="Y16" s="5" t="n">
        <f aca="false">IF(Y1&gt;=Inputs!$B$10-Inputs!$D$37,-(Inputs!$B$37*Inputs!$B$6/12)*(1+Inputs!$B$48)^(Y3-1)*(Inputs!$C$37+(1-Inputs!$C$37)*Y6/Inputs!$B$6),0)</f>
        <v>-10209</v>
      </c>
      <c r="Z16" s="5" t="n">
        <f aca="false">IF(Z1&gt;=Inputs!$B$10-Inputs!$D$37,-(Inputs!$B$37*Inputs!$B$6/12)*(1+Inputs!$B$48)^(Z3-1)*(Inputs!$C$37+(1-Inputs!$C$37)*Z6/Inputs!$B$6),0)</f>
        <v>-10209</v>
      </c>
      <c r="AA16" s="5" t="n">
        <f aca="false">IF(AA1&gt;=Inputs!$B$10-Inputs!$D$37,-(Inputs!$B$37*Inputs!$B$6/12)*(1+Inputs!$B$48)^(AA3-1)*(Inputs!$C$37+(1-Inputs!$C$37)*AA6/Inputs!$B$6),0)</f>
        <v>-10464.225</v>
      </c>
      <c r="AB16" s="5" t="n">
        <f aca="false">IF(AB1&gt;=Inputs!$B$10-Inputs!$D$37,-(Inputs!$B$37*Inputs!$B$6/12)*(1+Inputs!$B$48)^(AB3-1)*(Inputs!$C$37+(1-Inputs!$C$37)*AB6/Inputs!$B$6),0)</f>
        <v>-10464.225</v>
      </c>
      <c r="AC16" s="5" t="n">
        <f aca="false">IF(AC1&gt;=Inputs!$B$10-Inputs!$D$37,-(Inputs!$B$37*Inputs!$B$6/12)*(1+Inputs!$B$48)^(AC3-1)*(Inputs!$C$37+(1-Inputs!$C$37)*AC6/Inputs!$B$6),0)</f>
        <v>-10464.225</v>
      </c>
      <c r="AD16" s="5" t="n">
        <f aca="false">IF(AD1&gt;=Inputs!$B$10-Inputs!$D$37,-(Inputs!$B$37*Inputs!$B$6/12)*(1+Inputs!$B$48)^(AD3-1)*(Inputs!$C$37+(1-Inputs!$C$37)*AD6/Inputs!$B$6),0)</f>
        <v>-10464.225</v>
      </c>
      <c r="AE16" s="5" t="n">
        <f aca="false">IF(AE1&gt;=Inputs!$B$10-Inputs!$D$37,-(Inputs!$B$37*Inputs!$B$6/12)*(1+Inputs!$B$48)^(AE3-1)*(Inputs!$C$37+(1-Inputs!$C$37)*AE6/Inputs!$B$6),0)</f>
        <v>-10464.225</v>
      </c>
      <c r="AF16" s="5" t="n">
        <f aca="false">IF(AF1&gt;=Inputs!$B$10-Inputs!$D$37,-(Inputs!$B$37*Inputs!$B$6/12)*(1+Inputs!$B$48)^(AF3-1)*(Inputs!$C$37+(1-Inputs!$C$37)*AF6/Inputs!$B$6),0)</f>
        <v>-10464.225</v>
      </c>
      <c r="AG16" s="5" t="n">
        <f aca="false">IF(AG1&gt;=Inputs!$B$10-Inputs!$D$37,-(Inputs!$B$37*Inputs!$B$6/12)*(1+Inputs!$B$48)^(AG3-1)*(Inputs!$C$37+(1-Inputs!$C$37)*AG6/Inputs!$B$6),0)</f>
        <v>-10464.225</v>
      </c>
      <c r="AH16" s="5" t="n">
        <f aca="false">IF(AH1&gt;=Inputs!$B$10-Inputs!$D$37,-(Inputs!$B$37*Inputs!$B$6/12)*(1+Inputs!$B$48)^(AH3-1)*(Inputs!$C$37+(1-Inputs!$C$37)*AH6/Inputs!$B$6),0)</f>
        <v>-10464.225</v>
      </c>
      <c r="AI16" s="5" t="n">
        <f aca="false">IF(AI1&gt;=Inputs!$B$10-Inputs!$D$37,-(Inputs!$B$37*Inputs!$B$6/12)*(1+Inputs!$B$48)^(AI3-1)*(Inputs!$C$37+(1-Inputs!$C$37)*AI6/Inputs!$B$6),0)</f>
        <v>-10464.225</v>
      </c>
      <c r="AJ16" s="5" t="n">
        <f aca="false">IF(AJ1&gt;=Inputs!$B$10-Inputs!$D$37,-(Inputs!$B$37*Inputs!$B$6/12)*(1+Inputs!$B$48)^(AJ3-1)*(Inputs!$C$37+(1-Inputs!$C$37)*AJ6/Inputs!$B$6),0)</f>
        <v>-10464.225</v>
      </c>
      <c r="AK16" s="5" t="n">
        <f aca="false">IF(AK1&gt;=Inputs!$B$10-Inputs!$D$37,-(Inputs!$B$37*Inputs!$B$6/12)*(1+Inputs!$B$48)^(AK3-1)*(Inputs!$C$37+(1-Inputs!$C$37)*AK6/Inputs!$B$6),0)</f>
        <v>-10464.225</v>
      </c>
      <c r="AL16" s="5" t="n">
        <f aca="false">IF(AL1&gt;=Inputs!$B$10-Inputs!$D$37,-(Inputs!$B$37*Inputs!$B$6/12)*(1+Inputs!$B$48)^(AL3-1)*(Inputs!$C$37+(1-Inputs!$C$37)*AL6/Inputs!$B$6),0)</f>
        <v>-10464.225</v>
      </c>
      <c r="AM16" s="5" t="n">
        <f aca="false">IF(AM1&gt;=Inputs!$B$10-Inputs!$D$37,-(Inputs!$B$37*Inputs!$B$6/12)*(1+Inputs!$B$48)^(AM3-1)*(Inputs!$C$37+(1-Inputs!$C$37)*AM6/Inputs!$B$6),0)</f>
        <v>-10725.830625</v>
      </c>
      <c r="AN16" s="5" t="n">
        <f aca="false">IF(AN1&gt;=Inputs!$B$10-Inputs!$D$37,-(Inputs!$B$37*Inputs!$B$6/12)*(1+Inputs!$B$48)^(AN3-1)*(Inputs!$C$37+(1-Inputs!$C$37)*AN6/Inputs!$B$6),0)</f>
        <v>-10725.830625</v>
      </c>
      <c r="AO16" s="5" t="n">
        <f aca="false">IF(AO1&gt;=Inputs!$B$10-Inputs!$D$37,-(Inputs!$B$37*Inputs!$B$6/12)*(1+Inputs!$B$48)^(AO3-1)*(Inputs!$C$37+(1-Inputs!$C$37)*AO6/Inputs!$B$6),0)</f>
        <v>-10725.830625</v>
      </c>
      <c r="AP16" s="5" t="n">
        <f aca="false">IF(AP1&gt;=Inputs!$B$10-Inputs!$D$37,-(Inputs!$B$37*Inputs!$B$6/12)*(1+Inputs!$B$48)^(AP3-1)*(Inputs!$C$37+(1-Inputs!$C$37)*AP6/Inputs!$B$6),0)</f>
        <v>-10725.830625</v>
      </c>
      <c r="AQ16" s="5" t="n">
        <f aca="false">IF(AQ1&gt;=Inputs!$B$10-Inputs!$D$37,-(Inputs!$B$37*Inputs!$B$6/12)*(1+Inputs!$B$48)^(AQ3-1)*(Inputs!$C$37+(1-Inputs!$C$37)*AQ6/Inputs!$B$6),0)</f>
        <v>-10725.830625</v>
      </c>
      <c r="AR16" s="5" t="n">
        <f aca="false">IF(AR1&gt;=Inputs!$B$10-Inputs!$D$37,-(Inputs!$B$37*Inputs!$B$6/12)*(1+Inputs!$B$48)^(AR3-1)*(Inputs!$C$37+(1-Inputs!$C$37)*AR6/Inputs!$B$6),0)</f>
        <v>-10725.830625</v>
      </c>
      <c r="AS16" s="5" t="n">
        <f aca="false">IF(AS1&gt;=Inputs!$B$10-Inputs!$D$37,-(Inputs!$B$37*Inputs!$B$6/12)*(1+Inputs!$B$48)^(AS3-1)*(Inputs!$C$37+(1-Inputs!$C$37)*AS6/Inputs!$B$6),0)</f>
        <v>-10725.830625</v>
      </c>
      <c r="AT16" s="5" t="n">
        <f aca="false">IF(AT1&gt;=Inputs!$B$10-Inputs!$D$37,-(Inputs!$B$37*Inputs!$B$6/12)*(1+Inputs!$B$48)^(AT3-1)*(Inputs!$C$37+(1-Inputs!$C$37)*AT6/Inputs!$B$6),0)</f>
        <v>-10725.830625</v>
      </c>
      <c r="AU16" s="5" t="n">
        <f aca="false">IF(AU1&gt;=Inputs!$B$10-Inputs!$D$37,-(Inputs!$B$37*Inputs!$B$6/12)*(1+Inputs!$B$48)^(AU3-1)*(Inputs!$C$37+(1-Inputs!$C$37)*AU6/Inputs!$B$6),0)</f>
        <v>-10725.830625</v>
      </c>
      <c r="AV16" s="5" t="n">
        <f aca="false">IF(AV1&gt;=Inputs!$B$10-Inputs!$D$37,-(Inputs!$B$37*Inputs!$B$6/12)*(1+Inputs!$B$48)^(AV3-1)*(Inputs!$C$37+(1-Inputs!$C$37)*AV6/Inputs!$B$6),0)</f>
        <v>-10725.830625</v>
      </c>
      <c r="AW16" s="5" t="n">
        <f aca="false">IF(AW1&gt;=Inputs!$B$10-Inputs!$D$37,-(Inputs!$B$37*Inputs!$B$6/12)*(1+Inputs!$B$48)^(AW3-1)*(Inputs!$C$37+(1-Inputs!$C$37)*AW6/Inputs!$B$6),0)</f>
        <v>-10725.830625</v>
      </c>
      <c r="AX16" s="5" t="n">
        <f aca="false">IF(AX1&gt;=Inputs!$B$10-Inputs!$D$37,-(Inputs!$B$37*Inputs!$B$6/12)*(1+Inputs!$B$48)^(AX3-1)*(Inputs!$C$37+(1-Inputs!$C$37)*AX6/Inputs!$B$6),0)</f>
        <v>-10725.830625</v>
      </c>
      <c r="AY16" s="5" t="n">
        <f aca="false">IF(AY1&gt;=Inputs!$B$10-Inputs!$D$37,-(Inputs!$B$37*Inputs!$B$6/12)*(1+Inputs!$B$48)^(AY3-1)*(Inputs!$C$37+(1-Inputs!$C$37)*AY6/Inputs!$B$6),0)</f>
        <v>-10993.976390625</v>
      </c>
      <c r="AZ16" s="5" t="n">
        <f aca="false">IF(AZ1&gt;=Inputs!$B$10-Inputs!$D$37,-(Inputs!$B$37*Inputs!$B$6/12)*(1+Inputs!$B$48)^(AZ3-1)*(Inputs!$C$37+(1-Inputs!$C$37)*AZ6/Inputs!$B$6),0)</f>
        <v>-10993.976390625</v>
      </c>
      <c r="BA16" s="5" t="n">
        <f aca="false">IF(BA1&gt;=Inputs!$B$10-Inputs!$D$37,-(Inputs!$B$37*Inputs!$B$6/12)*(1+Inputs!$B$48)^(BA3-1)*(Inputs!$C$37+(1-Inputs!$C$37)*BA6/Inputs!$B$6),0)</f>
        <v>-10993.976390625</v>
      </c>
      <c r="BB16" s="5" t="n">
        <f aca="false">IF(BB1&gt;=Inputs!$B$10-Inputs!$D$37,-(Inputs!$B$37*Inputs!$B$6/12)*(1+Inputs!$B$48)^(BB3-1)*(Inputs!$C$37+(1-Inputs!$C$37)*BB6/Inputs!$B$6),0)</f>
        <v>-10993.976390625</v>
      </c>
      <c r="BC16" s="5" t="n">
        <f aca="false">IF(BC1&gt;=Inputs!$B$10-Inputs!$D$37,-(Inputs!$B$37*Inputs!$B$6/12)*(1+Inputs!$B$48)^(BC3-1)*(Inputs!$C$37+(1-Inputs!$C$37)*BC6/Inputs!$B$6),0)</f>
        <v>-10993.976390625</v>
      </c>
      <c r="BD16" s="5" t="n">
        <f aca="false">IF(BD1&gt;=Inputs!$B$10-Inputs!$D$37,-(Inputs!$B$37*Inputs!$B$6/12)*(1+Inputs!$B$48)^(BD3-1)*(Inputs!$C$37+(1-Inputs!$C$37)*BD6/Inputs!$B$6),0)</f>
        <v>-10993.976390625</v>
      </c>
      <c r="BE16" s="5" t="n">
        <f aca="false">IF(BE1&gt;=Inputs!$B$10-Inputs!$D$37,-(Inputs!$B$37*Inputs!$B$6/12)*(1+Inputs!$B$48)^(BE3-1)*(Inputs!$C$37+(1-Inputs!$C$37)*BE6/Inputs!$B$6),0)</f>
        <v>-10993.976390625</v>
      </c>
      <c r="BF16" s="5" t="n">
        <f aca="false">IF(BF1&gt;=Inputs!$B$10-Inputs!$D$37,-(Inputs!$B$37*Inputs!$B$6/12)*(1+Inputs!$B$48)^(BF3-1)*(Inputs!$C$37+(1-Inputs!$C$37)*BF6/Inputs!$B$6),0)</f>
        <v>-10993.976390625</v>
      </c>
      <c r="BG16" s="5" t="n">
        <f aca="false">IF(BG1&gt;=Inputs!$B$10-Inputs!$D$37,-(Inputs!$B$37*Inputs!$B$6/12)*(1+Inputs!$B$48)^(BG3-1)*(Inputs!$C$37+(1-Inputs!$C$37)*BG6/Inputs!$B$6),0)</f>
        <v>-10993.976390625</v>
      </c>
      <c r="BH16" s="5" t="n">
        <f aca="false">IF(BH1&gt;=Inputs!$B$10-Inputs!$D$37,-(Inputs!$B$37*Inputs!$B$6/12)*(1+Inputs!$B$48)^(BH3-1)*(Inputs!$C$37+(1-Inputs!$C$37)*BH6/Inputs!$B$6),0)</f>
        <v>-10993.976390625</v>
      </c>
      <c r="BI16" s="5" t="n">
        <f aca="false">IF(BI1&gt;=Inputs!$B$10-Inputs!$D$37,-(Inputs!$B$37*Inputs!$B$6/12)*(1+Inputs!$B$48)^(BI3-1)*(Inputs!$C$37+(1-Inputs!$C$37)*BI6/Inputs!$B$6),0)</f>
        <v>-10993.976390625</v>
      </c>
      <c r="BJ16" s="5" t="n">
        <f aca="false">IF(BJ1&gt;=Inputs!$B$10-Inputs!$D$37,-(Inputs!$B$37*Inputs!$B$6/12)*(1+Inputs!$B$48)^(BJ3-1)*(Inputs!$C$37+(1-Inputs!$C$37)*BJ6/Inputs!$B$6),0)</f>
        <v>-10993.976390625</v>
      </c>
      <c r="BK16" s="5" t="n">
        <f aca="false">IF(BK1&gt;=Inputs!$B$10-Inputs!$D$37,-(Inputs!$B$37*Inputs!$B$6/12)*(1+Inputs!$B$48)^(BK3-1)*(Inputs!$C$37+(1-Inputs!$C$37)*BK6/Inputs!$B$6),0)</f>
        <v>-11268.8258003906</v>
      </c>
      <c r="BL16" s="5" t="n">
        <f aca="false">IF(BL1&gt;=Inputs!$B$10-Inputs!$D$37,-(Inputs!$B$37*Inputs!$B$6/12)*(1+Inputs!$B$48)^(BL3-1)*(Inputs!$C$37+(1-Inputs!$C$37)*BL6/Inputs!$B$6),0)</f>
        <v>-11268.8258003906</v>
      </c>
      <c r="BM16" s="5" t="n">
        <f aca="false">IF(BM1&gt;=Inputs!$B$10-Inputs!$D$37,-(Inputs!$B$37*Inputs!$B$6/12)*(1+Inputs!$B$48)^(BM3-1)*(Inputs!$C$37+(1-Inputs!$C$37)*BM6/Inputs!$B$6),0)</f>
        <v>-11268.8258003906</v>
      </c>
      <c r="BN16" s="5" t="n">
        <f aca="false">IF(BN1&gt;=Inputs!$B$10-Inputs!$D$37,-(Inputs!$B$37*Inputs!$B$6/12)*(1+Inputs!$B$48)^(BN3-1)*(Inputs!$C$37+(1-Inputs!$C$37)*BN6/Inputs!$B$6),0)</f>
        <v>-11268.8258003906</v>
      </c>
      <c r="BO16" s="5" t="n">
        <f aca="false">IF(BO1&gt;=Inputs!$B$10-Inputs!$D$37,-(Inputs!$B$37*Inputs!$B$6/12)*(1+Inputs!$B$48)^(BO3-1)*(Inputs!$C$37+(1-Inputs!$C$37)*BO6/Inputs!$B$6),0)</f>
        <v>-11268.8258003906</v>
      </c>
      <c r="BP16" s="5" t="n">
        <f aca="false">IF(BP1&gt;=Inputs!$B$10-Inputs!$D$37,-(Inputs!$B$37*Inputs!$B$6/12)*(1+Inputs!$B$48)^(BP3-1)*(Inputs!$C$37+(1-Inputs!$C$37)*BP6/Inputs!$B$6),0)</f>
        <v>-11268.8258003906</v>
      </c>
      <c r="BQ16" s="5" t="n">
        <f aca="false">IF(BQ1&gt;=Inputs!$B$10-Inputs!$D$37,-(Inputs!$B$37*Inputs!$B$6/12)*(1+Inputs!$B$48)^(BQ3-1)*(Inputs!$C$37+(1-Inputs!$C$37)*BQ6/Inputs!$B$6),0)</f>
        <v>-11268.8258003906</v>
      </c>
      <c r="BR16" s="5" t="n">
        <f aca="false">IF(BR1&gt;=Inputs!$B$10-Inputs!$D$37,-(Inputs!$B$37*Inputs!$B$6/12)*(1+Inputs!$B$48)^(BR3-1)*(Inputs!$C$37+(1-Inputs!$C$37)*BR6/Inputs!$B$6),0)</f>
        <v>-11268.8258003906</v>
      </c>
      <c r="BS16" s="5" t="n">
        <f aca="false">IF(BS1&gt;=Inputs!$B$10-Inputs!$D$37,-(Inputs!$B$37*Inputs!$B$6/12)*(1+Inputs!$B$48)^(BS3-1)*(Inputs!$C$37+(1-Inputs!$C$37)*BS6/Inputs!$B$6),0)</f>
        <v>-11268.8258003906</v>
      </c>
      <c r="BT16" s="5" t="n">
        <f aca="false">IF(BT1&gt;=Inputs!$B$10-Inputs!$D$37,-(Inputs!$B$37*Inputs!$B$6/12)*(1+Inputs!$B$48)^(BT3-1)*(Inputs!$C$37+(1-Inputs!$C$37)*BT6/Inputs!$B$6),0)</f>
        <v>-11268.8258003906</v>
      </c>
      <c r="BU16" s="5" t="n">
        <f aca="false">IF(BU1&gt;=Inputs!$B$10-Inputs!$D$37,-(Inputs!$B$37*Inputs!$B$6/12)*(1+Inputs!$B$48)^(BU3-1)*(Inputs!$C$37+(1-Inputs!$C$37)*BU6/Inputs!$B$6),0)</f>
        <v>-11268.8258003906</v>
      </c>
      <c r="BV16" s="5" t="n">
        <f aca="false">IF(BV1&gt;=Inputs!$B$10-Inputs!$D$37,-(Inputs!$B$37*Inputs!$B$6/12)*(1+Inputs!$B$48)^(BV3-1)*(Inputs!$C$37+(1-Inputs!$C$37)*BV6/Inputs!$B$6),0)</f>
        <v>-11268.8258003906</v>
      </c>
      <c r="BW16" s="5" t="n">
        <f aca="false">IF(BW1&gt;=Inputs!$B$10-Inputs!$D$37,-(Inputs!$B$37*Inputs!$B$6/12)*(1+Inputs!$B$48)^(BW3-1)*(Inputs!$C$37+(1-Inputs!$C$37)*BW6/Inputs!$B$6),0)</f>
        <v>-11550.5464454004</v>
      </c>
      <c r="BX16" s="5" t="n">
        <f aca="false">IF(BX1&gt;=Inputs!$B$10-Inputs!$D$37,-(Inputs!$B$37*Inputs!$B$6/12)*(1+Inputs!$B$48)^(BX3-1)*(Inputs!$C$37+(1-Inputs!$C$37)*BX6/Inputs!$B$6),0)</f>
        <v>-11550.5464454004</v>
      </c>
      <c r="BY16" s="5" t="n">
        <f aca="false">IF(BY1&gt;=Inputs!$B$10-Inputs!$D$37,-(Inputs!$B$37*Inputs!$B$6/12)*(1+Inputs!$B$48)^(BY3-1)*(Inputs!$C$37+(1-Inputs!$C$37)*BY6/Inputs!$B$6),0)</f>
        <v>-11550.5464454004</v>
      </c>
      <c r="BZ16" s="5" t="n">
        <f aca="false">IF(BZ1&gt;=Inputs!$B$10-Inputs!$D$37,-(Inputs!$B$37*Inputs!$B$6/12)*(1+Inputs!$B$48)^(BZ3-1)*(Inputs!$C$37+(1-Inputs!$C$37)*BZ6/Inputs!$B$6),0)</f>
        <v>-11550.5464454004</v>
      </c>
      <c r="CA16" s="5" t="n">
        <f aca="false">IF(CA1&gt;=Inputs!$B$10-Inputs!$D$37,-(Inputs!$B$37*Inputs!$B$6/12)*(1+Inputs!$B$48)^(CA3-1)*(Inputs!$C$37+(1-Inputs!$C$37)*CA6/Inputs!$B$6),0)</f>
        <v>-11550.5464454004</v>
      </c>
      <c r="CB16" s="5" t="n">
        <f aca="false">IF(CB1&gt;=Inputs!$B$10-Inputs!$D$37,-(Inputs!$B$37*Inputs!$B$6/12)*(1+Inputs!$B$48)^(CB3-1)*(Inputs!$C$37+(1-Inputs!$C$37)*CB6/Inputs!$B$6),0)</f>
        <v>-11550.5464454004</v>
      </c>
      <c r="CC16" s="5" t="n">
        <f aca="false">IF(CC1&gt;=Inputs!$B$10-Inputs!$D$37,-(Inputs!$B$37*Inputs!$B$6/12)*(1+Inputs!$B$48)^(CC3-1)*(Inputs!$C$37+(1-Inputs!$C$37)*CC6/Inputs!$B$6),0)</f>
        <v>-11550.5464454004</v>
      </c>
      <c r="CD16" s="5" t="n">
        <f aca="false">IF(CD1&gt;=Inputs!$B$10-Inputs!$D$37,-(Inputs!$B$37*Inputs!$B$6/12)*(1+Inputs!$B$48)^(CD3-1)*(Inputs!$C$37+(1-Inputs!$C$37)*CD6/Inputs!$B$6),0)</f>
        <v>-11550.5464454004</v>
      </c>
      <c r="CE16" s="5" t="n">
        <f aca="false">IF(CE1&gt;=Inputs!$B$10-Inputs!$D$37,-(Inputs!$B$37*Inputs!$B$6/12)*(1+Inputs!$B$48)^(CE3-1)*(Inputs!$C$37+(1-Inputs!$C$37)*CE6/Inputs!$B$6),0)</f>
        <v>-11550.5464454004</v>
      </c>
      <c r="CF16" s="5" t="n">
        <f aca="false">IF(CF1&gt;=Inputs!$B$10-Inputs!$D$37,-(Inputs!$B$37*Inputs!$B$6/12)*(1+Inputs!$B$48)^(CF3-1)*(Inputs!$C$37+(1-Inputs!$C$37)*CF6/Inputs!$B$6),0)</f>
        <v>-11550.5464454004</v>
      </c>
      <c r="CG16" s="5" t="n">
        <f aca="false">IF(CG1&gt;=Inputs!$B$10-Inputs!$D$37,-(Inputs!$B$37*Inputs!$B$6/12)*(1+Inputs!$B$48)^(CG3-1)*(Inputs!$C$37+(1-Inputs!$C$37)*CG6/Inputs!$B$6),0)</f>
        <v>-11550.5464454004</v>
      </c>
      <c r="CH16" s="5" t="n">
        <f aca="false">IF(CH1&gt;=Inputs!$B$10-Inputs!$D$37,-(Inputs!$B$37*Inputs!$B$6/12)*(1+Inputs!$B$48)^(CH3-1)*(Inputs!$C$37+(1-Inputs!$C$37)*CH6/Inputs!$B$6),0)</f>
        <v>-11550.5464454004</v>
      </c>
      <c r="CI16" s="5" t="n">
        <f aca="false">IF(CI1&gt;=Inputs!$B$10-Inputs!$D$37,-(Inputs!$B$37*Inputs!$B$6/12)*(1+Inputs!$B$48)^(CI3-1)*(Inputs!$C$37+(1-Inputs!$C$37)*CI6/Inputs!$B$6),0)</f>
        <v>-11839.3101065354</v>
      </c>
      <c r="CJ16" s="5" t="n">
        <f aca="false">IF(CJ1&gt;=Inputs!$B$10-Inputs!$D$37,-(Inputs!$B$37*Inputs!$B$6/12)*(1+Inputs!$B$48)^(CJ3-1)*(Inputs!$C$37+(1-Inputs!$C$37)*CJ6/Inputs!$B$6),0)</f>
        <v>-11839.3101065354</v>
      </c>
      <c r="CK16" s="5" t="n">
        <f aca="false">IF(CK1&gt;=Inputs!$B$10-Inputs!$D$37,-(Inputs!$B$37*Inputs!$B$6/12)*(1+Inputs!$B$48)^(CK3-1)*(Inputs!$C$37+(1-Inputs!$C$37)*CK6/Inputs!$B$6),0)</f>
        <v>-11839.3101065354</v>
      </c>
      <c r="CL16" s="5" t="n">
        <f aca="false">IF(CL1&gt;=Inputs!$B$10-Inputs!$D$37,-(Inputs!$B$37*Inputs!$B$6/12)*(1+Inputs!$B$48)^(CL3-1)*(Inputs!$C$37+(1-Inputs!$C$37)*CL6/Inputs!$B$6),0)</f>
        <v>-11839.3101065354</v>
      </c>
      <c r="CM16" s="5" t="n">
        <f aca="false">IF(CM1&gt;=Inputs!$B$10-Inputs!$D$37,-(Inputs!$B$37*Inputs!$B$6/12)*(1+Inputs!$B$48)^(CM3-1)*(Inputs!$C$37+(1-Inputs!$C$37)*CM6/Inputs!$B$6),0)</f>
        <v>-11839.3101065354</v>
      </c>
      <c r="CN16" s="5" t="n">
        <f aca="false">IF(CN1&gt;=Inputs!$B$10-Inputs!$D$37,-(Inputs!$B$37*Inputs!$B$6/12)*(1+Inputs!$B$48)^(CN3-1)*(Inputs!$C$37+(1-Inputs!$C$37)*CN6/Inputs!$B$6),0)</f>
        <v>-11839.3101065354</v>
      </c>
      <c r="CO16" s="5" t="n">
        <f aca="false">IF(CO1&gt;=Inputs!$B$10-Inputs!$D$37,-(Inputs!$B$37*Inputs!$B$6/12)*(1+Inputs!$B$48)^(CO3-1)*(Inputs!$C$37+(1-Inputs!$C$37)*CO6/Inputs!$B$6),0)</f>
        <v>-11839.3101065354</v>
      </c>
      <c r="CP16" s="5" t="n">
        <f aca="false">IF(CP1&gt;=Inputs!$B$10-Inputs!$D$37,-(Inputs!$B$37*Inputs!$B$6/12)*(1+Inputs!$B$48)^(CP3-1)*(Inputs!$C$37+(1-Inputs!$C$37)*CP6/Inputs!$B$6),0)</f>
        <v>-11839.3101065354</v>
      </c>
      <c r="CQ16" s="5" t="n">
        <f aca="false">IF(CQ1&gt;=Inputs!$B$10-Inputs!$D$37,-(Inputs!$B$37*Inputs!$B$6/12)*(1+Inputs!$B$48)^(CQ3-1)*(Inputs!$C$37+(1-Inputs!$C$37)*CQ6/Inputs!$B$6),0)</f>
        <v>-11839.3101065354</v>
      </c>
      <c r="CR16" s="5" t="n">
        <f aca="false">IF(CR1&gt;=Inputs!$B$10-Inputs!$D$37,-(Inputs!$B$37*Inputs!$B$6/12)*(1+Inputs!$B$48)^(CR3-1)*(Inputs!$C$37+(1-Inputs!$C$37)*CR6/Inputs!$B$6),0)</f>
        <v>-11839.3101065354</v>
      </c>
      <c r="CS16" s="5" t="n">
        <f aca="false">IF(CS1&gt;=Inputs!$B$10-Inputs!$D$37,-(Inputs!$B$37*Inputs!$B$6/12)*(1+Inputs!$B$48)^(CS3-1)*(Inputs!$C$37+(1-Inputs!$C$37)*CS6/Inputs!$B$6),0)</f>
        <v>-11839.3101065354</v>
      </c>
      <c r="CT16" s="5" t="n">
        <f aca="false">IF(CT1&gt;=Inputs!$B$10-Inputs!$D$37,-(Inputs!$B$37*Inputs!$B$6/12)*(1+Inputs!$B$48)^(CT3-1)*(Inputs!$C$37+(1-Inputs!$C$37)*CT6/Inputs!$B$6),0)</f>
        <v>-11839.3101065354</v>
      </c>
    </row>
    <row r="17" customFormat="false" ht="15" hidden="false" customHeight="false" outlineLevel="0" collapsed="false">
      <c r="B17" s="26" t="s">
        <v>70</v>
      </c>
      <c r="C17" s="5" t="n">
        <f aca="false">IF(C1&gt;=Inputs!$B$10-Inputs!$D$38,-(Inputs!$B$38*Inputs!$B$6/12)*(1+Inputs!$B$48)^(C3-1)*(Inputs!$C$38+(1-Inputs!$C$38)*C6/Inputs!$B$6),0)</f>
        <v>0</v>
      </c>
      <c r="D17" s="5" t="n">
        <f aca="false">IF(D1&gt;=Inputs!$B$10-Inputs!$D$38,-(Inputs!$B$38*Inputs!$B$6/12)*(1+Inputs!$B$48)^(D3-1)*(Inputs!$C$38+(1-Inputs!$C$38)*D6/Inputs!$B$6),0)</f>
        <v>0</v>
      </c>
      <c r="E17" s="5" t="n">
        <f aca="false">IF(E1&gt;=Inputs!$B$10-Inputs!$D$38,-(Inputs!$B$38*Inputs!$B$6/12)*(1+Inputs!$B$48)^(E3-1)*(Inputs!$C$38+(1-Inputs!$C$38)*E6/Inputs!$B$6),0)</f>
        <v>0</v>
      </c>
      <c r="F17" s="5" t="n">
        <f aca="false">IF(F1&gt;=Inputs!$B$10-Inputs!$D$38,-(Inputs!$B$38*Inputs!$B$6/12)*(1+Inputs!$B$48)^(F3-1)*(Inputs!$C$38+(1-Inputs!$C$38)*F6/Inputs!$B$6),0)</f>
        <v>0</v>
      </c>
      <c r="G17" s="5" t="n">
        <f aca="false">IF(G1&gt;=Inputs!$B$10-Inputs!$D$38,-(Inputs!$B$38*Inputs!$B$6/12)*(1+Inputs!$B$48)^(G3-1)*(Inputs!$C$38+(1-Inputs!$C$38)*G6/Inputs!$B$6),0)</f>
        <v>0</v>
      </c>
      <c r="H17" s="5" t="n">
        <f aca="false">IF(H1&gt;=Inputs!$B$10-Inputs!$D$38,-(Inputs!$B$38*Inputs!$B$6/12)*(1+Inputs!$B$48)^(H3-1)*(Inputs!$C$38+(1-Inputs!$C$38)*H6/Inputs!$B$6),0)</f>
        <v>0</v>
      </c>
      <c r="I17" s="5" t="n">
        <f aca="false">IF(I1&gt;=Inputs!$B$10-Inputs!$D$38,-(Inputs!$B$38*Inputs!$B$6/12)*(1+Inputs!$B$48)^(I3-1)*(Inputs!$C$38+(1-Inputs!$C$38)*I6/Inputs!$B$6),0)</f>
        <v>0</v>
      </c>
      <c r="J17" s="5" t="n">
        <f aca="false">IF(J1&gt;=Inputs!$B$10-Inputs!$D$38,-(Inputs!$B$38*Inputs!$B$6/12)*(1+Inputs!$B$48)^(J3-1)*(Inputs!$C$38+(1-Inputs!$C$38)*J6/Inputs!$B$6),0)</f>
        <v>0</v>
      </c>
      <c r="K17" s="5" t="n">
        <f aca="false">IF(K1&gt;=Inputs!$B$10-Inputs!$D$38,-(Inputs!$B$38*Inputs!$B$6/12)*(1+Inputs!$B$48)^(K3-1)*(Inputs!$C$38+(1-Inputs!$C$38)*K6/Inputs!$B$6),0)</f>
        <v>0</v>
      </c>
      <c r="L17" s="5" t="n">
        <f aca="false">IF(L1&gt;=Inputs!$B$10-Inputs!$D$38,-(Inputs!$B$38*Inputs!$B$6/12)*(1+Inputs!$B$48)^(L3-1)*(Inputs!$C$38+(1-Inputs!$C$38)*L6/Inputs!$B$6),0)</f>
        <v>0</v>
      </c>
      <c r="M17" s="5" t="n">
        <f aca="false">IF(M1&gt;=Inputs!$B$10-Inputs!$D$38,-(Inputs!$B$38*Inputs!$B$6/12)*(1+Inputs!$B$48)^(M3-1)*(Inputs!$C$38+(1-Inputs!$C$38)*M6/Inputs!$B$6),0)</f>
        <v>-2472</v>
      </c>
      <c r="N17" s="5" t="n">
        <f aca="false">IF(N1&gt;=Inputs!$B$10-Inputs!$D$38,-(Inputs!$B$38*Inputs!$B$6/12)*(1+Inputs!$B$48)^(N3-1)*(Inputs!$C$38+(1-Inputs!$C$38)*N6/Inputs!$B$6),0)</f>
        <v>-2472</v>
      </c>
      <c r="O17" s="5" t="n">
        <f aca="false">IF(O1&gt;=Inputs!$B$10-Inputs!$D$38,-(Inputs!$B$38*Inputs!$B$6/12)*(1+Inputs!$B$48)^(O3-1)*(Inputs!$C$38+(1-Inputs!$C$38)*O6/Inputs!$B$6),0)</f>
        <v>-2533.8</v>
      </c>
      <c r="P17" s="5" t="n">
        <f aca="false">IF(P1&gt;=Inputs!$B$10-Inputs!$D$38,-(Inputs!$B$38*Inputs!$B$6/12)*(1+Inputs!$B$48)^(P3-1)*(Inputs!$C$38+(1-Inputs!$C$38)*P6/Inputs!$B$6),0)</f>
        <v>-3257.74285714286</v>
      </c>
      <c r="Q17" s="5" t="n">
        <f aca="false">IF(Q1&gt;=Inputs!$B$10-Inputs!$D$38,-(Inputs!$B$38*Inputs!$B$6/12)*(1+Inputs!$B$48)^(Q3-1)*(Inputs!$C$38+(1-Inputs!$C$38)*Q6/Inputs!$B$6),0)</f>
        <v>-3981.68571428571</v>
      </c>
      <c r="R17" s="5" t="n">
        <f aca="false">IF(R1&gt;=Inputs!$B$10-Inputs!$D$38,-(Inputs!$B$38*Inputs!$B$6/12)*(1+Inputs!$B$48)^(R3-1)*(Inputs!$C$38+(1-Inputs!$C$38)*R6/Inputs!$B$6),0)</f>
        <v>-4705.62857142857</v>
      </c>
      <c r="S17" s="5" t="n">
        <f aca="false">IF(S1&gt;=Inputs!$B$10-Inputs!$D$38,-(Inputs!$B$38*Inputs!$B$6/12)*(1+Inputs!$B$48)^(S3-1)*(Inputs!$C$38+(1-Inputs!$C$38)*S6/Inputs!$B$6),0)</f>
        <v>-5429.57142857143</v>
      </c>
      <c r="T17" s="5" t="n">
        <f aca="false">IF(T1&gt;=Inputs!$B$10-Inputs!$D$38,-(Inputs!$B$38*Inputs!$B$6/12)*(1+Inputs!$B$48)^(T3-1)*(Inputs!$C$38+(1-Inputs!$C$38)*T6/Inputs!$B$6),0)</f>
        <v>-6153.51428571429</v>
      </c>
      <c r="U17" s="5" t="n">
        <f aca="false">IF(U1&gt;=Inputs!$B$10-Inputs!$D$38,-(Inputs!$B$38*Inputs!$B$6/12)*(1+Inputs!$B$48)^(U3-1)*(Inputs!$C$38+(1-Inputs!$C$38)*U6/Inputs!$B$6),0)</f>
        <v>-6877.45714285714</v>
      </c>
      <c r="V17" s="5" t="n">
        <f aca="false">IF(V1&gt;=Inputs!$B$10-Inputs!$D$38,-(Inputs!$B$38*Inputs!$B$6/12)*(1+Inputs!$B$48)^(V3-1)*(Inputs!$C$38+(1-Inputs!$C$38)*V6/Inputs!$B$6),0)</f>
        <v>-7601.4</v>
      </c>
      <c r="W17" s="5" t="n">
        <f aca="false">IF(W1&gt;=Inputs!$B$10-Inputs!$D$38,-(Inputs!$B$38*Inputs!$B$6/12)*(1+Inputs!$B$48)^(W3-1)*(Inputs!$C$38+(1-Inputs!$C$38)*W6/Inputs!$B$6),0)</f>
        <v>-8325.34285714286</v>
      </c>
      <c r="X17" s="5" t="n">
        <f aca="false">IF(X1&gt;=Inputs!$B$10-Inputs!$D$38,-(Inputs!$B$38*Inputs!$B$6/12)*(1+Inputs!$B$48)^(X3-1)*(Inputs!$C$38+(1-Inputs!$C$38)*X6/Inputs!$B$6),0)</f>
        <v>-9049.28571428571</v>
      </c>
      <c r="Y17" s="5" t="n">
        <f aca="false">IF(Y1&gt;=Inputs!$B$10-Inputs!$D$38,-(Inputs!$B$38*Inputs!$B$6/12)*(1+Inputs!$B$48)^(Y3-1)*(Inputs!$C$38+(1-Inputs!$C$38)*Y6/Inputs!$B$6),0)</f>
        <v>-9773.22857142857</v>
      </c>
      <c r="Z17" s="5" t="n">
        <f aca="false">IF(Z1&gt;=Inputs!$B$10-Inputs!$D$38,-(Inputs!$B$38*Inputs!$B$6/12)*(1+Inputs!$B$48)^(Z3-1)*(Inputs!$C$38+(1-Inputs!$C$38)*Z6/Inputs!$B$6),0)</f>
        <v>-10497.1714285714</v>
      </c>
      <c r="AA17" s="5" t="n">
        <f aca="false">IF(AA1&gt;=Inputs!$B$10-Inputs!$D$38,-(Inputs!$B$38*Inputs!$B$6/12)*(1+Inputs!$B$48)^(AA3-1)*(Inputs!$C$38+(1-Inputs!$C$38)*AA6/Inputs!$B$6),0)</f>
        <v>-11501.6421428571</v>
      </c>
      <c r="AB17" s="5" t="n">
        <f aca="false">IF(AB1&gt;=Inputs!$B$10-Inputs!$D$38,-(Inputs!$B$38*Inputs!$B$6/12)*(1+Inputs!$B$48)^(AB3-1)*(Inputs!$C$38+(1-Inputs!$C$38)*AB6/Inputs!$B$6),0)</f>
        <v>-12243.6835714286</v>
      </c>
      <c r="AC17" s="5" t="n">
        <f aca="false">IF(AC1&gt;=Inputs!$B$10-Inputs!$D$38,-(Inputs!$B$38*Inputs!$B$6/12)*(1+Inputs!$B$48)^(AC3-1)*(Inputs!$C$38+(1-Inputs!$C$38)*AC6/Inputs!$B$6),0)</f>
        <v>-12258.5244</v>
      </c>
      <c r="AD17" s="5" t="n">
        <f aca="false">IF(AD1&gt;=Inputs!$B$10-Inputs!$D$38,-(Inputs!$B$38*Inputs!$B$6/12)*(1+Inputs!$B$48)^(AD3-1)*(Inputs!$C$38+(1-Inputs!$C$38)*AD6/Inputs!$B$6),0)</f>
        <v>-12258.5244</v>
      </c>
      <c r="AE17" s="5" t="n">
        <f aca="false">IF(AE1&gt;=Inputs!$B$10-Inputs!$D$38,-(Inputs!$B$38*Inputs!$B$6/12)*(1+Inputs!$B$48)^(AE3-1)*(Inputs!$C$38+(1-Inputs!$C$38)*AE6/Inputs!$B$6),0)</f>
        <v>-12258.5244</v>
      </c>
      <c r="AF17" s="5" t="n">
        <f aca="false">IF(AF1&gt;=Inputs!$B$10-Inputs!$D$38,-(Inputs!$B$38*Inputs!$B$6/12)*(1+Inputs!$B$48)^(AF3-1)*(Inputs!$C$38+(1-Inputs!$C$38)*AF6/Inputs!$B$6),0)</f>
        <v>-12258.5244</v>
      </c>
      <c r="AG17" s="5" t="n">
        <f aca="false">IF(AG1&gt;=Inputs!$B$10-Inputs!$D$38,-(Inputs!$B$38*Inputs!$B$6/12)*(1+Inputs!$B$48)^(AG3-1)*(Inputs!$C$38+(1-Inputs!$C$38)*AG6/Inputs!$B$6),0)</f>
        <v>-12258.5244</v>
      </c>
      <c r="AH17" s="5" t="n">
        <f aca="false">IF(AH1&gt;=Inputs!$B$10-Inputs!$D$38,-(Inputs!$B$38*Inputs!$B$6/12)*(1+Inputs!$B$48)^(AH3-1)*(Inputs!$C$38+(1-Inputs!$C$38)*AH6/Inputs!$B$6),0)</f>
        <v>-12258.5244</v>
      </c>
      <c r="AI17" s="5" t="n">
        <f aca="false">IF(AI1&gt;=Inputs!$B$10-Inputs!$D$38,-(Inputs!$B$38*Inputs!$B$6/12)*(1+Inputs!$B$48)^(AI3-1)*(Inputs!$C$38+(1-Inputs!$C$38)*AI6/Inputs!$B$6),0)</f>
        <v>-12258.5244</v>
      </c>
      <c r="AJ17" s="5" t="n">
        <f aca="false">IF(AJ1&gt;=Inputs!$B$10-Inputs!$D$38,-(Inputs!$B$38*Inputs!$B$6/12)*(1+Inputs!$B$48)^(AJ3-1)*(Inputs!$C$38+(1-Inputs!$C$38)*AJ6/Inputs!$B$6),0)</f>
        <v>-12258.5244</v>
      </c>
      <c r="AK17" s="5" t="n">
        <f aca="false">IF(AK1&gt;=Inputs!$B$10-Inputs!$D$38,-(Inputs!$B$38*Inputs!$B$6/12)*(1+Inputs!$B$48)^(AK3-1)*(Inputs!$C$38+(1-Inputs!$C$38)*AK6/Inputs!$B$6),0)</f>
        <v>-12258.5244</v>
      </c>
      <c r="AL17" s="5" t="n">
        <f aca="false">IF(AL1&gt;=Inputs!$B$10-Inputs!$D$38,-(Inputs!$B$38*Inputs!$B$6/12)*(1+Inputs!$B$48)^(AL3-1)*(Inputs!$C$38+(1-Inputs!$C$38)*AL6/Inputs!$B$6),0)</f>
        <v>-12258.5244</v>
      </c>
      <c r="AM17" s="5" t="n">
        <f aca="false">IF(AM1&gt;=Inputs!$B$10-Inputs!$D$38,-(Inputs!$B$38*Inputs!$B$6/12)*(1+Inputs!$B$48)^(AM3-1)*(Inputs!$C$38+(1-Inputs!$C$38)*AM6/Inputs!$B$6),0)</f>
        <v>-12564.98751</v>
      </c>
      <c r="AN17" s="5" t="n">
        <f aca="false">IF(AN1&gt;=Inputs!$B$10-Inputs!$D$38,-(Inputs!$B$38*Inputs!$B$6/12)*(1+Inputs!$B$48)^(AN3-1)*(Inputs!$C$38+(1-Inputs!$C$38)*AN6/Inputs!$B$6),0)</f>
        <v>-12564.98751</v>
      </c>
      <c r="AO17" s="5" t="n">
        <f aca="false">IF(AO1&gt;=Inputs!$B$10-Inputs!$D$38,-(Inputs!$B$38*Inputs!$B$6/12)*(1+Inputs!$B$48)^(AO3-1)*(Inputs!$C$38+(1-Inputs!$C$38)*AO6/Inputs!$B$6),0)</f>
        <v>-12564.98751</v>
      </c>
      <c r="AP17" s="5" t="n">
        <f aca="false">IF(AP1&gt;=Inputs!$B$10-Inputs!$D$38,-(Inputs!$B$38*Inputs!$B$6/12)*(1+Inputs!$B$48)^(AP3-1)*(Inputs!$C$38+(1-Inputs!$C$38)*AP6/Inputs!$B$6),0)</f>
        <v>-12564.98751</v>
      </c>
      <c r="AQ17" s="5" t="n">
        <f aca="false">IF(AQ1&gt;=Inputs!$B$10-Inputs!$D$38,-(Inputs!$B$38*Inputs!$B$6/12)*(1+Inputs!$B$48)^(AQ3-1)*(Inputs!$C$38+(1-Inputs!$C$38)*AQ6/Inputs!$B$6),0)</f>
        <v>-12564.98751</v>
      </c>
      <c r="AR17" s="5" t="n">
        <f aca="false">IF(AR1&gt;=Inputs!$B$10-Inputs!$D$38,-(Inputs!$B$38*Inputs!$B$6/12)*(1+Inputs!$B$48)^(AR3-1)*(Inputs!$C$38+(1-Inputs!$C$38)*AR6/Inputs!$B$6),0)</f>
        <v>-12564.98751</v>
      </c>
      <c r="AS17" s="5" t="n">
        <f aca="false">IF(AS1&gt;=Inputs!$B$10-Inputs!$D$38,-(Inputs!$B$38*Inputs!$B$6/12)*(1+Inputs!$B$48)^(AS3-1)*(Inputs!$C$38+(1-Inputs!$C$38)*AS6/Inputs!$B$6),0)</f>
        <v>-12564.98751</v>
      </c>
      <c r="AT17" s="5" t="n">
        <f aca="false">IF(AT1&gt;=Inputs!$B$10-Inputs!$D$38,-(Inputs!$B$38*Inputs!$B$6/12)*(1+Inputs!$B$48)^(AT3-1)*(Inputs!$C$38+(1-Inputs!$C$38)*AT6/Inputs!$B$6),0)</f>
        <v>-12564.98751</v>
      </c>
      <c r="AU17" s="5" t="n">
        <f aca="false">IF(AU1&gt;=Inputs!$B$10-Inputs!$D$38,-(Inputs!$B$38*Inputs!$B$6/12)*(1+Inputs!$B$48)^(AU3-1)*(Inputs!$C$38+(1-Inputs!$C$38)*AU6/Inputs!$B$6),0)</f>
        <v>-12564.98751</v>
      </c>
      <c r="AV17" s="5" t="n">
        <f aca="false">IF(AV1&gt;=Inputs!$B$10-Inputs!$D$38,-(Inputs!$B$38*Inputs!$B$6/12)*(1+Inputs!$B$48)^(AV3-1)*(Inputs!$C$38+(1-Inputs!$C$38)*AV6/Inputs!$B$6),0)</f>
        <v>-12564.98751</v>
      </c>
      <c r="AW17" s="5" t="n">
        <f aca="false">IF(AW1&gt;=Inputs!$B$10-Inputs!$D$38,-(Inputs!$B$38*Inputs!$B$6/12)*(1+Inputs!$B$48)^(AW3-1)*(Inputs!$C$38+(1-Inputs!$C$38)*AW6/Inputs!$B$6),0)</f>
        <v>-12564.98751</v>
      </c>
      <c r="AX17" s="5" t="n">
        <f aca="false">IF(AX1&gt;=Inputs!$B$10-Inputs!$D$38,-(Inputs!$B$38*Inputs!$B$6/12)*(1+Inputs!$B$48)^(AX3-1)*(Inputs!$C$38+(1-Inputs!$C$38)*AX6/Inputs!$B$6),0)</f>
        <v>-12564.98751</v>
      </c>
      <c r="AY17" s="5" t="n">
        <f aca="false">IF(AY1&gt;=Inputs!$B$10-Inputs!$D$38,-(Inputs!$B$38*Inputs!$B$6/12)*(1+Inputs!$B$48)^(AY3-1)*(Inputs!$C$38+(1-Inputs!$C$38)*AY6/Inputs!$B$6),0)</f>
        <v>-12879.11219775</v>
      </c>
      <c r="AZ17" s="5" t="n">
        <f aca="false">IF(AZ1&gt;=Inputs!$B$10-Inputs!$D$38,-(Inputs!$B$38*Inputs!$B$6/12)*(1+Inputs!$B$48)^(AZ3-1)*(Inputs!$C$38+(1-Inputs!$C$38)*AZ6/Inputs!$B$6),0)</f>
        <v>-12879.11219775</v>
      </c>
      <c r="BA17" s="5" t="n">
        <f aca="false">IF(BA1&gt;=Inputs!$B$10-Inputs!$D$38,-(Inputs!$B$38*Inputs!$B$6/12)*(1+Inputs!$B$48)^(BA3-1)*(Inputs!$C$38+(1-Inputs!$C$38)*BA6/Inputs!$B$6),0)</f>
        <v>-12879.11219775</v>
      </c>
      <c r="BB17" s="5" t="n">
        <f aca="false">IF(BB1&gt;=Inputs!$B$10-Inputs!$D$38,-(Inputs!$B$38*Inputs!$B$6/12)*(1+Inputs!$B$48)^(BB3-1)*(Inputs!$C$38+(1-Inputs!$C$38)*BB6/Inputs!$B$6),0)</f>
        <v>-12879.11219775</v>
      </c>
      <c r="BC17" s="5" t="n">
        <f aca="false">IF(BC1&gt;=Inputs!$B$10-Inputs!$D$38,-(Inputs!$B$38*Inputs!$B$6/12)*(1+Inputs!$B$48)^(BC3-1)*(Inputs!$C$38+(1-Inputs!$C$38)*BC6/Inputs!$B$6),0)</f>
        <v>-12879.11219775</v>
      </c>
      <c r="BD17" s="5" t="n">
        <f aca="false">IF(BD1&gt;=Inputs!$B$10-Inputs!$D$38,-(Inputs!$B$38*Inputs!$B$6/12)*(1+Inputs!$B$48)^(BD3-1)*(Inputs!$C$38+(1-Inputs!$C$38)*BD6/Inputs!$B$6),0)</f>
        <v>-12879.11219775</v>
      </c>
      <c r="BE17" s="5" t="n">
        <f aca="false">IF(BE1&gt;=Inputs!$B$10-Inputs!$D$38,-(Inputs!$B$38*Inputs!$B$6/12)*(1+Inputs!$B$48)^(BE3-1)*(Inputs!$C$38+(1-Inputs!$C$38)*BE6/Inputs!$B$6),0)</f>
        <v>-12879.11219775</v>
      </c>
      <c r="BF17" s="5" t="n">
        <f aca="false">IF(BF1&gt;=Inputs!$B$10-Inputs!$D$38,-(Inputs!$B$38*Inputs!$B$6/12)*(1+Inputs!$B$48)^(BF3-1)*(Inputs!$C$38+(1-Inputs!$C$38)*BF6/Inputs!$B$6),0)</f>
        <v>-12879.11219775</v>
      </c>
      <c r="BG17" s="5" t="n">
        <f aca="false">IF(BG1&gt;=Inputs!$B$10-Inputs!$D$38,-(Inputs!$B$38*Inputs!$B$6/12)*(1+Inputs!$B$48)^(BG3-1)*(Inputs!$C$38+(1-Inputs!$C$38)*BG6/Inputs!$B$6),0)</f>
        <v>-12879.11219775</v>
      </c>
      <c r="BH17" s="5" t="n">
        <f aca="false">IF(BH1&gt;=Inputs!$B$10-Inputs!$D$38,-(Inputs!$B$38*Inputs!$B$6/12)*(1+Inputs!$B$48)^(BH3-1)*(Inputs!$C$38+(1-Inputs!$C$38)*BH6/Inputs!$B$6),0)</f>
        <v>-12879.11219775</v>
      </c>
      <c r="BI17" s="5" t="n">
        <f aca="false">IF(BI1&gt;=Inputs!$B$10-Inputs!$D$38,-(Inputs!$B$38*Inputs!$B$6/12)*(1+Inputs!$B$48)^(BI3-1)*(Inputs!$C$38+(1-Inputs!$C$38)*BI6/Inputs!$B$6),0)</f>
        <v>-12879.11219775</v>
      </c>
      <c r="BJ17" s="5" t="n">
        <f aca="false">IF(BJ1&gt;=Inputs!$B$10-Inputs!$D$38,-(Inputs!$B$38*Inputs!$B$6/12)*(1+Inputs!$B$48)^(BJ3-1)*(Inputs!$C$38+(1-Inputs!$C$38)*BJ6/Inputs!$B$6),0)</f>
        <v>-12879.11219775</v>
      </c>
      <c r="BK17" s="5" t="n">
        <f aca="false">IF(BK1&gt;=Inputs!$B$10-Inputs!$D$38,-(Inputs!$B$38*Inputs!$B$6/12)*(1+Inputs!$B$48)^(BK3-1)*(Inputs!$C$38+(1-Inputs!$C$38)*BK6/Inputs!$B$6),0)</f>
        <v>-13201.0900026937</v>
      </c>
      <c r="BL17" s="5" t="n">
        <f aca="false">IF(BL1&gt;=Inputs!$B$10-Inputs!$D$38,-(Inputs!$B$38*Inputs!$B$6/12)*(1+Inputs!$B$48)^(BL3-1)*(Inputs!$C$38+(1-Inputs!$C$38)*BL6/Inputs!$B$6),0)</f>
        <v>-13201.0900026937</v>
      </c>
      <c r="BM17" s="5" t="n">
        <f aca="false">IF(BM1&gt;=Inputs!$B$10-Inputs!$D$38,-(Inputs!$B$38*Inputs!$B$6/12)*(1+Inputs!$B$48)^(BM3-1)*(Inputs!$C$38+(1-Inputs!$C$38)*BM6/Inputs!$B$6),0)</f>
        <v>-13201.0900026937</v>
      </c>
      <c r="BN17" s="5" t="n">
        <f aca="false">IF(BN1&gt;=Inputs!$B$10-Inputs!$D$38,-(Inputs!$B$38*Inputs!$B$6/12)*(1+Inputs!$B$48)^(BN3-1)*(Inputs!$C$38+(1-Inputs!$C$38)*BN6/Inputs!$B$6),0)</f>
        <v>-13201.0900026937</v>
      </c>
      <c r="BO17" s="5" t="n">
        <f aca="false">IF(BO1&gt;=Inputs!$B$10-Inputs!$D$38,-(Inputs!$B$38*Inputs!$B$6/12)*(1+Inputs!$B$48)^(BO3-1)*(Inputs!$C$38+(1-Inputs!$C$38)*BO6/Inputs!$B$6),0)</f>
        <v>-13201.0900026937</v>
      </c>
      <c r="BP17" s="5" t="n">
        <f aca="false">IF(BP1&gt;=Inputs!$B$10-Inputs!$D$38,-(Inputs!$B$38*Inputs!$B$6/12)*(1+Inputs!$B$48)^(BP3-1)*(Inputs!$C$38+(1-Inputs!$C$38)*BP6/Inputs!$B$6),0)</f>
        <v>-13201.0900026937</v>
      </c>
      <c r="BQ17" s="5" t="n">
        <f aca="false">IF(BQ1&gt;=Inputs!$B$10-Inputs!$D$38,-(Inputs!$B$38*Inputs!$B$6/12)*(1+Inputs!$B$48)^(BQ3-1)*(Inputs!$C$38+(1-Inputs!$C$38)*BQ6/Inputs!$B$6),0)</f>
        <v>-13201.0900026937</v>
      </c>
      <c r="BR17" s="5" t="n">
        <f aca="false">IF(BR1&gt;=Inputs!$B$10-Inputs!$D$38,-(Inputs!$B$38*Inputs!$B$6/12)*(1+Inputs!$B$48)^(BR3-1)*(Inputs!$C$38+(1-Inputs!$C$38)*BR6/Inputs!$B$6),0)</f>
        <v>-13201.0900026937</v>
      </c>
      <c r="BS17" s="5" t="n">
        <f aca="false">IF(BS1&gt;=Inputs!$B$10-Inputs!$D$38,-(Inputs!$B$38*Inputs!$B$6/12)*(1+Inputs!$B$48)^(BS3-1)*(Inputs!$C$38+(1-Inputs!$C$38)*BS6/Inputs!$B$6),0)</f>
        <v>-13201.0900026937</v>
      </c>
      <c r="BT17" s="5" t="n">
        <f aca="false">IF(BT1&gt;=Inputs!$B$10-Inputs!$D$38,-(Inputs!$B$38*Inputs!$B$6/12)*(1+Inputs!$B$48)^(BT3-1)*(Inputs!$C$38+(1-Inputs!$C$38)*BT6/Inputs!$B$6),0)</f>
        <v>-13201.0900026937</v>
      </c>
      <c r="BU17" s="5" t="n">
        <f aca="false">IF(BU1&gt;=Inputs!$B$10-Inputs!$D$38,-(Inputs!$B$38*Inputs!$B$6/12)*(1+Inputs!$B$48)^(BU3-1)*(Inputs!$C$38+(1-Inputs!$C$38)*BU6/Inputs!$B$6),0)</f>
        <v>-13201.0900026937</v>
      </c>
      <c r="BV17" s="5" t="n">
        <f aca="false">IF(BV1&gt;=Inputs!$B$10-Inputs!$D$38,-(Inputs!$B$38*Inputs!$B$6/12)*(1+Inputs!$B$48)^(BV3-1)*(Inputs!$C$38+(1-Inputs!$C$38)*BV6/Inputs!$B$6),0)</f>
        <v>-13201.0900026937</v>
      </c>
      <c r="BW17" s="5" t="n">
        <f aca="false">IF(BW1&gt;=Inputs!$B$10-Inputs!$D$38,-(Inputs!$B$38*Inputs!$B$6/12)*(1+Inputs!$B$48)^(BW3-1)*(Inputs!$C$38+(1-Inputs!$C$38)*BW6/Inputs!$B$6),0)</f>
        <v>-13531.1172527611</v>
      </c>
      <c r="BX17" s="5" t="n">
        <f aca="false">IF(BX1&gt;=Inputs!$B$10-Inputs!$D$38,-(Inputs!$B$38*Inputs!$B$6/12)*(1+Inputs!$B$48)^(BX3-1)*(Inputs!$C$38+(1-Inputs!$C$38)*BX6/Inputs!$B$6),0)</f>
        <v>-13531.1172527611</v>
      </c>
      <c r="BY17" s="5" t="n">
        <f aca="false">IF(BY1&gt;=Inputs!$B$10-Inputs!$D$38,-(Inputs!$B$38*Inputs!$B$6/12)*(1+Inputs!$B$48)^(BY3-1)*(Inputs!$C$38+(1-Inputs!$C$38)*BY6/Inputs!$B$6),0)</f>
        <v>-13531.1172527611</v>
      </c>
      <c r="BZ17" s="5" t="n">
        <f aca="false">IF(BZ1&gt;=Inputs!$B$10-Inputs!$D$38,-(Inputs!$B$38*Inputs!$B$6/12)*(1+Inputs!$B$48)^(BZ3-1)*(Inputs!$C$38+(1-Inputs!$C$38)*BZ6/Inputs!$B$6),0)</f>
        <v>-13531.1172527611</v>
      </c>
      <c r="CA17" s="5" t="n">
        <f aca="false">IF(CA1&gt;=Inputs!$B$10-Inputs!$D$38,-(Inputs!$B$38*Inputs!$B$6/12)*(1+Inputs!$B$48)^(CA3-1)*(Inputs!$C$38+(1-Inputs!$C$38)*CA6/Inputs!$B$6),0)</f>
        <v>-13531.1172527611</v>
      </c>
      <c r="CB17" s="5" t="n">
        <f aca="false">IF(CB1&gt;=Inputs!$B$10-Inputs!$D$38,-(Inputs!$B$38*Inputs!$B$6/12)*(1+Inputs!$B$48)^(CB3-1)*(Inputs!$C$38+(1-Inputs!$C$38)*CB6/Inputs!$B$6),0)</f>
        <v>-13531.1172527611</v>
      </c>
      <c r="CC17" s="5" t="n">
        <f aca="false">IF(CC1&gt;=Inputs!$B$10-Inputs!$D$38,-(Inputs!$B$38*Inputs!$B$6/12)*(1+Inputs!$B$48)^(CC3-1)*(Inputs!$C$38+(1-Inputs!$C$38)*CC6/Inputs!$B$6),0)</f>
        <v>-13531.1172527611</v>
      </c>
      <c r="CD17" s="5" t="n">
        <f aca="false">IF(CD1&gt;=Inputs!$B$10-Inputs!$D$38,-(Inputs!$B$38*Inputs!$B$6/12)*(1+Inputs!$B$48)^(CD3-1)*(Inputs!$C$38+(1-Inputs!$C$38)*CD6/Inputs!$B$6),0)</f>
        <v>-13531.1172527611</v>
      </c>
      <c r="CE17" s="5" t="n">
        <f aca="false">IF(CE1&gt;=Inputs!$B$10-Inputs!$D$38,-(Inputs!$B$38*Inputs!$B$6/12)*(1+Inputs!$B$48)^(CE3-1)*(Inputs!$C$38+(1-Inputs!$C$38)*CE6/Inputs!$B$6),0)</f>
        <v>-13531.1172527611</v>
      </c>
      <c r="CF17" s="5" t="n">
        <f aca="false">IF(CF1&gt;=Inputs!$B$10-Inputs!$D$38,-(Inputs!$B$38*Inputs!$B$6/12)*(1+Inputs!$B$48)^(CF3-1)*(Inputs!$C$38+(1-Inputs!$C$38)*CF6/Inputs!$B$6),0)</f>
        <v>-13531.1172527611</v>
      </c>
      <c r="CG17" s="5" t="n">
        <f aca="false">IF(CG1&gt;=Inputs!$B$10-Inputs!$D$38,-(Inputs!$B$38*Inputs!$B$6/12)*(1+Inputs!$B$48)^(CG3-1)*(Inputs!$C$38+(1-Inputs!$C$38)*CG6/Inputs!$B$6),0)</f>
        <v>-13531.1172527611</v>
      </c>
      <c r="CH17" s="5" t="n">
        <f aca="false">IF(CH1&gt;=Inputs!$B$10-Inputs!$D$38,-(Inputs!$B$38*Inputs!$B$6/12)*(1+Inputs!$B$48)^(CH3-1)*(Inputs!$C$38+(1-Inputs!$C$38)*CH6/Inputs!$B$6),0)</f>
        <v>-13531.1172527611</v>
      </c>
      <c r="CI17" s="5" t="n">
        <f aca="false">IF(CI1&gt;=Inputs!$B$10-Inputs!$D$38,-(Inputs!$B$38*Inputs!$B$6/12)*(1+Inputs!$B$48)^(CI3-1)*(Inputs!$C$38+(1-Inputs!$C$38)*CI6/Inputs!$B$6),0)</f>
        <v>-13869.3951840801</v>
      </c>
      <c r="CJ17" s="5" t="n">
        <f aca="false">IF(CJ1&gt;=Inputs!$B$10-Inputs!$D$38,-(Inputs!$B$38*Inputs!$B$6/12)*(1+Inputs!$B$48)^(CJ3-1)*(Inputs!$C$38+(1-Inputs!$C$38)*CJ6/Inputs!$B$6),0)</f>
        <v>-13869.3951840801</v>
      </c>
      <c r="CK17" s="5" t="n">
        <f aca="false">IF(CK1&gt;=Inputs!$B$10-Inputs!$D$38,-(Inputs!$B$38*Inputs!$B$6/12)*(1+Inputs!$B$48)^(CK3-1)*(Inputs!$C$38+(1-Inputs!$C$38)*CK6/Inputs!$B$6),0)</f>
        <v>-13869.3951840801</v>
      </c>
      <c r="CL17" s="5" t="n">
        <f aca="false">IF(CL1&gt;=Inputs!$B$10-Inputs!$D$38,-(Inputs!$B$38*Inputs!$B$6/12)*(1+Inputs!$B$48)^(CL3-1)*(Inputs!$C$38+(1-Inputs!$C$38)*CL6/Inputs!$B$6),0)</f>
        <v>-13869.3951840801</v>
      </c>
      <c r="CM17" s="5" t="n">
        <f aca="false">IF(CM1&gt;=Inputs!$B$10-Inputs!$D$38,-(Inputs!$B$38*Inputs!$B$6/12)*(1+Inputs!$B$48)^(CM3-1)*(Inputs!$C$38+(1-Inputs!$C$38)*CM6/Inputs!$B$6),0)</f>
        <v>-13869.3951840801</v>
      </c>
      <c r="CN17" s="5" t="n">
        <f aca="false">IF(CN1&gt;=Inputs!$B$10-Inputs!$D$38,-(Inputs!$B$38*Inputs!$B$6/12)*(1+Inputs!$B$48)^(CN3-1)*(Inputs!$C$38+(1-Inputs!$C$38)*CN6/Inputs!$B$6),0)</f>
        <v>-13869.3951840801</v>
      </c>
      <c r="CO17" s="5" t="n">
        <f aca="false">IF(CO1&gt;=Inputs!$B$10-Inputs!$D$38,-(Inputs!$B$38*Inputs!$B$6/12)*(1+Inputs!$B$48)^(CO3-1)*(Inputs!$C$38+(1-Inputs!$C$38)*CO6/Inputs!$B$6),0)</f>
        <v>-13869.3951840801</v>
      </c>
      <c r="CP17" s="5" t="n">
        <f aca="false">IF(CP1&gt;=Inputs!$B$10-Inputs!$D$38,-(Inputs!$B$38*Inputs!$B$6/12)*(1+Inputs!$B$48)^(CP3-1)*(Inputs!$C$38+(1-Inputs!$C$38)*CP6/Inputs!$B$6),0)</f>
        <v>-13869.3951840801</v>
      </c>
      <c r="CQ17" s="5" t="n">
        <f aca="false">IF(CQ1&gt;=Inputs!$B$10-Inputs!$D$38,-(Inputs!$B$38*Inputs!$B$6/12)*(1+Inputs!$B$48)^(CQ3-1)*(Inputs!$C$38+(1-Inputs!$C$38)*CQ6/Inputs!$B$6),0)</f>
        <v>-13869.3951840801</v>
      </c>
      <c r="CR17" s="5" t="n">
        <f aca="false">IF(CR1&gt;=Inputs!$B$10-Inputs!$D$38,-(Inputs!$B$38*Inputs!$B$6/12)*(1+Inputs!$B$48)^(CR3-1)*(Inputs!$C$38+(1-Inputs!$C$38)*CR6/Inputs!$B$6),0)</f>
        <v>-13869.3951840801</v>
      </c>
      <c r="CS17" s="5" t="n">
        <f aca="false">IF(CS1&gt;=Inputs!$B$10-Inputs!$D$38,-(Inputs!$B$38*Inputs!$B$6/12)*(1+Inputs!$B$48)^(CS3-1)*(Inputs!$C$38+(1-Inputs!$C$38)*CS6/Inputs!$B$6),0)</f>
        <v>-13869.3951840801</v>
      </c>
      <c r="CT17" s="5" t="n">
        <f aca="false">IF(CT1&gt;=Inputs!$B$10-Inputs!$D$38,-(Inputs!$B$38*Inputs!$B$6/12)*(1+Inputs!$B$48)^(CT3-1)*(Inputs!$C$38+(1-Inputs!$C$38)*CT6/Inputs!$B$6),0)</f>
        <v>-13869.3951840801</v>
      </c>
    </row>
    <row r="18" customFormat="false" ht="15" hidden="false" customHeight="false" outlineLevel="0" collapsed="false">
      <c r="B18" s="26" t="s">
        <v>71</v>
      </c>
      <c r="C18" s="5" t="n">
        <f aca="false">IF(C1&gt;=Inputs!$B$10-Inputs!$D$39,-(Inputs!$B$39*Inputs!$B$6/12)*(1+Inputs!$B$48)^(C3-1)*(Inputs!$C$39+(1-Inputs!$C$39)*C6/Inputs!$B$6),0)</f>
        <v>0</v>
      </c>
      <c r="D18" s="5" t="n">
        <f aca="false">IF(D1&gt;=Inputs!$B$10-Inputs!$D$39,-(Inputs!$B$39*Inputs!$B$6/12)*(1+Inputs!$B$48)^(D3-1)*(Inputs!$C$39+(1-Inputs!$C$39)*D6/Inputs!$B$6),0)</f>
        <v>0</v>
      </c>
      <c r="E18" s="5" t="n">
        <f aca="false">IF(E1&gt;=Inputs!$B$10-Inputs!$D$39,-(Inputs!$B$39*Inputs!$B$6/12)*(1+Inputs!$B$48)^(E3-1)*(Inputs!$C$39+(1-Inputs!$C$39)*E6/Inputs!$B$6),0)</f>
        <v>0</v>
      </c>
      <c r="F18" s="5" t="n">
        <f aca="false">IF(F1&gt;=Inputs!$B$10-Inputs!$D$39,-(Inputs!$B$39*Inputs!$B$6/12)*(1+Inputs!$B$48)^(F3-1)*(Inputs!$C$39+(1-Inputs!$C$39)*F6/Inputs!$B$6),0)</f>
        <v>0</v>
      </c>
      <c r="G18" s="5" t="n">
        <f aca="false">IF(G1&gt;=Inputs!$B$10-Inputs!$D$39,-(Inputs!$B$39*Inputs!$B$6/12)*(1+Inputs!$B$48)^(G3-1)*(Inputs!$C$39+(1-Inputs!$C$39)*G6/Inputs!$B$6),0)</f>
        <v>0</v>
      </c>
      <c r="H18" s="5" t="n">
        <f aca="false">IF(H1&gt;=Inputs!$B$10-Inputs!$D$39,-(Inputs!$B$39*Inputs!$B$6/12)*(1+Inputs!$B$48)^(H3-1)*(Inputs!$C$39+(1-Inputs!$C$39)*H6/Inputs!$B$6),0)</f>
        <v>0</v>
      </c>
      <c r="I18" s="5" t="n">
        <f aca="false">IF(I1&gt;=Inputs!$B$10-Inputs!$D$39,-(Inputs!$B$39*Inputs!$B$6/12)*(1+Inputs!$B$48)^(I3-1)*(Inputs!$C$39+(1-Inputs!$C$39)*I6/Inputs!$B$6),0)</f>
        <v>0</v>
      </c>
      <c r="J18" s="5" t="n">
        <f aca="false">IF(J1&gt;=Inputs!$B$10-Inputs!$D$39,-(Inputs!$B$39*Inputs!$B$6/12)*(1+Inputs!$B$48)^(J3-1)*(Inputs!$C$39+(1-Inputs!$C$39)*J6/Inputs!$B$6),0)</f>
        <v>0</v>
      </c>
      <c r="K18" s="5" t="n">
        <f aca="false">IF(K1&gt;=Inputs!$B$10-Inputs!$D$39,-(Inputs!$B$39*Inputs!$B$6/12)*(1+Inputs!$B$48)^(K3-1)*(Inputs!$C$39+(1-Inputs!$C$39)*K6/Inputs!$B$6),0)</f>
        <v>0</v>
      </c>
      <c r="L18" s="5" t="n">
        <f aca="false">IF(L1&gt;=Inputs!$B$10-Inputs!$D$39,-(Inputs!$B$39*Inputs!$B$6/12)*(1+Inputs!$B$48)^(L3-1)*(Inputs!$C$39+(1-Inputs!$C$39)*L6/Inputs!$B$6),0)</f>
        <v>0</v>
      </c>
      <c r="M18" s="5" t="n">
        <f aca="false">IF(M1&gt;=Inputs!$B$10-Inputs!$D$39,-(Inputs!$B$39*Inputs!$B$6/12)*(1+Inputs!$B$48)^(M3-1)*(Inputs!$C$39+(1-Inputs!$C$39)*M6/Inputs!$B$6),0)</f>
        <v>0</v>
      </c>
      <c r="N18" s="5" t="n">
        <f aca="false">IF(N1&gt;=Inputs!$B$10-Inputs!$D$39,-(Inputs!$B$39*Inputs!$B$6/12)*(1+Inputs!$B$48)^(N3-1)*(Inputs!$C$39+(1-Inputs!$C$39)*N6/Inputs!$B$6),0)</f>
        <v>0</v>
      </c>
      <c r="O18" s="5" t="n">
        <f aca="false">IF(O1&gt;=Inputs!$B$10-Inputs!$D$39,-(Inputs!$B$39*Inputs!$B$6/12)*(1+Inputs!$B$48)^(O3-1)*(Inputs!$C$39+(1-Inputs!$C$39)*O6/Inputs!$B$6),0)</f>
        <v>0</v>
      </c>
      <c r="P18" s="5" t="n">
        <f aca="false">IF(P1&gt;=Inputs!$B$10-Inputs!$D$39,-(Inputs!$B$39*Inputs!$B$6/12)*(1+Inputs!$B$48)^(P3-1)*(Inputs!$C$39+(1-Inputs!$C$39)*P6/Inputs!$B$6),0)</f>
        <v>-0</v>
      </c>
      <c r="Q18" s="5" t="n">
        <f aca="false">IF(Q1&gt;=Inputs!$B$10-Inputs!$D$39,-(Inputs!$B$39*Inputs!$B$6/12)*(1+Inputs!$B$48)^(Q3-1)*(Inputs!$C$39+(1-Inputs!$C$39)*Q6/Inputs!$B$6),0)</f>
        <v>-0</v>
      </c>
      <c r="R18" s="5" t="n">
        <f aca="false">IF(R1&gt;=Inputs!$B$10-Inputs!$D$39,-(Inputs!$B$39*Inputs!$B$6/12)*(1+Inputs!$B$48)^(R3-1)*(Inputs!$C$39+(1-Inputs!$C$39)*R6/Inputs!$B$6),0)</f>
        <v>-0</v>
      </c>
      <c r="S18" s="5" t="n">
        <f aca="false">IF(S1&gt;=Inputs!$B$10-Inputs!$D$39,-(Inputs!$B$39*Inputs!$B$6/12)*(1+Inputs!$B$48)^(S3-1)*(Inputs!$C$39+(1-Inputs!$C$39)*S6/Inputs!$B$6),0)</f>
        <v>-0</v>
      </c>
      <c r="T18" s="5" t="n">
        <f aca="false">IF(T1&gt;=Inputs!$B$10-Inputs!$D$39,-(Inputs!$B$39*Inputs!$B$6/12)*(1+Inputs!$B$48)^(T3-1)*(Inputs!$C$39+(1-Inputs!$C$39)*T6/Inputs!$B$6),0)</f>
        <v>-0</v>
      </c>
      <c r="U18" s="5" t="n">
        <f aca="false">IF(U1&gt;=Inputs!$B$10-Inputs!$D$39,-(Inputs!$B$39*Inputs!$B$6/12)*(1+Inputs!$B$48)^(U3-1)*(Inputs!$C$39+(1-Inputs!$C$39)*U6/Inputs!$B$6),0)</f>
        <v>-0</v>
      </c>
      <c r="V18" s="5" t="n">
        <f aca="false">IF(V1&gt;=Inputs!$B$10-Inputs!$D$39,-(Inputs!$B$39*Inputs!$B$6/12)*(1+Inputs!$B$48)^(V3-1)*(Inputs!$C$39+(1-Inputs!$C$39)*V6/Inputs!$B$6),0)</f>
        <v>-0</v>
      </c>
      <c r="W18" s="5" t="n">
        <f aca="false">IF(W1&gt;=Inputs!$B$10-Inputs!$D$39,-(Inputs!$B$39*Inputs!$B$6/12)*(1+Inputs!$B$48)^(W3-1)*(Inputs!$C$39+(1-Inputs!$C$39)*W6/Inputs!$B$6),0)</f>
        <v>-0</v>
      </c>
      <c r="X18" s="5" t="n">
        <f aca="false">IF(X1&gt;=Inputs!$B$10-Inputs!$D$39,-(Inputs!$B$39*Inputs!$B$6/12)*(1+Inputs!$B$48)^(X3-1)*(Inputs!$C$39+(1-Inputs!$C$39)*X6/Inputs!$B$6),0)</f>
        <v>-0</v>
      </c>
      <c r="Y18" s="5" t="n">
        <f aca="false">IF(Y1&gt;=Inputs!$B$10-Inputs!$D$39,-(Inputs!$B$39*Inputs!$B$6/12)*(1+Inputs!$B$48)^(Y3-1)*(Inputs!$C$39+(1-Inputs!$C$39)*Y6/Inputs!$B$6),0)</f>
        <v>-0</v>
      </c>
      <c r="Z18" s="5" t="n">
        <f aca="false">IF(Z1&gt;=Inputs!$B$10-Inputs!$D$39,-(Inputs!$B$39*Inputs!$B$6/12)*(1+Inputs!$B$48)^(Z3-1)*(Inputs!$C$39+(1-Inputs!$C$39)*Z6/Inputs!$B$6),0)</f>
        <v>-0</v>
      </c>
      <c r="AA18" s="5" t="n">
        <f aca="false">IF(AA1&gt;=Inputs!$B$10-Inputs!$D$39,-(Inputs!$B$39*Inputs!$B$6/12)*(1+Inputs!$B$48)^(AA3-1)*(Inputs!$C$39+(1-Inputs!$C$39)*AA6/Inputs!$B$6),0)</f>
        <v>-0</v>
      </c>
      <c r="AB18" s="5" t="n">
        <f aca="false">IF(AB1&gt;=Inputs!$B$10-Inputs!$D$39,-(Inputs!$B$39*Inputs!$B$6/12)*(1+Inputs!$B$48)^(AB3-1)*(Inputs!$C$39+(1-Inputs!$C$39)*AB6/Inputs!$B$6),0)</f>
        <v>-0</v>
      </c>
      <c r="AC18" s="5" t="n">
        <f aca="false">IF(AC1&gt;=Inputs!$B$10-Inputs!$D$39,-(Inputs!$B$39*Inputs!$B$6/12)*(1+Inputs!$B$48)^(AC3-1)*(Inputs!$C$39+(1-Inputs!$C$39)*AC6/Inputs!$B$6),0)</f>
        <v>-0</v>
      </c>
      <c r="AD18" s="5" t="n">
        <f aca="false">IF(AD1&gt;=Inputs!$B$10-Inputs!$D$39,-(Inputs!$B$39*Inputs!$B$6/12)*(1+Inputs!$B$48)^(AD3-1)*(Inputs!$C$39+(1-Inputs!$C$39)*AD6/Inputs!$B$6),0)</f>
        <v>-0</v>
      </c>
      <c r="AE18" s="5" t="n">
        <f aca="false">IF(AE1&gt;=Inputs!$B$10-Inputs!$D$39,-(Inputs!$B$39*Inputs!$B$6/12)*(1+Inputs!$B$48)^(AE3-1)*(Inputs!$C$39+(1-Inputs!$C$39)*AE6/Inputs!$B$6),0)</f>
        <v>-0</v>
      </c>
      <c r="AF18" s="5" t="n">
        <f aca="false">IF(AF1&gt;=Inputs!$B$10-Inputs!$D$39,-(Inputs!$B$39*Inputs!$B$6/12)*(1+Inputs!$B$48)^(AF3-1)*(Inputs!$C$39+(1-Inputs!$C$39)*AF6/Inputs!$B$6),0)</f>
        <v>-0</v>
      </c>
      <c r="AG18" s="5" t="n">
        <f aca="false">IF(AG1&gt;=Inputs!$B$10-Inputs!$D$39,-(Inputs!$B$39*Inputs!$B$6/12)*(1+Inputs!$B$48)^(AG3-1)*(Inputs!$C$39+(1-Inputs!$C$39)*AG6/Inputs!$B$6),0)</f>
        <v>-0</v>
      </c>
      <c r="AH18" s="5" t="n">
        <f aca="false">IF(AH1&gt;=Inputs!$B$10-Inputs!$D$39,-(Inputs!$B$39*Inputs!$B$6/12)*(1+Inputs!$B$48)^(AH3-1)*(Inputs!$C$39+(1-Inputs!$C$39)*AH6/Inputs!$B$6),0)</f>
        <v>-0</v>
      </c>
      <c r="AI18" s="5" t="n">
        <f aca="false">IF(AI1&gt;=Inputs!$B$10-Inputs!$D$39,-(Inputs!$B$39*Inputs!$B$6/12)*(1+Inputs!$B$48)^(AI3-1)*(Inputs!$C$39+(1-Inputs!$C$39)*AI6/Inputs!$B$6),0)</f>
        <v>-0</v>
      </c>
      <c r="AJ18" s="5" t="n">
        <f aca="false">IF(AJ1&gt;=Inputs!$B$10-Inputs!$D$39,-(Inputs!$B$39*Inputs!$B$6/12)*(1+Inputs!$B$48)^(AJ3-1)*(Inputs!$C$39+(1-Inputs!$C$39)*AJ6/Inputs!$B$6),0)</f>
        <v>-0</v>
      </c>
      <c r="AK18" s="5" t="n">
        <f aca="false">IF(AK1&gt;=Inputs!$B$10-Inputs!$D$39,-(Inputs!$B$39*Inputs!$B$6/12)*(1+Inputs!$B$48)^(AK3-1)*(Inputs!$C$39+(1-Inputs!$C$39)*AK6/Inputs!$B$6),0)</f>
        <v>-0</v>
      </c>
      <c r="AL18" s="5" t="n">
        <f aca="false">IF(AL1&gt;=Inputs!$B$10-Inputs!$D$39,-(Inputs!$B$39*Inputs!$B$6/12)*(1+Inputs!$B$48)^(AL3-1)*(Inputs!$C$39+(1-Inputs!$C$39)*AL6/Inputs!$B$6),0)</f>
        <v>-0</v>
      </c>
      <c r="AM18" s="5" t="n">
        <f aca="false">IF(AM1&gt;=Inputs!$B$10-Inputs!$D$39,-(Inputs!$B$39*Inputs!$B$6/12)*(1+Inputs!$B$48)^(AM3-1)*(Inputs!$C$39+(1-Inputs!$C$39)*AM6/Inputs!$B$6),0)</f>
        <v>-0</v>
      </c>
      <c r="AN18" s="5" t="n">
        <f aca="false">IF(AN1&gt;=Inputs!$B$10-Inputs!$D$39,-(Inputs!$B$39*Inputs!$B$6/12)*(1+Inputs!$B$48)^(AN3-1)*(Inputs!$C$39+(1-Inputs!$C$39)*AN6/Inputs!$B$6),0)</f>
        <v>-0</v>
      </c>
      <c r="AO18" s="5" t="n">
        <f aca="false">IF(AO1&gt;=Inputs!$B$10-Inputs!$D$39,-(Inputs!$B$39*Inputs!$B$6/12)*(1+Inputs!$B$48)^(AO3-1)*(Inputs!$C$39+(1-Inputs!$C$39)*AO6/Inputs!$B$6),0)</f>
        <v>-0</v>
      </c>
      <c r="AP18" s="5" t="n">
        <f aca="false">IF(AP1&gt;=Inputs!$B$10-Inputs!$D$39,-(Inputs!$B$39*Inputs!$B$6/12)*(1+Inputs!$B$48)^(AP3-1)*(Inputs!$C$39+(1-Inputs!$C$39)*AP6/Inputs!$B$6),0)</f>
        <v>-0</v>
      </c>
      <c r="AQ18" s="5" t="n">
        <f aca="false">IF(AQ1&gt;=Inputs!$B$10-Inputs!$D$39,-(Inputs!$B$39*Inputs!$B$6/12)*(1+Inputs!$B$48)^(AQ3-1)*(Inputs!$C$39+(1-Inputs!$C$39)*AQ6/Inputs!$B$6),0)</f>
        <v>-0</v>
      </c>
      <c r="AR18" s="5" t="n">
        <f aca="false">IF(AR1&gt;=Inputs!$B$10-Inputs!$D$39,-(Inputs!$B$39*Inputs!$B$6/12)*(1+Inputs!$B$48)^(AR3-1)*(Inputs!$C$39+(1-Inputs!$C$39)*AR6/Inputs!$B$6),0)</f>
        <v>-0</v>
      </c>
      <c r="AS18" s="5" t="n">
        <f aca="false">IF(AS1&gt;=Inputs!$B$10-Inputs!$D$39,-(Inputs!$B$39*Inputs!$B$6/12)*(1+Inputs!$B$48)^(AS3-1)*(Inputs!$C$39+(1-Inputs!$C$39)*AS6/Inputs!$B$6),0)</f>
        <v>-0</v>
      </c>
      <c r="AT18" s="5" t="n">
        <f aca="false">IF(AT1&gt;=Inputs!$B$10-Inputs!$D$39,-(Inputs!$B$39*Inputs!$B$6/12)*(1+Inputs!$B$48)^(AT3-1)*(Inputs!$C$39+(1-Inputs!$C$39)*AT6/Inputs!$B$6),0)</f>
        <v>-0</v>
      </c>
      <c r="AU18" s="5" t="n">
        <f aca="false">IF(AU1&gt;=Inputs!$B$10-Inputs!$D$39,-(Inputs!$B$39*Inputs!$B$6/12)*(1+Inputs!$B$48)^(AU3-1)*(Inputs!$C$39+(1-Inputs!$C$39)*AU6/Inputs!$B$6),0)</f>
        <v>-0</v>
      </c>
      <c r="AV18" s="5" t="n">
        <f aca="false">IF(AV1&gt;=Inputs!$B$10-Inputs!$D$39,-(Inputs!$B$39*Inputs!$B$6/12)*(1+Inputs!$B$48)^(AV3-1)*(Inputs!$C$39+(1-Inputs!$C$39)*AV6/Inputs!$B$6),0)</f>
        <v>-0</v>
      </c>
      <c r="AW18" s="5" t="n">
        <f aca="false">IF(AW1&gt;=Inputs!$B$10-Inputs!$D$39,-(Inputs!$B$39*Inputs!$B$6/12)*(1+Inputs!$B$48)^(AW3-1)*(Inputs!$C$39+(1-Inputs!$C$39)*AW6/Inputs!$B$6),0)</f>
        <v>-0</v>
      </c>
      <c r="AX18" s="5" t="n">
        <f aca="false">IF(AX1&gt;=Inputs!$B$10-Inputs!$D$39,-(Inputs!$B$39*Inputs!$B$6/12)*(1+Inputs!$B$48)^(AX3-1)*(Inputs!$C$39+(1-Inputs!$C$39)*AX6/Inputs!$B$6),0)</f>
        <v>-0</v>
      </c>
      <c r="AY18" s="5" t="n">
        <f aca="false">IF(AY1&gt;=Inputs!$B$10-Inputs!$D$39,-(Inputs!$B$39*Inputs!$B$6/12)*(1+Inputs!$B$48)^(AY3-1)*(Inputs!$C$39+(1-Inputs!$C$39)*AY6/Inputs!$B$6),0)</f>
        <v>-0</v>
      </c>
      <c r="AZ18" s="5" t="n">
        <f aca="false">IF(AZ1&gt;=Inputs!$B$10-Inputs!$D$39,-(Inputs!$B$39*Inputs!$B$6/12)*(1+Inputs!$B$48)^(AZ3-1)*(Inputs!$C$39+(1-Inputs!$C$39)*AZ6/Inputs!$B$6),0)</f>
        <v>-0</v>
      </c>
      <c r="BA18" s="5" t="n">
        <f aca="false">IF(BA1&gt;=Inputs!$B$10-Inputs!$D$39,-(Inputs!$B$39*Inputs!$B$6/12)*(1+Inputs!$B$48)^(BA3-1)*(Inputs!$C$39+(1-Inputs!$C$39)*BA6/Inputs!$B$6),0)</f>
        <v>-0</v>
      </c>
      <c r="BB18" s="5" t="n">
        <f aca="false">IF(BB1&gt;=Inputs!$B$10-Inputs!$D$39,-(Inputs!$B$39*Inputs!$B$6/12)*(1+Inputs!$B$48)^(BB3-1)*(Inputs!$C$39+(1-Inputs!$C$39)*BB6/Inputs!$B$6),0)</f>
        <v>-0</v>
      </c>
      <c r="BC18" s="5" t="n">
        <f aca="false">IF(BC1&gt;=Inputs!$B$10-Inputs!$D$39,-(Inputs!$B$39*Inputs!$B$6/12)*(1+Inputs!$B$48)^(BC3-1)*(Inputs!$C$39+(1-Inputs!$C$39)*BC6/Inputs!$B$6),0)</f>
        <v>-0</v>
      </c>
      <c r="BD18" s="5" t="n">
        <f aca="false">IF(BD1&gt;=Inputs!$B$10-Inputs!$D$39,-(Inputs!$B$39*Inputs!$B$6/12)*(1+Inputs!$B$48)^(BD3-1)*(Inputs!$C$39+(1-Inputs!$C$39)*BD6/Inputs!$B$6),0)</f>
        <v>-0</v>
      </c>
      <c r="BE18" s="5" t="n">
        <f aca="false">IF(BE1&gt;=Inputs!$B$10-Inputs!$D$39,-(Inputs!$B$39*Inputs!$B$6/12)*(1+Inputs!$B$48)^(BE3-1)*(Inputs!$C$39+(1-Inputs!$C$39)*BE6/Inputs!$B$6),0)</f>
        <v>-0</v>
      </c>
      <c r="BF18" s="5" t="n">
        <f aca="false">IF(BF1&gt;=Inputs!$B$10-Inputs!$D$39,-(Inputs!$B$39*Inputs!$B$6/12)*(1+Inputs!$B$48)^(BF3-1)*(Inputs!$C$39+(1-Inputs!$C$39)*BF6/Inputs!$B$6),0)</f>
        <v>-0</v>
      </c>
      <c r="BG18" s="5" t="n">
        <f aca="false">IF(BG1&gt;=Inputs!$B$10-Inputs!$D$39,-(Inputs!$B$39*Inputs!$B$6/12)*(1+Inputs!$B$48)^(BG3-1)*(Inputs!$C$39+(1-Inputs!$C$39)*BG6/Inputs!$B$6),0)</f>
        <v>-0</v>
      </c>
      <c r="BH18" s="5" t="n">
        <f aca="false">IF(BH1&gt;=Inputs!$B$10-Inputs!$D$39,-(Inputs!$B$39*Inputs!$B$6/12)*(1+Inputs!$B$48)^(BH3-1)*(Inputs!$C$39+(1-Inputs!$C$39)*BH6/Inputs!$B$6),0)</f>
        <v>-0</v>
      </c>
      <c r="BI18" s="5" t="n">
        <f aca="false">IF(BI1&gt;=Inputs!$B$10-Inputs!$D$39,-(Inputs!$B$39*Inputs!$B$6/12)*(1+Inputs!$B$48)^(BI3-1)*(Inputs!$C$39+(1-Inputs!$C$39)*BI6/Inputs!$B$6),0)</f>
        <v>-0</v>
      </c>
      <c r="BJ18" s="5" t="n">
        <f aca="false">IF(BJ1&gt;=Inputs!$B$10-Inputs!$D$39,-(Inputs!$B$39*Inputs!$B$6/12)*(1+Inputs!$B$48)^(BJ3-1)*(Inputs!$C$39+(1-Inputs!$C$39)*BJ6/Inputs!$B$6),0)</f>
        <v>-0</v>
      </c>
      <c r="BK18" s="5" t="n">
        <f aca="false">IF(BK1&gt;=Inputs!$B$10-Inputs!$D$39,-(Inputs!$B$39*Inputs!$B$6/12)*(1+Inputs!$B$48)^(BK3-1)*(Inputs!$C$39+(1-Inputs!$C$39)*BK6/Inputs!$B$6),0)</f>
        <v>-0</v>
      </c>
      <c r="BL18" s="5" t="n">
        <f aca="false">IF(BL1&gt;=Inputs!$B$10-Inputs!$D$39,-(Inputs!$B$39*Inputs!$B$6/12)*(1+Inputs!$B$48)^(BL3-1)*(Inputs!$C$39+(1-Inputs!$C$39)*BL6/Inputs!$B$6),0)</f>
        <v>-0</v>
      </c>
      <c r="BM18" s="5" t="n">
        <f aca="false">IF(BM1&gt;=Inputs!$B$10-Inputs!$D$39,-(Inputs!$B$39*Inputs!$B$6/12)*(1+Inputs!$B$48)^(BM3-1)*(Inputs!$C$39+(1-Inputs!$C$39)*BM6/Inputs!$B$6),0)</f>
        <v>-0</v>
      </c>
      <c r="BN18" s="5" t="n">
        <f aca="false">IF(BN1&gt;=Inputs!$B$10-Inputs!$D$39,-(Inputs!$B$39*Inputs!$B$6/12)*(1+Inputs!$B$48)^(BN3-1)*(Inputs!$C$39+(1-Inputs!$C$39)*BN6/Inputs!$B$6),0)</f>
        <v>-0</v>
      </c>
      <c r="BO18" s="5" t="n">
        <f aca="false">IF(BO1&gt;=Inputs!$B$10-Inputs!$D$39,-(Inputs!$B$39*Inputs!$B$6/12)*(1+Inputs!$B$48)^(BO3-1)*(Inputs!$C$39+(1-Inputs!$C$39)*BO6/Inputs!$B$6),0)</f>
        <v>-0</v>
      </c>
      <c r="BP18" s="5" t="n">
        <f aca="false">IF(BP1&gt;=Inputs!$B$10-Inputs!$D$39,-(Inputs!$B$39*Inputs!$B$6/12)*(1+Inputs!$B$48)^(BP3-1)*(Inputs!$C$39+(1-Inputs!$C$39)*BP6/Inputs!$B$6),0)</f>
        <v>-0</v>
      </c>
      <c r="BQ18" s="5" t="n">
        <f aca="false">IF(BQ1&gt;=Inputs!$B$10-Inputs!$D$39,-(Inputs!$B$39*Inputs!$B$6/12)*(1+Inputs!$B$48)^(BQ3-1)*(Inputs!$C$39+(1-Inputs!$C$39)*BQ6/Inputs!$B$6),0)</f>
        <v>-0</v>
      </c>
      <c r="BR18" s="5" t="n">
        <f aca="false">IF(BR1&gt;=Inputs!$B$10-Inputs!$D$39,-(Inputs!$B$39*Inputs!$B$6/12)*(1+Inputs!$B$48)^(BR3-1)*(Inputs!$C$39+(1-Inputs!$C$39)*BR6/Inputs!$B$6),0)</f>
        <v>-0</v>
      </c>
      <c r="BS18" s="5" t="n">
        <f aca="false">IF(BS1&gt;=Inputs!$B$10-Inputs!$D$39,-(Inputs!$B$39*Inputs!$B$6/12)*(1+Inputs!$B$48)^(BS3-1)*(Inputs!$C$39+(1-Inputs!$C$39)*BS6/Inputs!$B$6),0)</f>
        <v>-0</v>
      </c>
      <c r="BT18" s="5" t="n">
        <f aca="false">IF(BT1&gt;=Inputs!$B$10-Inputs!$D$39,-(Inputs!$B$39*Inputs!$B$6/12)*(1+Inputs!$B$48)^(BT3-1)*(Inputs!$C$39+(1-Inputs!$C$39)*BT6/Inputs!$B$6),0)</f>
        <v>-0</v>
      </c>
      <c r="BU18" s="5" t="n">
        <f aca="false">IF(BU1&gt;=Inputs!$B$10-Inputs!$D$39,-(Inputs!$B$39*Inputs!$B$6/12)*(1+Inputs!$B$48)^(BU3-1)*(Inputs!$C$39+(1-Inputs!$C$39)*BU6/Inputs!$B$6),0)</f>
        <v>-0</v>
      </c>
      <c r="BV18" s="5" t="n">
        <f aca="false">IF(BV1&gt;=Inputs!$B$10-Inputs!$D$39,-(Inputs!$B$39*Inputs!$B$6/12)*(1+Inputs!$B$48)^(BV3-1)*(Inputs!$C$39+(1-Inputs!$C$39)*BV6/Inputs!$B$6),0)</f>
        <v>-0</v>
      </c>
      <c r="BW18" s="5" t="n">
        <f aca="false">IF(BW1&gt;=Inputs!$B$10-Inputs!$D$39,-(Inputs!$B$39*Inputs!$B$6/12)*(1+Inputs!$B$48)^(BW3-1)*(Inputs!$C$39+(1-Inputs!$C$39)*BW6/Inputs!$B$6),0)</f>
        <v>-0</v>
      </c>
      <c r="BX18" s="5" t="n">
        <f aca="false">IF(BX1&gt;=Inputs!$B$10-Inputs!$D$39,-(Inputs!$B$39*Inputs!$B$6/12)*(1+Inputs!$B$48)^(BX3-1)*(Inputs!$C$39+(1-Inputs!$C$39)*BX6/Inputs!$B$6),0)</f>
        <v>-0</v>
      </c>
      <c r="BY18" s="5" t="n">
        <f aca="false">IF(BY1&gt;=Inputs!$B$10-Inputs!$D$39,-(Inputs!$B$39*Inputs!$B$6/12)*(1+Inputs!$B$48)^(BY3-1)*(Inputs!$C$39+(1-Inputs!$C$39)*BY6/Inputs!$B$6),0)</f>
        <v>-0</v>
      </c>
      <c r="BZ18" s="5" t="n">
        <f aca="false">IF(BZ1&gt;=Inputs!$B$10-Inputs!$D$39,-(Inputs!$B$39*Inputs!$B$6/12)*(1+Inputs!$B$48)^(BZ3-1)*(Inputs!$C$39+(1-Inputs!$C$39)*BZ6/Inputs!$B$6),0)</f>
        <v>-0</v>
      </c>
      <c r="CA18" s="5" t="n">
        <f aca="false">IF(CA1&gt;=Inputs!$B$10-Inputs!$D$39,-(Inputs!$B$39*Inputs!$B$6/12)*(1+Inputs!$B$48)^(CA3-1)*(Inputs!$C$39+(1-Inputs!$C$39)*CA6/Inputs!$B$6),0)</f>
        <v>-0</v>
      </c>
      <c r="CB18" s="5" t="n">
        <f aca="false">IF(CB1&gt;=Inputs!$B$10-Inputs!$D$39,-(Inputs!$B$39*Inputs!$B$6/12)*(1+Inputs!$B$48)^(CB3-1)*(Inputs!$C$39+(1-Inputs!$C$39)*CB6/Inputs!$B$6),0)</f>
        <v>-0</v>
      </c>
      <c r="CC18" s="5" t="n">
        <f aca="false">IF(CC1&gt;=Inputs!$B$10-Inputs!$D$39,-(Inputs!$B$39*Inputs!$B$6/12)*(1+Inputs!$B$48)^(CC3-1)*(Inputs!$C$39+(1-Inputs!$C$39)*CC6/Inputs!$B$6),0)</f>
        <v>-0</v>
      </c>
      <c r="CD18" s="5" t="n">
        <f aca="false">IF(CD1&gt;=Inputs!$B$10-Inputs!$D$39,-(Inputs!$B$39*Inputs!$B$6/12)*(1+Inputs!$B$48)^(CD3-1)*(Inputs!$C$39+(1-Inputs!$C$39)*CD6/Inputs!$B$6),0)</f>
        <v>-0</v>
      </c>
      <c r="CE18" s="5" t="n">
        <f aca="false">IF(CE1&gt;=Inputs!$B$10-Inputs!$D$39,-(Inputs!$B$39*Inputs!$B$6/12)*(1+Inputs!$B$48)^(CE3-1)*(Inputs!$C$39+(1-Inputs!$C$39)*CE6/Inputs!$B$6),0)</f>
        <v>-0</v>
      </c>
      <c r="CF18" s="5" t="n">
        <f aca="false">IF(CF1&gt;=Inputs!$B$10-Inputs!$D$39,-(Inputs!$B$39*Inputs!$B$6/12)*(1+Inputs!$B$48)^(CF3-1)*(Inputs!$C$39+(1-Inputs!$C$39)*CF6/Inputs!$B$6),0)</f>
        <v>-0</v>
      </c>
      <c r="CG18" s="5" t="n">
        <f aca="false">IF(CG1&gt;=Inputs!$B$10-Inputs!$D$39,-(Inputs!$B$39*Inputs!$B$6/12)*(1+Inputs!$B$48)^(CG3-1)*(Inputs!$C$39+(1-Inputs!$C$39)*CG6/Inputs!$B$6),0)</f>
        <v>-0</v>
      </c>
      <c r="CH18" s="5" t="n">
        <f aca="false">IF(CH1&gt;=Inputs!$B$10-Inputs!$D$39,-(Inputs!$B$39*Inputs!$B$6/12)*(1+Inputs!$B$48)^(CH3-1)*(Inputs!$C$39+(1-Inputs!$C$39)*CH6/Inputs!$B$6),0)</f>
        <v>-0</v>
      </c>
      <c r="CI18" s="5" t="n">
        <f aca="false">IF(CI1&gt;=Inputs!$B$10-Inputs!$D$39,-(Inputs!$B$39*Inputs!$B$6/12)*(1+Inputs!$B$48)^(CI3-1)*(Inputs!$C$39+(1-Inputs!$C$39)*CI6/Inputs!$B$6),0)</f>
        <v>-0</v>
      </c>
      <c r="CJ18" s="5" t="n">
        <f aca="false">IF(CJ1&gt;=Inputs!$B$10-Inputs!$D$39,-(Inputs!$B$39*Inputs!$B$6/12)*(1+Inputs!$B$48)^(CJ3-1)*(Inputs!$C$39+(1-Inputs!$C$39)*CJ6/Inputs!$B$6),0)</f>
        <v>-0</v>
      </c>
      <c r="CK18" s="5" t="n">
        <f aca="false">IF(CK1&gt;=Inputs!$B$10-Inputs!$D$39,-(Inputs!$B$39*Inputs!$B$6/12)*(1+Inputs!$B$48)^(CK3-1)*(Inputs!$C$39+(1-Inputs!$C$39)*CK6/Inputs!$B$6),0)</f>
        <v>-0</v>
      </c>
      <c r="CL18" s="5" t="n">
        <f aca="false">IF(CL1&gt;=Inputs!$B$10-Inputs!$D$39,-(Inputs!$B$39*Inputs!$B$6/12)*(1+Inputs!$B$48)^(CL3-1)*(Inputs!$C$39+(1-Inputs!$C$39)*CL6/Inputs!$B$6),0)</f>
        <v>-0</v>
      </c>
      <c r="CM18" s="5" t="n">
        <f aca="false">IF(CM1&gt;=Inputs!$B$10-Inputs!$D$39,-(Inputs!$B$39*Inputs!$B$6/12)*(1+Inputs!$B$48)^(CM3-1)*(Inputs!$C$39+(1-Inputs!$C$39)*CM6/Inputs!$B$6),0)</f>
        <v>-0</v>
      </c>
      <c r="CN18" s="5" t="n">
        <f aca="false">IF(CN1&gt;=Inputs!$B$10-Inputs!$D$39,-(Inputs!$B$39*Inputs!$B$6/12)*(1+Inputs!$B$48)^(CN3-1)*(Inputs!$C$39+(1-Inputs!$C$39)*CN6/Inputs!$B$6),0)</f>
        <v>-0</v>
      </c>
      <c r="CO18" s="5" t="n">
        <f aca="false">IF(CO1&gt;=Inputs!$B$10-Inputs!$D$39,-(Inputs!$B$39*Inputs!$B$6/12)*(1+Inputs!$B$48)^(CO3-1)*(Inputs!$C$39+(1-Inputs!$C$39)*CO6/Inputs!$B$6),0)</f>
        <v>-0</v>
      </c>
      <c r="CP18" s="5" t="n">
        <f aca="false">IF(CP1&gt;=Inputs!$B$10-Inputs!$D$39,-(Inputs!$B$39*Inputs!$B$6/12)*(1+Inputs!$B$48)^(CP3-1)*(Inputs!$C$39+(1-Inputs!$C$39)*CP6/Inputs!$B$6),0)</f>
        <v>-0</v>
      </c>
      <c r="CQ18" s="5" t="n">
        <f aca="false">IF(CQ1&gt;=Inputs!$B$10-Inputs!$D$39,-(Inputs!$B$39*Inputs!$B$6/12)*(1+Inputs!$B$48)^(CQ3-1)*(Inputs!$C$39+(1-Inputs!$C$39)*CQ6/Inputs!$B$6),0)</f>
        <v>-0</v>
      </c>
      <c r="CR18" s="5" t="n">
        <f aca="false">IF(CR1&gt;=Inputs!$B$10-Inputs!$D$39,-(Inputs!$B$39*Inputs!$B$6/12)*(1+Inputs!$B$48)^(CR3-1)*(Inputs!$C$39+(1-Inputs!$C$39)*CR6/Inputs!$B$6),0)</f>
        <v>-0</v>
      </c>
      <c r="CS18" s="5" t="n">
        <f aca="false">IF(CS1&gt;=Inputs!$B$10-Inputs!$D$39,-(Inputs!$B$39*Inputs!$B$6/12)*(1+Inputs!$B$48)^(CS3-1)*(Inputs!$C$39+(1-Inputs!$C$39)*CS6/Inputs!$B$6),0)</f>
        <v>-0</v>
      </c>
      <c r="CT18" s="5" t="n">
        <f aca="false">IF(CT1&gt;=Inputs!$B$10-Inputs!$D$39,-(Inputs!$B$39*Inputs!$B$6/12)*(1+Inputs!$B$48)^(CT3-1)*(Inputs!$C$39+(1-Inputs!$C$39)*CT6/Inputs!$B$6),0)</f>
        <v>-0</v>
      </c>
    </row>
    <row r="19" customFormat="false" ht="15" hidden="false" customHeight="false" outlineLevel="0" collapsed="false">
      <c r="B19" s="26" t="s">
        <v>72</v>
      </c>
      <c r="C19" s="5" t="n">
        <f aca="false">IF(C1&gt;=Inputs!$B$10-Inputs!$D$40,-(Inputs!$B$40*Inputs!$B$6/12)*(1+Inputs!$B$48)^(C3-1)*(Inputs!$C$40+(1-Inputs!$C$40)*C6/Inputs!$B$6),0)</f>
        <v>0</v>
      </c>
      <c r="D19" s="5" t="n">
        <f aca="false">IF(D1&gt;=Inputs!$B$10-Inputs!$D$40,-(Inputs!$B$40*Inputs!$B$6/12)*(1+Inputs!$B$48)^(D3-1)*(Inputs!$C$40+(1-Inputs!$C$40)*D6/Inputs!$B$6),0)</f>
        <v>0</v>
      </c>
      <c r="E19" s="5" t="n">
        <f aca="false">IF(E1&gt;=Inputs!$B$10-Inputs!$D$40,-(Inputs!$B$40*Inputs!$B$6/12)*(1+Inputs!$B$48)^(E3-1)*(Inputs!$C$40+(1-Inputs!$C$40)*E6/Inputs!$B$6),0)</f>
        <v>0</v>
      </c>
      <c r="F19" s="5" t="n">
        <f aca="false">IF(F1&gt;=Inputs!$B$10-Inputs!$D$40,-(Inputs!$B$40*Inputs!$B$6/12)*(1+Inputs!$B$48)^(F3-1)*(Inputs!$C$40+(1-Inputs!$C$40)*F6/Inputs!$B$6),0)</f>
        <v>0</v>
      </c>
      <c r="G19" s="5" t="n">
        <f aca="false">IF(G1&gt;=Inputs!$B$10-Inputs!$D$40,-(Inputs!$B$40*Inputs!$B$6/12)*(1+Inputs!$B$48)^(G3-1)*(Inputs!$C$40+(1-Inputs!$C$40)*G6/Inputs!$B$6),0)</f>
        <v>0</v>
      </c>
      <c r="H19" s="5" t="n">
        <f aca="false">IF(H1&gt;=Inputs!$B$10-Inputs!$D$40,-(Inputs!$B$40*Inputs!$B$6/12)*(1+Inputs!$B$48)^(H3-1)*(Inputs!$C$40+(1-Inputs!$C$40)*H6/Inputs!$B$6),0)</f>
        <v>0</v>
      </c>
      <c r="I19" s="5" t="n">
        <f aca="false">IF(I1&gt;=Inputs!$B$10-Inputs!$D$40,-(Inputs!$B$40*Inputs!$B$6/12)*(1+Inputs!$B$48)^(I3-1)*(Inputs!$C$40+(1-Inputs!$C$40)*I6/Inputs!$B$6),0)</f>
        <v>0</v>
      </c>
      <c r="J19" s="5" t="n">
        <f aca="false">IF(J1&gt;=Inputs!$B$10-Inputs!$D$40,-(Inputs!$B$40*Inputs!$B$6/12)*(1+Inputs!$B$48)^(J3-1)*(Inputs!$C$40+(1-Inputs!$C$40)*J6/Inputs!$B$6),0)</f>
        <v>0</v>
      </c>
      <c r="K19" s="5" t="n">
        <f aca="false">IF(K1&gt;=Inputs!$B$10-Inputs!$D$40,-(Inputs!$B$40*Inputs!$B$6/12)*(1+Inputs!$B$48)^(K3-1)*(Inputs!$C$40+(1-Inputs!$C$40)*K6/Inputs!$B$6),0)</f>
        <v>0</v>
      </c>
      <c r="L19" s="5" t="n">
        <f aca="false">IF(L1&gt;=Inputs!$B$10-Inputs!$D$40,-(Inputs!$B$40*Inputs!$B$6/12)*(1+Inputs!$B$48)^(L3-1)*(Inputs!$C$40+(1-Inputs!$C$40)*L6/Inputs!$B$6),0)</f>
        <v>0</v>
      </c>
      <c r="M19" s="5" t="n">
        <f aca="false">IF(M1&gt;=Inputs!$B$10-Inputs!$D$40,-(Inputs!$B$40*Inputs!$B$6/12)*(1+Inputs!$B$48)^(M3-1)*(Inputs!$C$40+(1-Inputs!$C$40)*M6/Inputs!$B$6),0)</f>
        <v>-9060</v>
      </c>
      <c r="N19" s="5" t="n">
        <f aca="false">IF(N1&gt;=Inputs!$B$10-Inputs!$D$40,-(Inputs!$B$40*Inputs!$B$6/12)*(1+Inputs!$B$48)^(N3-1)*(Inputs!$C$40+(1-Inputs!$C$40)*N6/Inputs!$B$6),0)</f>
        <v>-9060</v>
      </c>
      <c r="O19" s="5" t="n">
        <f aca="false">IF(O1&gt;=Inputs!$B$10-Inputs!$D$40,-(Inputs!$B$40*Inputs!$B$6/12)*(1+Inputs!$B$48)^(O3-1)*(Inputs!$C$40+(1-Inputs!$C$40)*O6/Inputs!$B$6),0)</f>
        <v>-9286.5</v>
      </c>
      <c r="P19" s="5" t="n">
        <f aca="false">IF(P1&gt;=Inputs!$B$10-Inputs!$D$40,-(Inputs!$B$40*Inputs!$B$6/12)*(1+Inputs!$B$48)^(P3-1)*(Inputs!$C$40+(1-Inputs!$C$40)*P6/Inputs!$B$6),0)</f>
        <v>-9949.82142857143</v>
      </c>
      <c r="Q19" s="5" t="n">
        <f aca="false">IF(Q1&gt;=Inputs!$B$10-Inputs!$D$40,-(Inputs!$B$40*Inputs!$B$6/12)*(1+Inputs!$B$48)^(Q3-1)*(Inputs!$C$40+(1-Inputs!$C$40)*Q6/Inputs!$B$6),0)</f>
        <v>-10613.1428571429</v>
      </c>
      <c r="R19" s="5" t="n">
        <f aca="false">IF(R1&gt;=Inputs!$B$10-Inputs!$D$40,-(Inputs!$B$40*Inputs!$B$6/12)*(1+Inputs!$B$48)^(R3-1)*(Inputs!$C$40+(1-Inputs!$C$40)*R6/Inputs!$B$6),0)</f>
        <v>-11276.4642857143</v>
      </c>
      <c r="S19" s="5" t="n">
        <f aca="false">IF(S1&gt;=Inputs!$B$10-Inputs!$D$40,-(Inputs!$B$40*Inputs!$B$6/12)*(1+Inputs!$B$48)^(S3-1)*(Inputs!$C$40+(1-Inputs!$C$40)*S6/Inputs!$B$6),0)</f>
        <v>-11939.7857142857</v>
      </c>
      <c r="T19" s="5" t="n">
        <f aca="false">IF(T1&gt;=Inputs!$B$10-Inputs!$D$40,-(Inputs!$B$40*Inputs!$B$6/12)*(1+Inputs!$B$48)^(T3-1)*(Inputs!$C$40+(1-Inputs!$C$40)*T6/Inputs!$B$6),0)</f>
        <v>-12603.1071428571</v>
      </c>
      <c r="U19" s="5" t="n">
        <f aca="false">IF(U1&gt;=Inputs!$B$10-Inputs!$D$40,-(Inputs!$B$40*Inputs!$B$6/12)*(1+Inputs!$B$48)^(U3-1)*(Inputs!$C$40+(1-Inputs!$C$40)*U6/Inputs!$B$6),0)</f>
        <v>-13266.4285714286</v>
      </c>
      <c r="V19" s="5" t="n">
        <f aca="false">IF(V1&gt;=Inputs!$B$10-Inputs!$D$40,-(Inputs!$B$40*Inputs!$B$6/12)*(1+Inputs!$B$48)^(V3-1)*(Inputs!$C$40+(1-Inputs!$C$40)*V6/Inputs!$B$6),0)</f>
        <v>-13929.75</v>
      </c>
      <c r="W19" s="5" t="n">
        <f aca="false">IF(W1&gt;=Inputs!$B$10-Inputs!$D$40,-(Inputs!$B$40*Inputs!$B$6/12)*(1+Inputs!$B$48)^(W3-1)*(Inputs!$C$40+(1-Inputs!$C$40)*W6/Inputs!$B$6),0)</f>
        <v>-14593.0714285714</v>
      </c>
      <c r="X19" s="5" t="n">
        <f aca="false">IF(X1&gt;=Inputs!$B$10-Inputs!$D$40,-(Inputs!$B$40*Inputs!$B$6/12)*(1+Inputs!$B$48)^(X3-1)*(Inputs!$C$40+(1-Inputs!$C$40)*X6/Inputs!$B$6),0)</f>
        <v>-15256.3928571429</v>
      </c>
      <c r="Y19" s="5" t="n">
        <f aca="false">IF(Y1&gt;=Inputs!$B$10-Inputs!$D$40,-(Inputs!$B$40*Inputs!$B$6/12)*(1+Inputs!$B$48)^(Y3-1)*(Inputs!$C$40+(1-Inputs!$C$40)*Y6/Inputs!$B$6),0)</f>
        <v>-15919.7142857143</v>
      </c>
      <c r="Z19" s="5" t="n">
        <f aca="false">IF(Z1&gt;=Inputs!$B$10-Inputs!$D$40,-(Inputs!$B$40*Inputs!$B$6/12)*(1+Inputs!$B$48)^(Z3-1)*(Inputs!$C$40+(1-Inputs!$C$40)*Z6/Inputs!$B$6),0)</f>
        <v>-16583.0357142857</v>
      </c>
      <c r="AA19" s="5" t="n">
        <f aca="false">IF(AA1&gt;=Inputs!$B$10-Inputs!$D$40,-(Inputs!$B$40*Inputs!$B$6/12)*(1+Inputs!$B$48)^(AA3-1)*(Inputs!$C$40+(1-Inputs!$C$40)*AA6/Inputs!$B$6),0)</f>
        <v>-17677.5160714286</v>
      </c>
      <c r="AB19" s="5" t="n">
        <f aca="false">IF(AB1&gt;=Inputs!$B$10-Inputs!$D$40,-(Inputs!$B$40*Inputs!$B$6/12)*(1+Inputs!$B$48)^(AB3-1)*(Inputs!$C$40+(1-Inputs!$C$40)*AB6/Inputs!$B$6),0)</f>
        <v>-18357.4205357143</v>
      </c>
      <c r="AC19" s="5" t="n">
        <f aca="false">IF(AC1&gt;=Inputs!$B$10-Inputs!$D$40,-(Inputs!$B$40*Inputs!$B$6/12)*(1+Inputs!$B$48)^(AC3-1)*(Inputs!$C$40+(1-Inputs!$C$40)*AC6/Inputs!$B$6),0)</f>
        <v>-18371.018625</v>
      </c>
      <c r="AD19" s="5" t="n">
        <f aca="false">IF(AD1&gt;=Inputs!$B$10-Inputs!$D$40,-(Inputs!$B$40*Inputs!$B$6/12)*(1+Inputs!$B$48)^(AD3-1)*(Inputs!$C$40+(1-Inputs!$C$40)*AD6/Inputs!$B$6),0)</f>
        <v>-18371.018625</v>
      </c>
      <c r="AE19" s="5" t="n">
        <f aca="false">IF(AE1&gt;=Inputs!$B$10-Inputs!$D$40,-(Inputs!$B$40*Inputs!$B$6/12)*(1+Inputs!$B$48)^(AE3-1)*(Inputs!$C$40+(1-Inputs!$C$40)*AE6/Inputs!$B$6),0)</f>
        <v>-18371.018625</v>
      </c>
      <c r="AF19" s="5" t="n">
        <f aca="false">IF(AF1&gt;=Inputs!$B$10-Inputs!$D$40,-(Inputs!$B$40*Inputs!$B$6/12)*(1+Inputs!$B$48)^(AF3-1)*(Inputs!$C$40+(1-Inputs!$C$40)*AF6/Inputs!$B$6),0)</f>
        <v>-18371.018625</v>
      </c>
      <c r="AG19" s="5" t="n">
        <f aca="false">IF(AG1&gt;=Inputs!$B$10-Inputs!$D$40,-(Inputs!$B$40*Inputs!$B$6/12)*(1+Inputs!$B$48)^(AG3-1)*(Inputs!$C$40+(1-Inputs!$C$40)*AG6/Inputs!$B$6),0)</f>
        <v>-18371.018625</v>
      </c>
      <c r="AH19" s="5" t="n">
        <f aca="false">IF(AH1&gt;=Inputs!$B$10-Inputs!$D$40,-(Inputs!$B$40*Inputs!$B$6/12)*(1+Inputs!$B$48)^(AH3-1)*(Inputs!$C$40+(1-Inputs!$C$40)*AH6/Inputs!$B$6),0)</f>
        <v>-18371.018625</v>
      </c>
      <c r="AI19" s="5" t="n">
        <f aca="false">IF(AI1&gt;=Inputs!$B$10-Inputs!$D$40,-(Inputs!$B$40*Inputs!$B$6/12)*(1+Inputs!$B$48)^(AI3-1)*(Inputs!$C$40+(1-Inputs!$C$40)*AI6/Inputs!$B$6),0)</f>
        <v>-18371.018625</v>
      </c>
      <c r="AJ19" s="5" t="n">
        <f aca="false">IF(AJ1&gt;=Inputs!$B$10-Inputs!$D$40,-(Inputs!$B$40*Inputs!$B$6/12)*(1+Inputs!$B$48)^(AJ3-1)*(Inputs!$C$40+(1-Inputs!$C$40)*AJ6/Inputs!$B$6),0)</f>
        <v>-18371.018625</v>
      </c>
      <c r="AK19" s="5" t="n">
        <f aca="false">IF(AK1&gt;=Inputs!$B$10-Inputs!$D$40,-(Inputs!$B$40*Inputs!$B$6/12)*(1+Inputs!$B$48)^(AK3-1)*(Inputs!$C$40+(1-Inputs!$C$40)*AK6/Inputs!$B$6),0)</f>
        <v>-18371.018625</v>
      </c>
      <c r="AL19" s="5" t="n">
        <f aca="false">IF(AL1&gt;=Inputs!$B$10-Inputs!$D$40,-(Inputs!$B$40*Inputs!$B$6/12)*(1+Inputs!$B$48)^(AL3-1)*(Inputs!$C$40+(1-Inputs!$C$40)*AL6/Inputs!$B$6),0)</f>
        <v>-18371.018625</v>
      </c>
      <c r="AM19" s="5" t="n">
        <f aca="false">IF(AM1&gt;=Inputs!$B$10-Inputs!$D$40,-(Inputs!$B$40*Inputs!$B$6/12)*(1+Inputs!$B$48)^(AM3-1)*(Inputs!$C$40+(1-Inputs!$C$40)*AM6/Inputs!$B$6),0)</f>
        <v>-18830.294090625</v>
      </c>
      <c r="AN19" s="5" t="n">
        <f aca="false">IF(AN1&gt;=Inputs!$B$10-Inputs!$D$40,-(Inputs!$B$40*Inputs!$B$6/12)*(1+Inputs!$B$48)^(AN3-1)*(Inputs!$C$40+(1-Inputs!$C$40)*AN6/Inputs!$B$6),0)</f>
        <v>-18830.294090625</v>
      </c>
      <c r="AO19" s="5" t="n">
        <f aca="false">IF(AO1&gt;=Inputs!$B$10-Inputs!$D$40,-(Inputs!$B$40*Inputs!$B$6/12)*(1+Inputs!$B$48)^(AO3-1)*(Inputs!$C$40+(1-Inputs!$C$40)*AO6/Inputs!$B$6),0)</f>
        <v>-18830.294090625</v>
      </c>
      <c r="AP19" s="5" t="n">
        <f aca="false">IF(AP1&gt;=Inputs!$B$10-Inputs!$D$40,-(Inputs!$B$40*Inputs!$B$6/12)*(1+Inputs!$B$48)^(AP3-1)*(Inputs!$C$40+(1-Inputs!$C$40)*AP6/Inputs!$B$6),0)</f>
        <v>-18830.294090625</v>
      </c>
      <c r="AQ19" s="5" t="n">
        <f aca="false">IF(AQ1&gt;=Inputs!$B$10-Inputs!$D$40,-(Inputs!$B$40*Inputs!$B$6/12)*(1+Inputs!$B$48)^(AQ3-1)*(Inputs!$C$40+(1-Inputs!$C$40)*AQ6/Inputs!$B$6),0)</f>
        <v>-18830.294090625</v>
      </c>
      <c r="AR19" s="5" t="n">
        <f aca="false">IF(AR1&gt;=Inputs!$B$10-Inputs!$D$40,-(Inputs!$B$40*Inputs!$B$6/12)*(1+Inputs!$B$48)^(AR3-1)*(Inputs!$C$40+(1-Inputs!$C$40)*AR6/Inputs!$B$6),0)</f>
        <v>-18830.294090625</v>
      </c>
      <c r="AS19" s="5" t="n">
        <f aca="false">IF(AS1&gt;=Inputs!$B$10-Inputs!$D$40,-(Inputs!$B$40*Inputs!$B$6/12)*(1+Inputs!$B$48)^(AS3-1)*(Inputs!$C$40+(1-Inputs!$C$40)*AS6/Inputs!$B$6),0)</f>
        <v>-18830.294090625</v>
      </c>
      <c r="AT19" s="5" t="n">
        <f aca="false">IF(AT1&gt;=Inputs!$B$10-Inputs!$D$40,-(Inputs!$B$40*Inputs!$B$6/12)*(1+Inputs!$B$48)^(AT3-1)*(Inputs!$C$40+(1-Inputs!$C$40)*AT6/Inputs!$B$6),0)</f>
        <v>-18830.294090625</v>
      </c>
      <c r="AU19" s="5" t="n">
        <f aca="false">IF(AU1&gt;=Inputs!$B$10-Inputs!$D$40,-(Inputs!$B$40*Inputs!$B$6/12)*(1+Inputs!$B$48)^(AU3-1)*(Inputs!$C$40+(1-Inputs!$C$40)*AU6/Inputs!$B$6),0)</f>
        <v>-18830.294090625</v>
      </c>
      <c r="AV19" s="5" t="n">
        <f aca="false">IF(AV1&gt;=Inputs!$B$10-Inputs!$D$40,-(Inputs!$B$40*Inputs!$B$6/12)*(1+Inputs!$B$48)^(AV3-1)*(Inputs!$C$40+(1-Inputs!$C$40)*AV6/Inputs!$B$6),0)</f>
        <v>-18830.294090625</v>
      </c>
      <c r="AW19" s="5" t="n">
        <f aca="false">IF(AW1&gt;=Inputs!$B$10-Inputs!$D$40,-(Inputs!$B$40*Inputs!$B$6/12)*(1+Inputs!$B$48)^(AW3-1)*(Inputs!$C$40+(1-Inputs!$C$40)*AW6/Inputs!$B$6),0)</f>
        <v>-18830.294090625</v>
      </c>
      <c r="AX19" s="5" t="n">
        <f aca="false">IF(AX1&gt;=Inputs!$B$10-Inputs!$D$40,-(Inputs!$B$40*Inputs!$B$6/12)*(1+Inputs!$B$48)^(AX3-1)*(Inputs!$C$40+(1-Inputs!$C$40)*AX6/Inputs!$B$6),0)</f>
        <v>-18830.294090625</v>
      </c>
      <c r="AY19" s="5" t="n">
        <f aca="false">IF(AY1&gt;=Inputs!$B$10-Inputs!$D$40,-(Inputs!$B$40*Inputs!$B$6/12)*(1+Inputs!$B$48)^(AY3-1)*(Inputs!$C$40+(1-Inputs!$C$40)*AY6/Inputs!$B$6),0)</f>
        <v>-19301.0514428906</v>
      </c>
      <c r="AZ19" s="5" t="n">
        <f aca="false">IF(AZ1&gt;=Inputs!$B$10-Inputs!$D$40,-(Inputs!$B$40*Inputs!$B$6/12)*(1+Inputs!$B$48)^(AZ3-1)*(Inputs!$C$40+(1-Inputs!$C$40)*AZ6/Inputs!$B$6),0)</f>
        <v>-19301.0514428906</v>
      </c>
      <c r="BA19" s="5" t="n">
        <f aca="false">IF(BA1&gt;=Inputs!$B$10-Inputs!$D$40,-(Inputs!$B$40*Inputs!$B$6/12)*(1+Inputs!$B$48)^(BA3-1)*(Inputs!$C$40+(1-Inputs!$C$40)*BA6/Inputs!$B$6),0)</f>
        <v>-19301.0514428906</v>
      </c>
      <c r="BB19" s="5" t="n">
        <f aca="false">IF(BB1&gt;=Inputs!$B$10-Inputs!$D$40,-(Inputs!$B$40*Inputs!$B$6/12)*(1+Inputs!$B$48)^(BB3-1)*(Inputs!$C$40+(1-Inputs!$C$40)*BB6/Inputs!$B$6),0)</f>
        <v>-19301.0514428906</v>
      </c>
      <c r="BC19" s="5" t="n">
        <f aca="false">IF(BC1&gt;=Inputs!$B$10-Inputs!$D$40,-(Inputs!$B$40*Inputs!$B$6/12)*(1+Inputs!$B$48)^(BC3-1)*(Inputs!$C$40+(1-Inputs!$C$40)*BC6/Inputs!$B$6),0)</f>
        <v>-19301.0514428906</v>
      </c>
      <c r="BD19" s="5" t="n">
        <f aca="false">IF(BD1&gt;=Inputs!$B$10-Inputs!$D$40,-(Inputs!$B$40*Inputs!$B$6/12)*(1+Inputs!$B$48)^(BD3-1)*(Inputs!$C$40+(1-Inputs!$C$40)*BD6/Inputs!$B$6),0)</f>
        <v>-19301.0514428906</v>
      </c>
      <c r="BE19" s="5" t="n">
        <f aca="false">IF(BE1&gt;=Inputs!$B$10-Inputs!$D$40,-(Inputs!$B$40*Inputs!$B$6/12)*(1+Inputs!$B$48)^(BE3-1)*(Inputs!$C$40+(1-Inputs!$C$40)*BE6/Inputs!$B$6),0)</f>
        <v>-19301.0514428906</v>
      </c>
      <c r="BF19" s="5" t="n">
        <f aca="false">IF(BF1&gt;=Inputs!$B$10-Inputs!$D$40,-(Inputs!$B$40*Inputs!$B$6/12)*(1+Inputs!$B$48)^(BF3-1)*(Inputs!$C$40+(1-Inputs!$C$40)*BF6/Inputs!$B$6),0)</f>
        <v>-19301.0514428906</v>
      </c>
      <c r="BG19" s="5" t="n">
        <f aca="false">IF(BG1&gt;=Inputs!$B$10-Inputs!$D$40,-(Inputs!$B$40*Inputs!$B$6/12)*(1+Inputs!$B$48)^(BG3-1)*(Inputs!$C$40+(1-Inputs!$C$40)*BG6/Inputs!$B$6),0)</f>
        <v>-19301.0514428906</v>
      </c>
      <c r="BH19" s="5" t="n">
        <f aca="false">IF(BH1&gt;=Inputs!$B$10-Inputs!$D$40,-(Inputs!$B$40*Inputs!$B$6/12)*(1+Inputs!$B$48)^(BH3-1)*(Inputs!$C$40+(1-Inputs!$C$40)*BH6/Inputs!$B$6),0)</f>
        <v>-19301.0514428906</v>
      </c>
      <c r="BI19" s="5" t="n">
        <f aca="false">IF(BI1&gt;=Inputs!$B$10-Inputs!$D$40,-(Inputs!$B$40*Inputs!$B$6/12)*(1+Inputs!$B$48)^(BI3-1)*(Inputs!$C$40+(1-Inputs!$C$40)*BI6/Inputs!$B$6),0)</f>
        <v>-19301.0514428906</v>
      </c>
      <c r="BJ19" s="5" t="n">
        <f aca="false">IF(BJ1&gt;=Inputs!$B$10-Inputs!$D$40,-(Inputs!$B$40*Inputs!$B$6/12)*(1+Inputs!$B$48)^(BJ3-1)*(Inputs!$C$40+(1-Inputs!$C$40)*BJ6/Inputs!$B$6),0)</f>
        <v>-19301.0514428906</v>
      </c>
      <c r="BK19" s="5" t="n">
        <f aca="false">IF(BK1&gt;=Inputs!$B$10-Inputs!$D$40,-(Inputs!$B$40*Inputs!$B$6/12)*(1+Inputs!$B$48)^(BK3-1)*(Inputs!$C$40+(1-Inputs!$C$40)*BK6/Inputs!$B$6),0)</f>
        <v>-19783.5777289629</v>
      </c>
      <c r="BL19" s="5" t="n">
        <f aca="false">IF(BL1&gt;=Inputs!$B$10-Inputs!$D$40,-(Inputs!$B$40*Inputs!$B$6/12)*(1+Inputs!$B$48)^(BL3-1)*(Inputs!$C$40+(1-Inputs!$C$40)*BL6/Inputs!$B$6),0)</f>
        <v>-19783.5777289629</v>
      </c>
      <c r="BM19" s="5" t="n">
        <f aca="false">IF(BM1&gt;=Inputs!$B$10-Inputs!$D$40,-(Inputs!$B$40*Inputs!$B$6/12)*(1+Inputs!$B$48)^(BM3-1)*(Inputs!$C$40+(1-Inputs!$C$40)*BM6/Inputs!$B$6),0)</f>
        <v>-19783.5777289629</v>
      </c>
      <c r="BN19" s="5" t="n">
        <f aca="false">IF(BN1&gt;=Inputs!$B$10-Inputs!$D$40,-(Inputs!$B$40*Inputs!$B$6/12)*(1+Inputs!$B$48)^(BN3-1)*(Inputs!$C$40+(1-Inputs!$C$40)*BN6/Inputs!$B$6),0)</f>
        <v>-19783.5777289629</v>
      </c>
      <c r="BO19" s="5" t="n">
        <f aca="false">IF(BO1&gt;=Inputs!$B$10-Inputs!$D$40,-(Inputs!$B$40*Inputs!$B$6/12)*(1+Inputs!$B$48)^(BO3-1)*(Inputs!$C$40+(1-Inputs!$C$40)*BO6/Inputs!$B$6),0)</f>
        <v>-19783.5777289629</v>
      </c>
      <c r="BP19" s="5" t="n">
        <f aca="false">IF(BP1&gt;=Inputs!$B$10-Inputs!$D$40,-(Inputs!$B$40*Inputs!$B$6/12)*(1+Inputs!$B$48)^(BP3-1)*(Inputs!$C$40+(1-Inputs!$C$40)*BP6/Inputs!$B$6),0)</f>
        <v>-19783.5777289629</v>
      </c>
      <c r="BQ19" s="5" t="n">
        <f aca="false">IF(BQ1&gt;=Inputs!$B$10-Inputs!$D$40,-(Inputs!$B$40*Inputs!$B$6/12)*(1+Inputs!$B$48)^(BQ3-1)*(Inputs!$C$40+(1-Inputs!$C$40)*BQ6/Inputs!$B$6),0)</f>
        <v>-19783.5777289629</v>
      </c>
      <c r="BR19" s="5" t="n">
        <f aca="false">IF(BR1&gt;=Inputs!$B$10-Inputs!$D$40,-(Inputs!$B$40*Inputs!$B$6/12)*(1+Inputs!$B$48)^(BR3-1)*(Inputs!$C$40+(1-Inputs!$C$40)*BR6/Inputs!$B$6),0)</f>
        <v>-19783.5777289629</v>
      </c>
      <c r="BS19" s="5" t="n">
        <f aca="false">IF(BS1&gt;=Inputs!$B$10-Inputs!$D$40,-(Inputs!$B$40*Inputs!$B$6/12)*(1+Inputs!$B$48)^(BS3-1)*(Inputs!$C$40+(1-Inputs!$C$40)*BS6/Inputs!$B$6),0)</f>
        <v>-19783.5777289629</v>
      </c>
      <c r="BT19" s="5" t="n">
        <f aca="false">IF(BT1&gt;=Inputs!$B$10-Inputs!$D$40,-(Inputs!$B$40*Inputs!$B$6/12)*(1+Inputs!$B$48)^(BT3-1)*(Inputs!$C$40+(1-Inputs!$C$40)*BT6/Inputs!$B$6),0)</f>
        <v>-19783.5777289629</v>
      </c>
      <c r="BU19" s="5" t="n">
        <f aca="false">IF(BU1&gt;=Inputs!$B$10-Inputs!$D$40,-(Inputs!$B$40*Inputs!$B$6/12)*(1+Inputs!$B$48)^(BU3-1)*(Inputs!$C$40+(1-Inputs!$C$40)*BU6/Inputs!$B$6),0)</f>
        <v>-19783.5777289629</v>
      </c>
      <c r="BV19" s="5" t="n">
        <f aca="false">IF(BV1&gt;=Inputs!$B$10-Inputs!$D$40,-(Inputs!$B$40*Inputs!$B$6/12)*(1+Inputs!$B$48)^(BV3-1)*(Inputs!$C$40+(1-Inputs!$C$40)*BV6/Inputs!$B$6),0)</f>
        <v>-19783.5777289629</v>
      </c>
      <c r="BW19" s="5" t="n">
        <f aca="false">IF(BW1&gt;=Inputs!$B$10-Inputs!$D$40,-(Inputs!$B$40*Inputs!$B$6/12)*(1+Inputs!$B$48)^(BW3-1)*(Inputs!$C$40+(1-Inputs!$C$40)*BW6/Inputs!$B$6),0)</f>
        <v>-20278.167172187</v>
      </c>
      <c r="BX19" s="5" t="n">
        <f aca="false">IF(BX1&gt;=Inputs!$B$10-Inputs!$D$40,-(Inputs!$B$40*Inputs!$B$6/12)*(1+Inputs!$B$48)^(BX3-1)*(Inputs!$C$40+(1-Inputs!$C$40)*BX6/Inputs!$B$6),0)</f>
        <v>-20278.167172187</v>
      </c>
      <c r="BY19" s="5" t="n">
        <f aca="false">IF(BY1&gt;=Inputs!$B$10-Inputs!$D$40,-(Inputs!$B$40*Inputs!$B$6/12)*(1+Inputs!$B$48)^(BY3-1)*(Inputs!$C$40+(1-Inputs!$C$40)*BY6/Inputs!$B$6),0)</f>
        <v>-20278.167172187</v>
      </c>
      <c r="BZ19" s="5" t="n">
        <f aca="false">IF(BZ1&gt;=Inputs!$B$10-Inputs!$D$40,-(Inputs!$B$40*Inputs!$B$6/12)*(1+Inputs!$B$48)^(BZ3-1)*(Inputs!$C$40+(1-Inputs!$C$40)*BZ6/Inputs!$B$6),0)</f>
        <v>-20278.167172187</v>
      </c>
      <c r="CA19" s="5" t="n">
        <f aca="false">IF(CA1&gt;=Inputs!$B$10-Inputs!$D$40,-(Inputs!$B$40*Inputs!$B$6/12)*(1+Inputs!$B$48)^(CA3-1)*(Inputs!$C$40+(1-Inputs!$C$40)*CA6/Inputs!$B$6),0)</f>
        <v>-20278.167172187</v>
      </c>
      <c r="CB19" s="5" t="n">
        <f aca="false">IF(CB1&gt;=Inputs!$B$10-Inputs!$D$40,-(Inputs!$B$40*Inputs!$B$6/12)*(1+Inputs!$B$48)^(CB3-1)*(Inputs!$C$40+(1-Inputs!$C$40)*CB6/Inputs!$B$6),0)</f>
        <v>-20278.167172187</v>
      </c>
      <c r="CC19" s="5" t="n">
        <f aca="false">IF(CC1&gt;=Inputs!$B$10-Inputs!$D$40,-(Inputs!$B$40*Inputs!$B$6/12)*(1+Inputs!$B$48)^(CC3-1)*(Inputs!$C$40+(1-Inputs!$C$40)*CC6/Inputs!$B$6),0)</f>
        <v>-20278.167172187</v>
      </c>
      <c r="CD19" s="5" t="n">
        <f aca="false">IF(CD1&gt;=Inputs!$B$10-Inputs!$D$40,-(Inputs!$B$40*Inputs!$B$6/12)*(1+Inputs!$B$48)^(CD3-1)*(Inputs!$C$40+(1-Inputs!$C$40)*CD6/Inputs!$B$6),0)</f>
        <v>-20278.167172187</v>
      </c>
      <c r="CE19" s="5" t="n">
        <f aca="false">IF(CE1&gt;=Inputs!$B$10-Inputs!$D$40,-(Inputs!$B$40*Inputs!$B$6/12)*(1+Inputs!$B$48)^(CE3-1)*(Inputs!$C$40+(1-Inputs!$C$40)*CE6/Inputs!$B$6),0)</f>
        <v>-20278.167172187</v>
      </c>
      <c r="CF19" s="5" t="n">
        <f aca="false">IF(CF1&gt;=Inputs!$B$10-Inputs!$D$40,-(Inputs!$B$40*Inputs!$B$6/12)*(1+Inputs!$B$48)^(CF3-1)*(Inputs!$C$40+(1-Inputs!$C$40)*CF6/Inputs!$B$6),0)</f>
        <v>-20278.167172187</v>
      </c>
      <c r="CG19" s="5" t="n">
        <f aca="false">IF(CG1&gt;=Inputs!$B$10-Inputs!$D$40,-(Inputs!$B$40*Inputs!$B$6/12)*(1+Inputs!$B$48)^(CG3-1)*(Inputs!$C$40+(1-Inputs!$C$40)*CG6/Inputs!$B$6),0)</f>
        <v>-20278.167172187</v>
      </c>
      <c r="CH19" s="5" t="n">
        <f aca="false">IF(CH1&gt;=Inputs!$B$10-Inputs!$D$40,-(Inputs!$B$40*Inputs!$B$6/12)*(1+Inputs!$B$48)^(CH3-1)*(Inputs!$C$40+(1-Inputs!$C$40)*CH6/Inputs!$B$6),0)</f>
        <v>-20278.167172187</v>
      </c>
      <c r="CI19" s="5" t="n">
        <f aca="false">IF(CI1&gt;=Inputs!$B$10-Inputs!$D$40,-(Inputs!$B$40*Inputs!$B$6/12)*(1+Inputs!$B$48)^(CI3-1)*(Inputs!$C$40+(1-Inputs!$C$40)*CI6/Inputs!$B$6),0)</f>
        <v>-20785.1213514916</v>
      </c>
      <c r="CJ19" s="5" t="n">
        <f aca="false">IF(CJ1&gt;=Inputs!$B$10-Inputs!$D$40,-(Inputs!$B$40*Inputs!$B$6/12)*(1+Inputs!$B$48)^(CJ3-1)*(Inputs!$C$40+(1-Inputs!$C$40)*CJ6/Inputs!$B$6),0)</f>
        <v>-20785.1213514916</v>
      </c>
      <c r="CK19" s="5" t="n">
        <f aca="false">IF(CK1&gt;=Inputs!$B$10-Inputs!$D$40,-(Inputs!$B$40*Inputs!$B$6/12)*(1+Inputs!$B$48)^(CK3-1)*(Inputs!$C$40+(1-Inputs!$C$40)*CK6/Inputs!$B$6),0)</f>
        <v>-20785.1213514916</v>
      </c>
      <c r="CL19" s="5" t="n">
        <f aca="false">IF(CL1&gt;=Inputs!$B$10-Inputs!$D$40,-(Inputs!$B$40*Inputs!$B$6/12)*(1+Inputs!$B$48)^(CL3-1)*(Inputs!$C$40+(1-Inputs!$C$40)*CL6/Inputs!$B$6),0)</f>
        <v>-20785.1213514916</v>
      </c>
      <c r="CM19" s="5" t="n">
        <f aca="false">IF(CM1&gt;=Inputs!$B$10-Inputs!$D$40,-(Inputs!$B$40*Inputs!$B$6/12)*(1+Inputs!$B$48)^(CM3-1)*(Inputs!$C$40+(1-Inputs!$C$40)*CM6/Inputs!$B$6),0)</f>
        <v>-20785.1213514916</v>
      </c>
      <c r="CN19" s="5" t="n">
        <f aca="false">IF(CN1&gt;=Inputs!$B$10-Inputs!$D$40,-(Inputs!$B$40*Inputs!$B$6/12)*(1+Inputs!$B$48)^(CN3-1)*(Inputs!$C$40+(1-Inputs!$C$40)*CN6/Inputs!$B$6),0)</f>
        <v>-20785.1213514916</v>
      </c>
      <c r="CO19" s="5" t="n">
        <f aca="false">IF(CO1&gt;=Inputs!$B$10-Inputs!$D$40,-(Inputs!$B$40*Inputs!$B$6/12)*(1+Inputs!$B$48)^(CO3-1)*(Inputs!$C$40+(1-Inputs!$C$40)*CO6/Inputs!$B$6),0)</f>
        <v>-20785.1213514916</v>
      </c>
      <c r="CP19" s="5" t="n">
        <f aca="false">IF(CP1&gt;=Inputs!$B$10-Inputs!$D$40,-(Inputs!$B$40*Inputs!$B$6/12)*(1+Inputs!$B$48)^(CP3-1)*(Inputs!$C$40+(1-Inputs!$C$40)*CP6/Inputs!$B$6),0)</f>
        <v>-20785.1213514916</v>
      </c>
      <c r="CQ19" s="5" t="n">
        <f aca="false">IF(CQ1&gt;=Inputs!$B$10-Inputs!$D$40,-(Inputs!$B$40*Inputs!$B$6/12)*(1+Inputs!$B$48)^(CQ3-1)*(Inputs!$C$40+(1-Inputs!$C$40)*CQ6/Inputs!$B$6),0)</f>
        <v>-20785.1213514916</v>
      </c>
      <c r="CR19" s="5" t="n">
        <f aca="false">IF(CR1&gt;=Inputs!$B$10-Inputs!$D$40,-(Inputs!$B$40*Inputs!$B$6/12)*(1+Inputs!$B$48)^(CR3-1)*(Inputs!$C$40+(1-Inputs!$C$40)*CR6/Inputs!$B$6),0)</f>
        <v>-20785.1213514916</v>
      </c>
      <c r="CS19" s="5" t="n">
        <f aca="false">IF(CS1&gt;=Inputs!$B$10-Inputs!$D$40,-(Inputs!$B$40*Inputs!$B$6/12)*(1+Inputs!$B$48)^(CS3-1)*(Inputs!$C$40+(1-Inputs!$C$40)*CS6/Inputs!$B$6),0)</f>
        <v>-20785.1213514916</v>
      </c>
      <c r="CT19" s="5" t="n">
        <f aca="false">IF(CT1&gt;=Inputs!$B$10-Inputs!$D$40,-(Inputs!$B$40*Inputs!$B$6/12)*(1+Inputs!$B$48)^(CT3-1)*(Inputs!$C$40+(1-Inputs!$C$40)*CT6/Inputs!$B$6),0)</f>
        <v>-20785.1213514916</v>
      </c>
    </row>
    <row r="20" customFormat="false" ht="15" hidden="false" customHeight="false" outlineLevel="0" collapsed="false">
      <c r="B20" s="26" t="s">
        <v>73</v>
      </c>
      <c r="C20" s="5" t="n">
        <f aca="false">IF(C1&gt;=Inputs!$B$10-Inputs!$D$41,-(Inputs!$B$41*Inputs!$B$6/12)*(1+Inputs!$B$48)^(C3-1)*(Inputs!$C$41+(1-Inputs!$C$41)*C6/Inputs!$B$6),0)</f>
        <v>0</v>
      </c>
      <c r="D20" s="5" t="n">
        <f aca="false">IF(D1&gt;=Inputs!$B$10-Inputs!$D$41,-(Inputs!$B$41*Inputs!$B$6/12)*(1+Inputs!$B$48)^(D3-1)*(Inputs!$C$41+(1-Inputs!$C$41)*D6/Inputs!$B$6),0)</f>
        <v>0</v>
      </c>
      <c r="E20" s="5" t="n">
        <f aca="false">IF(E1&gt;=Inputs!$B$10-Inputs!$D$41,-(Inputs!$B$41*Inputs!$B$6/12)*(1+Inputs!$B$48)^(E3-1)*(Inputs!$C$41+(1-Inputs!$C$41)*E6/Inputs!$B$6),0)</f>
        <v>0</v>
      </c>
      <c r="F20" s="5" t="n">
        <f aca="false">IF(F1&gt;=Inputs!$B$10-Inputs!$D$41,-(Inputs!$B$41*Inputs!$B$6/12)*(1+Inputs!$B$48)^(F3-1)*(Inputs!$C$41+(1-Inputs!$C$41)*F6/Inputs!$B$6),0)</f>
        <v>0</v>
      </c>
      <c r="G20" s="5" t="n">
        <f aca="false">IF(G1&gt;=Inputs!$B$10-Inputs!$D$41,-(Inputs!$B$41*Inputs!$B$6/12)*(1+Inputs!$B$48)^(G3-1)*(Inputs!$C$41+(1-Inputs!$C$41)*G6/Inputs!$B$6),0)</f>
        <v>0</v>
      </c>
      <c r="H20" s="5" t="n">
        <f aca="false">IF(H1&gt;=Inputs!$B$10-Inputs!$D$41,-(Inputs!$B$41*Inputs!$B$6/12)*(1+Inputs!$B$48)^(H3-1)*(Inputs!$C$41+(1-Inputs!$C$41)*H6/Inputs!$B$6),0)</f>
        <v>0</v>
      </c>
      <c r="I20" s="5" t="n">
        <f aca="false">IF(I1&gt;=Inputs!$B$10-Inputs!$D$41,-(Inputs!$B$41*Inputs!$B$6/12)*(1+Inputs!$B$48)^(I3-1)*(Inputs!$C$41+(1-Inputs!$C$41)*I6/Inputs!$B$6),0)</f>
        <v>0</v>
      </c>
      <c r="J20" s="5" t="n">
        <f aca="false">IF(J1&gt;=Inputs!$B$10-Inputs!$D$41,-(Inputs!$B$41*Inputs!$B$6/12)*(1+Inputs!$B$48)^(J3-1)*(Inputs!$C$41+(1-Inputs!$C$41)*J6/Inputs!$B$6),0)</f>
        <v>0</v>
      </c>
      <c r="K20" s="5" t="n">
        <f aca="false">IF(K1&gt;=Inputs!$B$10-Inputs!$D$41,-(Inputs!$B$41*Inputs!$B$6/12)*(1+Inputs!$B$48)^(K3-1)*(Inputs!$C$41+(1-Inputs!$C$41)*K6/Inputs!$B$6),0)</f>
        <v>0</v>
      </c>
      <c r="L20" s="5" t="n">
        <f aca="false">IF(L1&gt;=Inputs!$B$10-Inputs!$D$41,-(Inputs!$B$41*Inputs!$B$6/12)*(1+Inputs!$B$48)^(L3-1)*(Inputs!$C$41+(1-Inputs!$C$41)*L6/Inputs!$B$6),0)</f>
        <v>0</v>
      </c>
      <c r="M20" s="5" t="n">
        <f aca="false">IF(M1&gt;=Inputs!$B$10-Inputs!$D$41,-(Inputs!$B$41*Inputs!$B$6/12)*(1+Inputs!$B$48)^(M3-1)*(Inputs!$C$41+(1-Inputs!$C$41)*M6/Inputs!$B$6),0)</f>
        <v>0</v>
      </c>
      <c r="N20" s="5" t="n">
        <f aca="false">IF(N1&gt;=Inputs!$B$10-Inputs!$D$41,-(Inputs!$B$41*Inputs!$B$6/12)*(1+Inputs!$B$48)^(N3-1)*(Inputs!$C$41+(1-Inputs!$C$41)*N6/Inputs!$B$6),0)</f>
        <v>0</v>
      </c>
      <c r="O20" s="5" t="n">
        <f aca="false">IF(O1&gt;=Inputs!$B$10-Inputs!$D$41,-(Inputs!$B$41*Inputs!$B$6/12)*(1+Inputs!$B$48)^(O3-1)*(Inputs!$C$41+(1-Inputs!$C$41)*O6/Inputs!$B$6),0)</f>
        <v>0</v>
      </c>
      <c r="P20" s="5" t="n">
        <f aca="false">IF(P1&gt;=Inputs!$B$10-Inputs!$D$41,-(Inputs!$B$41*Inputs!$B$6/12)*(1+Inputs!$B$48)^(P3-1)*(Inputs!$C$41+(1-Inputs!$C$41)*P6/Inputs!$B$6),0)</f>
        <v>-184.5</v>
      </c>
      <c r="Q20" s="5" t="n">
        <f aca="false">IF(Q1&gt;=Inputs!$B$10-Inputs!$D$41,-(Inputs!$B$41*Inputs!$B$6/12)*(1+Inputs!$B$48)^(Q3-1)*(Inputs!$C$41+(1-Inputs!$C$41)*Q6/Inputs!$B$6),0)</f>
        <v>-369</v>
      </c>
      <c r="R20" s="5" t="n">
        <f aca="false">IF(R1&gt;=Inputs!$B$10-Inputs!$D$41,-(Inputs!$B$41*Inputs!$B$6/12)*(1+Inputs!$B$48)^(R3-1)*(Inputs!$C$41+(1-Inputs!$C$41)*R6/Inputs!$B$6),0)</f>
        <v>-553.5</v>
      </c>
      <c r="S20" s="5" t="n">
        <f aca="false">IF(S1&gt;=Inputs!$B$10-Inputs!$D$41,-(Inputs!$B$41*Inputs!$B$6/12)*(1+Inputs!$B$48)^(S3-1)*(Inputs!$C$41+(1-Inputs!$C$41)*S6/Inputs!$B$6),0)</f>
        <v>-738</v>
      </c>
      <c r="T20" s="5" t="n">
        <f aca="false">IF(T1&gt;=Inputs!$B$10-Inputs!$D$41,-(Inputs!$B$41*Inputs!$B$6/12)*(1+Inputs!$B$48)^(T3-1)*(Inputs!$C$41+(1-Inputs!$C$41)*T6/Inputs!$B$6),0)</f>
        <v>-922.5</v>
      </c>
      <c r="U20" s="5" t="n">
        <f aca="false">IF(U1&gt;=Inputs!$B$10-Inputs!$D$41,-(Inputs!$B$41*Inputs!$B$6/12)*(1+Inputs!$B$48)^(U3-1)*(Inputs!$C$41+(1-Inputs!$C$41)*U6/Inputs!$B$6),0)</f>
        <v>-1107</v>
      </c>
      <c r="V20" s="5" t="n">
        <f aca="false">IF(V1&gt;=Inputs!$B$10-Inputs!$D$41,-(Inputs!$B$41*Inputs!$B$6/12)*(1+Inputs!$B$48)^(V3-1)*(Inputs!$C$41+(1-Inputs!$C$41)*V6/Inputs!$B$6),0)</f>
        <v>-1291.5</v>
      </c>
      <c r="W20" s="5" t="n">
        <f aca="false">IF(W1&gt;=Inputs!$B$10-Inputs!$D$41,-(Inputs!$B$41*Inputs!$B$6/12)*(1+Inputs!$B$48)^(W3-1)*(Inputs!$C$41+(1-Inputs!$C$41)*W6/Inputs!$B$6),0)</f>
        <v>-1476</v>
      </c>
      <c r="X20" s="5" t="n">
        <f aca="false">IF(X1&gt;=Inputs!$B$10-Inputs!$D$41,-(Inputs!$B$41*Inputs!$B$6/12)*(1+Inputs!$B$48)^(X3-1)*(Inputs!$C$41+(1-Inputs!$C$41)*X6/Inputs!$B$6),0)</f>
        <v>-1660.5</v>
      </c>
      <c r="Y20" s="5" t="n">
        <f aca="false">IF(Y1&gt;=Inputs!$B$10-Inputs!$D$41,-(Inputs!$B$41*Inputs!$B$6/12)*(1+Inputs!$B$48)^(Y3-1)*(Inputs!$C$41+(1-Inputs!$C$41)*Y6/Inputs!$B$6),0)</f>
        <v>-1845</v>
      </c>
      <c r="Z20" s="5" t="n">
        <f aca="false">IF(Z1&gt;=Inputs!$B$10-Inputs!$D$41,-(Inputs!$B$41*Inputs!$B$6/12)*(1+Inputs!$B$48)^(Z3-1)*(Inputs!$C$41+(1-Inputs!$C$41)*Z6/Inputs!$B$6),0)</f>
        <v>-2029.5</v>
      </c>
      <c r="AA20" s="5" t="n">
        <f aca="false">IF(AA1&gt;=Inputs!$B$10-Inputs!$D$41,-(Inputs!$B$41*Inputs!$B$6/12)*(1+Inputs!$B$48)^(AA3-1)*(Inputs!$C$41+(1-Inputs!$C$41)*AA6/Inputs!$B$6),0)</f>
        <v>-2269.35</v>
      </c>
      <c r="AB20" s="5" t="n">
        <f aca="false">IF(AB1&gt;=Inputs!$B$10-Inputs!$D$41,-(Inputs!$B$41*Inputs!$B$6/12)*(1+Inputs!$B$48)^(AB3-1)*(Inputs!$C$41+(1-Inputs!$C$41)*AB6/Inputs!$B$6),0)</f>
        <v>-2458.4625</v>
      </c>
      <c r="AC20" s="5" t="n">
        <f aca="false">IF(AC1&gt;=Inputs!$B$10-Inputs!$D$41,-(Inputs!$B$41*Inputs!$B$6/12)*(1+Inputs!$B$48)^(AC3-1)*(Inputs!$C$41+(1-Inputs!$C$41)*AC6/Inputs!$B$6),0)</f>
        <v>-2462.24475</v>
      </c>
      <c r="AD20" s="5" t="n">
        <f aca="false">IF(AD1&gt;=Inputs!$B$10-Inputs!$D$41,-(Inputs!$B$41*Inputs!$B$6/12)*(1+Inputs!$B$48)^(AD3-1)*(Inputs!$C$41+(1-Inputs!$C$41)*AD6/Inputs!$B$6),0)</f>
        <v>-2462.24475</v>
      </c>
      <c r="AE20" s="5" t="n">
        <f aca="false">IF(AE1&gt;=Inputs!$B$10-Inputs!$D$41,-(Inputs!$B$41*Inputs!$B$6/12)*(1+Inputs!$B$48)^(AE3-1)*(Inputs!$C$41+(1-Inputs!$C$41)*AE6/Inputs!$B$6),0)</f>
        <v>-2462.24475</v>
      </c>
      <c r="AF20" s="5" t="n">
        <f aca="false">IF(AF1&gt;=Inputs!$B$10-Inputs!$D$41,-(Inputs!$B$41*Inputs!$B$6/12)*(1+Inputs!$B$48)^(AF3-1)*(Inputs!$C$41+(1-Inputs!$C$41)*AF6/Inputs!$B$6),0)</f>
        <v>-2462.24475</v>
      </c>
      <c r="AG20" s="5" t="n">
        <f aca="false">IF(AG1&gt;=Inputs!$B$10-Inputs!$D$41,-(Inputs!$B$41*Inputs!$B$6/12)*(1+Inputs!$B$48)^(AG3-1)*(Inputs!$C$41+(1-Inputs!$C$41)*AG6/Inputs!$B$6),0)</f>
        <v>-2462.24475</v>
      </c>
      <c r="AH20" s="5" t="n">
        <f aca="false">IF(AH1&gt;=Inputs!$B$10-Inputs!$D$41,-(Inputs!$B$41*Inputs!$B$6/12)*(1+Inputs!$B$48)^(AH3-1)*(Inputs!$C$41+(1-Inputs!$C$41)*AH6/Inputs!$B$6),0)</f>
        <v>-2462.24475</v>
      </c>
      <c r="AI20" s="5" t="n">
        <f aca="false">IF(AI1&gt;=Inputs!$B$10-Inputs!$D$41,-(Inputs!$B$41*Inputs!$B$6/12)*(1+Inputs!$B$48)^(AI3-1)*(Inputs!$C$41+(1-Inputs!$C$41)*AI6/Inputs!$B$6),0)</f>
        <v>-2462.24475</v>
      </c>
      <c r="AJ20" s="5" t="n">
        <f aca="false">IF(AJ1&gt;=Inputs!$B$10-Inputs!$D$41,-(Inputs!$B$41*Inputs!$B$6/12)*(1+Inputs!$B$48)^(AJ3-1)*(Inputs!$C$41+(1-Inputs!$C$41)*AJ6/Inputs!$B$6),0)</f>
        <v>-2462.24475</v>
      </c>
      <c r="AK20" s="5" t="n">
        <f aca="false">IF(AK1&gt;=Inputs!$B$10-Inputs!$D$41,-(Inputs!$B$41*Inputs!$B$6/12)*(1+Inputs!$B$48)^(AK3-1)*(Inputs!$C$41+(1-Inputs!$C$41)*AK6/Inputs!$B$6),0)</f>
        <v>-2462.24475</v>
      </c>
      <c r="AL20" s="5" t="n">
        <f aca="false">IF(AL1&gt;=Inputs!$B$10-Inputs!$D$41,-(Inputs!$B$41*Inputs!$B$6/12)*(1+Inputs!$B$48)^(AL3-1)*(Inputs!$C$41+(1-Inputs!$C$41)*AL6/Inputs!$B$6),0)</f>
        <v>-2462.24475</v>
      </c>
      <c r="AM20" s="5" t="n">
        <f aca="false">IF(AM1&gt;=Inputs!$B$10-Inputs!$D$41,-(Inputs!$B$41*Inputs!$B$6/12)*(1+Inputs!$B$48)^(AM3-1)*(Inputs!$C$41+(1-Inputs!$C$41)*AM6/Inputs!$B$6),0)</f>
        <v>-2523.80086875</v>
      </c>
      <c r="AN20" s="5" t="n">
        <f aca="false">IF(AN1&gt;=Inputs!$B$10-Inputs!$D$41,-(Inputs!$B$41*Inputs!$B$6/12)*(1+Inputs!$B$48)^(AN3-1)*(Inputs!$C$41+(1-Inputs!$C$41)*AN6/Inputs!$B$6),0)</f>
        <v>-2523.80086875</v>
      </c>
      <c r="AO20" s="5" t="n">
        <f aca="false">IF(AO1&gt;=Inputs!$B$10-Inputs!$D$41,-(Inputs!$B$41*Inputs!$B$6/12)*(1+Inputs!$B$48)^(AO3-1)*(Inputs!$C$41+(1-Inputs!$C$41)*AO6/Inputs!$B$6),0)</f>
        <v>-2523.80086875</v>
      </c>
      <c r="AP20" s="5" t="n">
        <f aca="false">IF(AP1&gt;=Inputs!$B$10-Inputs!$D$41,-(Inputs!$B$41*Inputs!$B$6/12)*(1+Inputs!$B$48)^(AP3-1)*(Inputs!$C$41+(1-Inputs!$C$41)*AP6/Inputs!$B$6),0)</f>
        <v>-2523.80086875</v>
      </c>
      <c r="AQ20" s="5" t="n">
        <f aca="false">IF(AQ1&gt;=Inputs!$B$10-Inputs!$D$41,-(Inputs!$B$41*Inputs!$B$6/12)*(1+Inputs!$B$48)^(AQ3-1)*(Inputs!$C$41+(1-Inputs!$C$41)*AQ6/Inputs!$B$6),0)</f>
        <v>-2523.80086875</v>
      </c>
      <c r="AR20" s="5" t="n">
        <f aca="false">IF(AR1&gt;=Inputs!$B$10-Inputs!$D$41,-(Inputs!$B$41*Inputs!$B$6/12)*(1+Inputs!$B$48)^(AR3-1)*(Inputs!$C$41+(1-Inputs!$C$41)*AR6/Inputs!$B$6),0)</f>
        <v>-2523.80086875</v>
      </c>
      <c r="AS20" s="5" t="n">
        <f aca="false">IF(AS1&gt;=Inputs!$B$10-Inputs!$D$41,-(Inputs!$B$41*Inputs!$B$6/12)*(1+Inputs!$B$48)^(AS3-1)*(Inputs!$C$41+(1-Inputs!$C$41)*AS6/Inputs!$B$6),0)</f>
        <v>-2523.80086875</v>
      </c>
      <c r="AT20" s="5" t="n">
        <f aca="false">IF(AT1&gt;=Inputs!$B$10-Inputs!$D$41,-(Inputs!$B$41*Inputs!$B$6/12)*(1+Inputs!$B$48)^(AT3-1)*(Inputs!$C$41+(1-Inputs!$C$41)*AT6/Inputs!$B$6),0)</f>
        <v>-2523.80086875</v>
      </c>
      <c r="AU20" s="5" t="n">
        <f aca="false">IF(AU1&gt;=Inputs!$B$10-Inputs!$D$41,-(Inputs!$B$41*Inputs!$B$6/12)*(1+Inputs!$B$48)^(AU3-1)*(Inputs!$C$41+(1-Inputs!$C$41)*AU6/Inputs!$B$6),0)</f>
        <v>-2523.80086875</v>
      </c>
      <c r="AV20" s="5" t="n">
        <f aca="false">IF(AV1&gt;=Inputs!$B$10-Inputs!$D$41,-(Inputs!$B$41*Inputs!$B$6/12)*(1+Inputs!$B$48)^(AV3-1)*(Inputs!$C$41+(1-Inputs!$C$41)*AV6/Inputs!$B$6),0)</f>
        <v>-2523.80086875</v>
      </c>
      <c r="AW20" s="5" t="n">
        <f aca="false">IF(AW1&gt;=Inputs!$B$10-Inputs!$D$41,-(Inputs!$B$41*Inputs!$B$6/12)*(1+Inputs!$B$48)^(AW3-1)*(Inputs!$C$41+(1-Inputs!$C$41)*AW6/Inputs!$B$6),0)</f>
        <v>-2523.80086875</v>
      </c>
      <c r="AX20" s="5" t="n">
        <f aca="false">IF(AX1&gt;=Inputs!$B$10-Inputs!$D$41,-(Inputs!$B$41*Inputs!$B$6/12)*(1+Inputs!$B$48)^(AX3-1)*(Inputs!$C$41+(1-Inputs!$C$41)*AX6/Inputs!$B$6),0)</f>
        <v>-2523.80086875</v>
      </c>
      <c r="AY20" s="5" t="n">
        <f aca="false">IF(AY1&gt;=Inputs!$B$10-Inputs!$D$41,-(Inputs!$B$41*Inputs!$B$6/12)*(1+Inputs!$B$48)^(AY3-1)*(Inputs!$C$41+(1-Inputs!$C$41)*AY6/Inputs!$B$6),0)</f>
        <v>-2586.89589046875</v>
      </c>
      <c r="AZ20" s="5" t="n">
        <f aca="false">IF(AZ1&gt;=Inputs!$B$10-Inputs!$D$41,-(Inputs!$B$41*Inputs!$B$6/12)*(1+Inputs!$B$48)^(AZ3-1)*(Inputs!$C$41+(1-Inputs!$C$41)*AZ6/Inputs!$B$6),0)</f>
        <v>-2586.89589046875</v>
      </c>
      <c r="BA20" s="5" t="n">
        <f aca="false">IF(BA1&gt;=Inputs!$B$10-Inputs!$D$41,-(Inputs!$B$41*Inputs!$B$6/12)*(1+Inputs!$B$48)^(BA3-1)*(Inputs!$C$41+(1-Inputs!$C$41)*BA6/Inputs!$B$6),0)</f>
        <v>-2586.89589046875</v>
      </c>
      <c r="BB20" s="5" t="n">
        <f aca="false">IF(BB1&gt;=Inputs!$B$10-Inputs!$D$41,-(Inputs!$B$41*Inputs!$B$6/12)*(1+Inputs!$B$48)^(BB3-1)*(Inputs!$C$41+(1-Inputs!$C$41)*BB6/Inputs!$B$6),0)</f>
        <v>-2586.89589046875</v>
      </c>
      <c r="BC20" s="5" t="n">
        <f aca="false">IF(BC1&gt;=Inputs!$B$10-Inputs!$D$41,-(Inputs!$B$41*Inputs!$B$6/12)*(1+Inputs!$B$48)^(BC3-1)*(Inputs!$C$41+(1-Inputs!$C$41)*BC6/Inputs!$B$6),0)</f>
        <v>-2586.89589046875</v>
      </c>
      <c r="BD20" s="5" t="n">
        <f aca="false">IF(BD1&gt;=Inputs!$B$10-Inputs!$D$41,-(Inputs!$B$41*Inputs!$B$6/12)*(1+Inputs!$B$48)^(BD3-1)*(Inputs!$C$41+(1-Inputs!$C$41)*BD6/Inputs!$B$6),0)</f>
        <v>-2586.89589046875</v>
      </c>
      <c r="BE20" s="5" t="n">
        <f aca="false">IF(BE1&gt;=Inputs!$B$10-Inputs!$D$41,-(Inputs!$B$41*Inputs!$B$6/12)*(1+Inputs!$B$48)^(BE3-1)*(Inputs!$C$41+(1-Inputs!$C$41)*BE6/Inputs!$B$6),0)</f>
        <v>-2586.89589046875</v>
      </c>
      <c r="BF20" s="5" t="n">
        <f aca="false">IF(BF1&gt;=Inputs!$B$10-Inputs!$D$41,-(Inputs!$B$41*Inputs!$B$6/12)*(1+Inputs!$B$48)^(BF3-1)*(Inputs!$C$41+(1-Inputs!$C$41)*BF6/Inputs!$B$6),0)</f>
        <v>-2586.89589046875</v>
      </c>
      <c r="BG20" s="5" t="n">
        <f aca="false">IF(BG1&gt;=Inputs!$B$10-Inputs!$D$41,-(Inputs!$B$41*Inputs!$B$6/12)*(1+Inputs!$B$48)^(BG3-1)*(Inputs!$C$41+(1-Inputs!$C$41)*BG6/Inputs!$B$6),0)</f>
        <v>-2586.89589046875</v>
      </c>
      <c r="BH20" s="5" t="n">
        <f aca="false">IF(BH1&gt;=Inputs!$B$10-Inputs!$D$41,-(Inputs!$B$41*Inputs!$B$6/12)*(1+Inputs!$B$48)^(BH3-1)*(Inputs!$C$41+(1-Inputs!$C$41)*BH6/Inputs!$B$6),0)</f>
        <v>-2586.89589046875</v>
      </c>
      <c r="BI20" s="5" t="n">
        <f aca="false">IF(BI1&gt;=Inputs!$B$10-Inputs!$D$41,-(Inputs!$B$41*Inputs!$B$6/12)*(1+Inputs!$B$48)^(BI3-1)*(Inputs!$C$41+(1-Inputs!$C$41)*BI6/Inputs!$B$6),0)</f>
        <v>-2586.89589046875</v>
      </c>
      <c r="BJ20" s="5" t="n">
        <f aca="false">IF(BJ1&gt;=Inputs!$B$10-Inputs!$D$41,-(Inputs!$B$41*Inputs!$B$6/12)*(1+Inputs!$B$48)^(BJ3-1)*(Inputs!$C$41+(1-Inputs!$C$41)*BJ6/Inputs!$B$6),0)</f>
        <v>-2586.89589046875</v>
      </c>
      <c r="BK20" s="5" t="n">
        <f aca="false">IF(BK1&gt;=Inputs!$B$10-Inputs!$D$41,-(Inputs!$B$41*Inputs!$B$6/12)*(1+Inputs!$B$48)^(BK3-1)*(Inputs!$C$41+(1-Inputs!$C$41)*BK6/Inputs!$B$6),0)</f>
        <v>-2651.56828773047</v>
      </c>
      <c r="BL20" s="5" t="n">
        <f aca="false">IF(BL1&gt;=Inputs!$B$10-Inputs!$D$41,-(Inputs!$B$41*Inputs!$B$6/12)*(1+Inputs!$B$48)^(BL3-1)*(Inputs!$C$41+(1-Inputs!$C$41)*BL6/Inputs!$B$6),0)</f>
        <v>-2651.56828773047</v>
      </c>
      <c r="BM20" s="5" t="n">
        <f aca="false">IF(BM1&gt;=Inputs!$B$10-Inputs!$D$41,-(Inputs!$B$41*Inputs!$B$6/12)*(1+Inputs!$B$48)^(BM3-1)*(Inputs!$C$41+(1-Inputs!$C$41)*BM6/Inputs!$B$6),0)</f>
        <v>-2651.56828773047</v>
      </c>
      <c r="BN20" s="5" t="n">
        <f aca="false">IF(BN1&gt;=Inputs!$B$10-Inputs!$D$41,-(Inputs!$B$41*Inputs!$B$6/12)*(1+Inputs!$B$48)^(BN3-1)*(Inputs!$C$41+(1-Inputs!$C$41)*BN6/Inputs!$B$6),0)</f>
        <v>-2651.56828773047</v>
      </c>
      <c r="BO20" s="5" t="n">
        <f aca="false">IF(BO1&gt;=Inputs!$B$10-Inputs!$D$41,-(Inputs!$B$41*Inputs!$B$6/12)*(1+Inputs!$B$48)^(BO3-1)*(Inputs!$C$41+(1-Inputs!$C$41)*BO6/Inputs!$B$6),0)</f>
        <v>-2651.56828773047</v>
      </c>
      <c r="BP20" s="5" t="n">
        <f aca="false">IF(BP1&gt;=Inputs!$B$10-Inputs!$D$41,-(Inputs!$B$41*Inputs!$B$6/12)*(1+Inputs!$B$48)^(BP3-1)*(Inputs!$C$41+(1-Inputs!$C$41)*BP6/Inputs!$B$6),0)</f>
        <v>-2651.56828773047</v>
      </c>
      <c r="BQ20" s="5" t="n">
        <f aca="false">IF(BQ1&gt;=Inputs!$B$10-Inputs!$D$41,-(Inputs!$B$41*Inputs!$B$6/12)*(1+Inputs!$B$48)^(BQ3-1)*(Inputs!$C$41+(1-Inputs!$C$41)*BQ6/Inputs!$B$6),0)</f>
        <v>-2651.56828773047</v>
      </c>
      <c r="BR20" s="5" t="n">
        <f aca="false">IF(BR1&gt;=Inputs!$B$10-Inputs!$D$41,-(Inputs!$B$41*Inputs!$B$6/12)*(1+Inputs!$B$48)^(BR3-1)*(Inputs!$C$41+(1-Inputs!$C$41)*BR6/Inputs!$B$6),0)</f>
        <v>-2651.56828773047</v>
      </c>
      <c r="BS20" s="5" t="n">
        <f aca="false">IF(BS1&gt;=Inputs!$B$10-Inputs!$D$41,-(Inputs!$B$41*Inputs!$B$6/12)*(1+Inputs!$B$48)^(BS3-1)*(Inputs!$C$41+(1-Inputs!$C$41)*BS6/Inputs!$B$6),0)</f>
        <v>-2651.56828773047</v>
      </c>
      <c r="BT20" s="5" t="n">
        <f aca="false">IF(BT1&gt;=Inputs!$B$10-Inputs!$D$41,-(Inputs!$B$41*Inputs!$B$6/12)*(1+Inputs!$B$48)^(BT3-1)*(Inputs!$C$41+(1-Inputs!$C$41)*BT6/Inputs!$B$6),0)</f>
        <v>-2651.56828773047</v>
      </c>
      <c r="BU20" s="5" t="n">
        <f aca="false">IF(BU1&gt;=Inputs!$B$10-Inputs!$D$41,-(Inputs!$B$41*Inputs!$B$6/12)*(1+Inputs!$B$48)^(BU3-1)*(Inputs!$C$41+(1-Inputs!$C$41)*BU6/Inputs!$B$6),0)</f>
        <v>-2651.56828773047</v>
      </c>
      <c r="BV20" s="5" t="n">
        <f aca="false">IF(BV1&gt;=Inputs!$B$10-Inputs!$D$41,-(Inputs!$B$41*Inputs!$B$6/12)*(1+Inputs!$B$48)^(BV3-1)*(Inputs!$C$41+(1-Inputs!$C$41)*BV6/Inputs!$B$6),0)</f>
        <v>-2651.56828773047</v>
      </c>
      <c r="BW20" s="5" t="n">
        <f aca="false">IF(BW1&gt;=Inputs!$B$10-Inputs!$D$41,-(Inputs!$B$41*Inputs!$B$6/12)*(1+Inputs!$B$48)^(BW3-1)*(Inputs!$C$41+(1-Inputs!$C$41)*BW6/Inputs!$B$6),0)</f>
        <v>-2717.85749492373</v>
      </c>
      <c r="BX20" s="5" t="n">
        <f aca="false">IF(BX1&gt;=Inputs!$B$10-Inputs!$D$41,-(Inputs!$B$41*Inputs!$B$6/12)*(1+Inputs!$B$48)^(BX3-1)*(Inputs!$C$41+(1-Inputs!$C$41)*BX6/Inputs!$B$6),0)</f>
        <v>-2717.85749492373</v>
      </c>
      <c r="BY20" s="5" t="n">
        <f aca="false">IF(BY1&gt;=Inputs!$B$10-Inputs!$D$41,-(Inputs!$B$41*Inputs!$B$6/12)*(1+Inputs!$B$48)^(BY3-1)*(Inputs!$C$41+(1-Inputs!$C$41)*BY6/Inputs!$B$6),0)</f>
        <v>-2717.85749492373</v>
      </c>
      <c r="BZ20" s="5" t="n">
        <f aca="false">IF(BZ1&gt;=Inputs!$B$10-Inputs!$D$41,-(Inputs!$B$41*Inputs!$B$6/12)*(1+Inputs!$B$48)^(BZ3-1)*(Inputs!$C$41+(1-Inputs!$C$41)*BZ6/Inputs!$B$6),0)</f>
        <v>-2717.85749492373</v>
      </c>
      <c r="CA20" s="5" t="n">
        <f aca="false">IF(CA1&gt;=Inputs!$B$10-Inputs!$D$41,-(Inputs!$B$41*Inputs!$B$6/12)*(1+Inputs!$B$48)^(CA3-1)*(Inputs!$C$41+(1-Inputs!$C$41)*CA6/Inputs!$B$6),0)</f>
        <v>-2717.85749492373</v>
      </c>
      <c r="CB20" s="5" t="n">
        <f aca="false">IF(CB1&gt;=Inputs!$B$10-Inputs!$D$41,-(Inputs!$B$41*Inputs!$B$6/12)*(1+Inputs!$B$48)^(CB3-1)*(Inputs!$C$41+(1-Inputs!$C$41)*CB6/Inputs!$B$6),0)</f>
        <v>-2717.85749492373</v>
      </c>
      <c r="CC20" s="5" t="n">
        <f aca="false">IF(CC1&gt;=Inputs!$B$10-Inputs!$D$41,-(Inputs!$B$41*Inputs!$B$6/12)*(1+Inputs!$B$48)^(CC3-1)*(Inputs!$C$41+(1-Inputs!$C$41)*CC6/Inputs!$B$6),0)</f>
        <v>-2717.85749492373</v>
      </c>
      <c r="CD20" s="5" t="n">
        <f aca="false">IF(CD1&gt;=Inputs!$B$10-Inputs!$D$41,-(Inputs!$B$41*Inputs!$B$6/12)*(1+Inputs!$B$48)^(CD3-1)*(Inputs!$C$41+(1-Inputs!$C$41)*CD6/Inputs!$B$6),0)</f>
        <v>-2717.85749492373</v>
      </c>
      <c r="CE20" s="5" t="n">
        <f aca="false">IF(CE1&gt;=Inputs!$B$10-Inputs!$D$41,-(Inputs!$B$41*Inputs!$B$6/12)*(1+Inputs!$B$48)^(CE3-1)*(Inputs!$C$41+(1-Inputs!$C$41)*CE6/Inputs!$B$6),0)</f>
        <v>-2717.85749492373</v>
      </c>
      <c r="CF20" s="5" t="n">
        <f aca="false">IF(CF1&gt;=Inputs!$B$10-Inputs!$D$41,-(Inputs!$B$41*Inputs!$B$6/12)*(1+Inputs!$B$48)^(CF3-1)*(Inputs!$C$41+(1-Inputs!$C$41)*CF6/Inputs!$B$6),0)</f>
        <v>-2717.85749492373</v>
      </c>
      <c r="CG20" s="5" t="n">
        <f aca="false">IF(CG1&gt;=Inputs!$B$10-Inputs!$D$41,-(Inputs!$B$41*Inputs!$B$6/12)*(1+Inputs!$B$48)^(CG3-1)*(Inputs!$C$41+(1-Inputs!$C$41)*CG6/Inputs!$B$6),0)</f>
        <v>-2717.85749492373</v>
      </c>
      <c r="CH20" s="5" t="n">
        <f aca="false">IF(CH1&gt;=Inputs!$B$10-Inputs!$D$41,-(Inputs!$B$41*Inputs!$B$6/12)*(1+Inputs!$B$48)^(CH3-1)*(Inputs!$C$41+(1-Inputs!$C$41)*CH6/Inputs!$B$6),0)</f>
        <v>-2717.85749492373</v>
      </c>
      <c r="CI20" s="5" t="n">
        <f aca="false">IF(CI1&gt;=Inputs!$B$10-Inputs!$D$41,-(Inputs!$B$41*Inputs!$B$6/12)*(1+Inputs!$B$48)^(CI3-1)*(Inputs!$C$41+(1-Inputs!$C$41)*CI6/Inputs!$B$6),0)</f>
        <v>-2785.80393229682</v>
      </c>
      <c r="CJ20" s="5" t="n">
        <f aca="false">IF(CJ1&gt;=Inputs!$B$10-Inputs!$D$41,-(Inputs!$B$41*Inputs!$B$6/12)*(1+Inputs!$B$48)^(CJ3-1)*(Inputs!$C$41+(1-Inputs!$C$41)*CJ6/Inputs!$B$6),0)</f>
        <v>-2785.80393229682</v>
      </c>
      <c r="CK20" s="5" t="n">
        <f aca="false">IF(CK1&gt;=Inputs!$B$10-Inputs!$D$41,-(Inputs!$B$41*Inputs!$B$6/12)*(1+Inputs!$B$48)^(CK3-1)*(Inputs!$C$41+(1-Inputs!$C$41)*CK6/Inputs!$B$6),0)</f>
        <v>-2785.80393229682</v>
      </c>
      <c r="CL20" s="5" t="n">
        <f aca="false">IF(CL1&gt;=Inputs!$B$10-Inputs!$D$41,-(Inputs!$B$41*Inputs!$B$6/12)*(1+Inputs!$B$48)^(CL3-1)*(Inputs!$C$41+(1-Inputs!$C$41)*CL6/Inputs!$B$6),0)</f>
        <v>-2785.80393229682</v>
      </c>
      <c r="CM20" s="5" t="n">
        <f aca="false">IF(CM1&gt;=Inputs!$B$10-Inputs!$D$41,-(Inputs!$B$41*Inputs!$B$6/12)*(1+Inputs!$B$48)^(CM3-1)*(Inputs!$C$41+(1-Inputs!$C$41)*CM6/Inputs!$B$6),0)</f>
        <v>-2785.80393229682</v>
      </c>
      <c r="CN20" s="5" t="n">
        <f aca="false">IF(CN1&gt;=Inputs!$B$10-Inputs!$D$41,-(Inputs!$B$41*Inputs!$B$6/12)*(1+Inputs!$B$48)^(CN3-1)*(Inputs!$C$41+(1-Inputs!$C$41)*CN6/Inputs!$B$6),0)</f>
        <v>-2785.80393229682</v>
      </c>
      <c r="CO20" s="5" t="n">
        <f aca="false">IF(CO1&gt;=Inputs!$B$10-Inputs!$D$41,-(Inputs!$B$41*Inputs!$B$6/12)*(1+Inputs!$B$48)^(CO3-1)*(Inputs!$C$41+(1-Inputs!$C$41)*CO6/Inputs!$B$6),0)</f>
        <v>-2785.80393229682</v>
      </c>
      <c r="CP20" s="5" t="n">
        <f aca="false">IF(CP1&gt;=Inputs!$B$10-Inputs!$D$41,-(Inputs!$B$41*Inputs!$B$6/12)*(1+Inputs!$B$48)^(CP3-1)*(Inputs!$C$41+(1-Inputs!$C$41)*CP6/Inputs!$B$6),0)</f>
        <v>-2785.80393229682</v>
      </c>
      <c r="CQ20" s="5" t="n">
        <f aca="false">IF(CQ1&gt;=Inputs!$B$10-Inputs!$D$41,-(Inputs!$B$41*Inputs!$B$6/12)*(1+Inputs!$B$48)^(CQ3-1)*(Inputs!$C$41+(1-Inputs!$C$41)*CQ6/Inputs!$B$6),0)</f>
        <v>-2785.80393229682</v>
      </c>
      <c r="CR20" s="5" t="n">
        <f aca="false">IF(CR1&gt;=Inputs!$B$10-Inputs!$D$41,-(Inputs!$B$41*Inputs!$B$6/12)*(1+Inputs!$B$48)^(CR3-1)*(Inputs!$C$41+(1-Inputs!$C$41)*CR6/Inputs!$B$6),0)</f>
        <v>-2785.80393229682</v>
      </c>
      <c r="CS20" s="5" t="n">
        <f aca="false">IF(CS1&gt;=Inputs!$B$10-Inputs!$D$41,-(Inputs!$B$41*Inputs!$B$6/12)*(1+Inputs!$B$48)^(CS3-1)*(Inputs!$C$41+(1-Inputs!$C$41)*CS6/Inputs!$B$6),0)</f>
        <v>-2785.80393229682</v>
      </c>
      <c r="CT20" s="5" t="n">
        <f aca="false">IF(CT1&gt;=Inputs!$B$10-Inputs!$D$41,-(Inputs!$B$41*Inputs!$B$6/12)*(1+Inputs!$B$48)^(CT3-1)*(Inputs!$C$41+(1-Inputs!$C$41)*CT6/Inputs!$B$6),0)</f>
        <v>-2785.80393229682</v>
      </c>
    </row>
    <row r="21" customFormat="false" ht="15" hidden="false" customHeight="false" outlineLevel="0" collapsed="false">
      <c r="B21" s="26" t="s">
        <v>74</v>
      </c>
      <c r="C21" s="5" t="n">
        <f aca="false">IF(C1&gt;=Inputs!$B$10-Inputs!$D$42,-(Inputs!$B$42*Inputs!$B$6/12)*(1+Inputs!$B$48)^(C3-1)*(Inputs!$C$42+(1-Inputs!$C$42)*C6/Inputs!$B$6),0)</f>
        <v>0</v>
      </c>
      <c r="D21" s="5" t="n">
        <f aca="false">IF(D1&gt;=Inputs!$B$10-Inputs!$D$42,-(Inputs!$B$42*Inputs!$B$6/12)*(1+Inputs!$B$48)^(D3-1)*(Inputs!$C$42+(1-Inputs!$C$42)*D6/Inputs!$B$6),0)</f>
        <v>0</v>
      </c>
      <c r="E21" s="5" t="n">
        <f aca="false">IF(E1&gt;=Inputs!$B$10-Inputs!$D$42,-(Inputs!$B$42*Inputs!$B$6/12)*(1+Inputs!$B$48)^(E3-1)*(Inputs!$C$42+(1-Inputs!$C$42)*E6/Inputs!$B$6),0)</f>
        <v>0</v>
      </c>
      <c r="F21" s="5" t="n">
        <f aca="false">IF(F1&gt;=Inputs!$B$10-Inputs!$D$42,-(Inputs!$B$42*Inputs!$B$6/12)*(1+Inputs!$B$48)^(F3-1)*(Inputs!$C$42+(1-Inputs!$C$42)*F6/Inputs!$B$6),0)</f>
        <v>0</v>
      </c>
      <c r="G21" s="5" t="n">
        <f aca="false">IF(G1&gt;=Inputs!$B$10-Inputs!$D$42,-(Inputs!$B$42*Inputs!$B$6/12)*(1+Inputs!$B$48)^(G3-1)*(Inputs!$C$42+(1-Inputs!$C$42)*G6/Inputs!$B$6),0)</f>
        <v>0</v>
      </c>
      <c r="H21" s="5" t="n">
        <f aca="false">IF(H1&gt;=Inputs!$B$10-Inputs!$D$42,-(Inputs!$B$42*Inputs!$B$6/12)*(1+Inputs!$B$48)^(H3-1)*(Inputs!$C$42+(1-Inputs!$C$42)*H6/Inputs!$B$6),0)</f>
        <v>0</v>
      </c>
      <c r="I21" s="5" t="n">
        <f aca="false">IF(I1&gt;=Inputs!$B$10-Inputs!$D$42,-(Inputs!$B$42*Inputs!$B$6/12)*(1+Inputs!$B$48)^(I3-1)*(Inputs!$C$42+(1-Inputs!$C$42)*I6/Inputs!$B$6),0)</f>
        <v>0</v>
      </c>
      <c r="J21" s="5" t="n">
        <f aca="false">IF(J1&gt;=Inputs!$B$10-Inputs!$D$42,-(Inputs!$B$42*Inputs!$B$6/12)*(1+Inputs!$B$48)^(J3-1)*(Inputs!$C$42+(1-Inputs!$C$42)*J6/Inputs!$B$6),0)</f>
        <v>0</v>
      </c>
      <c r="K21" s="5" t="n">
        <f aca="false">IF(K1&gt;=Inputs!$B$10-Inputs!$D$42,-(Inputs!$B$42*Inputs!$B$6/12)*(1+Inputs!$B$48)^(K3-1)*(Inputs!$C$42+(1-Inputs!$C$42)*K6/Inputs!$B$6),0)</f>
        <v>0</v>
      </c>
      <c r="L21" s="5" t="n">
        <f aca="false">IF(L1&gt;=Inputs!$B$10-Inputs!$D$42,-(Inputs!$B$42*Inputs!$B$6/12)*(1+Inputs!$B$48)^(L3-1)*(Inputs!$C$42+(1-Inputs!$C$42)*L6/Inputs!$B$6),0)</f>
        <v>-48000</v>
      </c>
      <c r="M21" s="5" t="n">
        <f aca="false">IF(M1&gt;=Inputs!$B$10-Inputs!$D$42,-(Inputs!$B$42*Inputs!$B$6/12)*(1+Inputs!$B$48)^(M3-1)*(Inputs!$C$42+(1-Inputs!$C$42)*M6/Inputs!$B$6),0)</f>
        <v>-48000</v>
      </c>
      <c r="N21" s="5" t="n">
        <f aca="false">IF(N1&gt;=Inputs!$B$10-Inputs!$D$42,-(Inputs!$B$42*Inputs!$B$6/12)*(1+Inputs!$B$48)^(N3-1)*(Inputs!$C$42+(1-Inputs!$C$42)*N6/Inputs!$B$6),0)</f>
        <v>-48000</v>
      </c>
      <c r="O21" s="5" t="n">
        <f aca="false">IF(O1&gt;=Inputs!$B$10-Inputs!$D$42,-(Inputs!$B$42*Inputs!$B$6/12)*(1+Inputs!$B$48)^(O3-1)*(Inputs!$C$42+(1-Inputs!$C$42)*O6/Inputs!$B$6),0)</f>
        <v>-49200</v>
      </c>
      <c r="P21" s="5" t="n">
        <f aca="false">IF(P1&gt;=Inputs!$B$10-Inputs!$D$42,-(Inputs!$B$42*Inputs!$B$6/12)*(1+Inputs!$B$48)^(P3-1)*(Inputs!$C$42+(1-Inputs!$C$42)*P6/Inputs!$B$6),0)</f>
        <v>-49200</v>
      </c>
      <c r="Q21" s="5" t="n">
        <f aca="false">IF(Q1&gt;=Inputs!$B$10-Inputs!$D$42,-(Inputs!$B$42*Inputs!$B$6/12)*(1+Inputs!$B$48)^(Q3-1)*(Inputs!$C$42+(1-Inputs!$C$42)*Q6/Inputs!$B$6),0)</f>
        <v>-49200</v>
      </c>
      <c r="R21" s="5" t="n">
        <f aca="false">IF(R1&gt;=Inputs!$B$10-Inputs!$D$42,-(Inputs!$B$42*Inputs!$B$6/12)*(1+Inputs!$B$48)^(R3-1)*(Inputs!$C$42+(1-Inputs!$C$42)*R6/Inputs!$B$6),0)</f>
        <v>-49200</v>
      </c>
      <c r="S21" s="5" t="n">
        <f aca="false">IF(S1&gt;=Inputs!$B$10-Inputs!$D$42,-(Inputs!$B$42*Inputs!$B$6/12)*(1+Inputs!$B$48)^(S3-1)*(Inputs!$C$42+(1-Inputs!$C$42)*S6/Inputs!$B$6),0)</f>
        <v>-49200</v>
      </c>
      <c r="T21" s="5" t="n">
        <f aca="false">IF(T1&gt;=Inputs!$B$10-Inputs!$D$42,-(Inputs!$B$42*Inputs!$B$6/12)*(1+Inputs!$B$48)^(T3-1)*(Inputs!$C$42+(1-Inputs!$C$42)*T6/Inputs!$B$6),0)</f>
        <v>-49200</v>
      </c>
      <c r="U21" s="5" t="n">
        <f aca="false">IF(U1&gt;=Inputs!$B$10-Inputs!$D$42,-(Inputs!$B$42*Inputs!$B$6/12)*(1+Inputs!$B$48)^(U3-1)*(Inputs!$C$42+(1-Inputs!$C$42)*U6/Inputs!$B$6),0)</f>
        <v>-49200</v>
      </c>
      <c r="V21" s="5" t="n">
        <f aca="false">IF(V1&gt;=Inputs!$B$10-Inputs!$D$42,-(Inputs!$B$42*Inputs!$B$6/12)*(1+Inputs!$B$48)^(V3-1)*(Inputs!$C$42+(1-Inputs!$C$42)*V6/Inputs!$B$6),0)</f>
        <v>-49200</v>
      </c>
      <c r="W21" s="5" t="n">
        <f aca="false">IF(W1&gt;=Inputs!$B$10-Inputs!$D$42,-(Inputs!$B$42*Inputs!$B$6/12)*(1+Inputs!$B$48)^(W3-1)*(Inputs!$C$42+(1-Inputs!$C$42)*W6/Inputs!$B$6),0)</f>
        <v>-49200</v>
      </c>
      <c r="X21" s="5" t="n">
        <f aca="false">IF(X1&gt;=Inputs!$B$10-Inputs!$D$42,-(Inputs!$B$42*Inputs!$B$6/12)*(1+Inputs!$B$48)^(X3-1)*(Inputs!$C$42+(1-Inputs!$C$42)*X6/Inputs!$B$6),0)</f>
        <v>-49200</v>
      </c>
      <c r="Y21" s="5" t="n">
        <f aca="false">IF(Y1&gt;=Inputs!$B$10-Inputs!$D$42,-(Inputs!$B$42*Inputs!$B$6/12)*(1+Inputs!$B$48)^(Y3-1)*(Inputs!$C$42+(1-Inputs!$C$42)*Y6/Inputs!$B$6),0)</f>
        <v>-49200</v>
      </c>
      <c r="Z21" s="5" t="n">
        <f aca="false">IF(Z1&gt;=Inputs!$B$10-Inputs!$D$42,-(Inputs!$B$42*Inputs!$B$6/12)*(1+Inputs!$B$48)^(Z3-1)*(Inputs!$C$42+(1-Inputs!$C$42)*Z6/Inputs!$B$6),0)</f>
        <v>-49200</v>
      </c>
      <c r="AA21" s="5" t="n">
        <f aca="false">IF(AA1&gt;=Inputs!$B$10-Inputs!$D$42,-(Inputs!$B$42*Inputs!$B$6/12)*(1+Inputs!$B$48)^(AA3-1)*(Inputs!$C$42+(1-Inputs!$C$42)*AA6/Inputs!$B$6),0)</f>
        <v>-50430</v>
      </c>
      <c r="AB21" s="5" t="n">
        <f aca="false">IF(AB1&gt;=Inputs!$B$10-Inputs!$D$42,-(Inputs!$B$42*Inputs!$B$6/12)*(1+Inputs!$B$48)^(AB3-1)*(Inputs!$C$42+(1-Inputs!$C$42)*AB6/Inputs!$B$6),0)</f>
        <v>-50430</v>
      </c>
      <c r="AC21" s="5" t="n">
        <f aca="false">IF(AC1&gt;=Inputs!$B$10-Inputs!$D$42,-(Inputs!$B$42*Inputs!$B$6/12)*(1+Inputs!$B$48)^(AC3-1)*(Inputs!$C$42+(1-Inputs!$C$42)*AC6/Inputs!$B$6),0)</f>
        <v>-50430</v>
      </c>
      <c r="AD21" s="5" t="n">
        <f aca="false">IF(AD1&gt;=Inputs!$B$10-Inputs!$D$42,-(Inputs!$B$42*Inputs!$B$6/12)*(1+Inputs!$B$48)^(AD3-1)*(Inputs!$C$42+(1-Inputs!$C$42)*AD6/Inputs!$B$6),0)</f>
        <v>-50430</v>
      </c>
      <c r="AE21" s="5" t="n">
        <f aca="false">IF(AE1&gt;=Inputs!$B$10-Inputs!$D$42,-(Inputs!$B$42*Inputs!$B$6/12)*(1+Inputs!$B$48)^(AE3-1)*(Inputs!$C$42+(1-Inputs!$C$42)*AE6/Inputs!$B$6),0)</f>
        <v>-50430</v>
      </c>
      <c r="AF21" s="5" t="n">
        <f aca="false">IF(AF1&gt;=Inputs!$B$10-Inputs!$D$42,-(Inputs!$B$42*Inputs!$B$6/12)*(1+Inputs!$B$48)^(AF3-1)*(Inputs!$C$42+(1-Inputs!$C$42)*AF6/Inputs!$B$6),0)</f>
        <v>-50430</v>
      </c>
      <c r="AG21" s="5" t="n">
        <f aca="false">IF(AG1&gt;=Inputs!$B$10-Inputs!$D$42,-(Inputs!$B$42*Inputs!$B$6/12)*(1+Inputs!$B$48)^(AG3-1)*(Inputs!$C$42+(1-Inputs!$C$42)*AG6/Inputs!$B$6),0)</f>
        <v>-50430</v>
      </c>
      <c r="AH21" s="5" t="n">
        <f aca="false">IF(AH1&gt;=Inputs!$B$10-Inputs!$D$42,-(Inputs!$B$42*Inputs!$B$6/12)*(1+Inputs!$B$48)^(AH3-1)*(Inputs!$C$42+(1-Inputs!$C$42)*AH6/Inputs!$B$6),0)</f>
        <v>-50430</v>
      </c>
      <c r="AI21" s="5" t="n">
        <f aca="false">IF(AI1&gt;=Inputs!$B$10-Inputs!$D$42,-(Inputs!$B$42*Inputs!$B$6/12)*(1+Inputs!$B$48)^(AI3-1)*(Inputs!$C$42+(1-Inputs!$C$42)*AI6/Inputs!$B$6),0)</f>
        <v>-50430</v>
      </c>
      <c r="AJ21" s="5" t="n">
        <f aca="false">IF(AJ1&gt;=Inputs!$B$10-Inputs!$D$42,-(Inputs!$B$42*Inputs!$B$6/12)*(1+Inputs!$B$48)^(AJ3-1)*(Inputs!$C$42+(1-Inputs!$C$42)*AJ6/Inputs!$B$6),0)</f>
        <v>-50430</v>
      </c>
      <c r="AK21" s="5" t="n">
        <f aca="false">IF(AK1&gt;=Inputs!$B$10-Inputs!$D$42,-(Inputs!$B$42*Inputs!$B$6/12)*(1+Inputs!$B$48)^(AK3-1)*(Inputs!$C$42+(1-Inputs!$C$42)*AK6/Inputs!$B$6),0)</f>
        <v>-50430</v>
      </c>
      <c r="AL21" s="5" t="n">
        <f aca="false">IF(AL1&gt;=Inputs!$B$10-Inputs!$D$42,-(Inputs!$B$42*Inputs!$B$6/12)*(1+Inputs!$B$48)^(AL3-1)*(Inputs!$C$42+(1-Inputs!$C$42)*AL6/Inputs!$B$6),0)</f>
        <v>-50430</v>
      </c>
      <c r="AM21" s="5" t="n">
        <f aca="false">IF(AM1&gt;=Inputs!$B$10-Inputs!$D$42,-(Inputs!$B$42*Inputs!$B$6/12)*(1+Inputs!$B$48)^(AM3-1)*(Inputs!$C$42+(1-Inputs!$C$42)*AM6/Inputs!$B$6),0)</f>
        <v>-51690.75</v>
      </c>
      <c r="AN21" s="5" t="n">
        <f aca="false">IF(AN1&gt;=Inputs!$B$10-Inputs!$D$42,-(Inputs!$B$42*Inputs!$B$6/12)*(1+Inputs!$B$48)^(AN3-1)*(Inputs!$C$42+(1-Inputs!$C$42)*AN6/Inputs!$B$6),0)</f>
        <v>-51690.75</v>
      </c>
      <c r="AO21" s="5" t="n">
        <f aca="false">IF(AO1&gt;=Inputs!$B$10-Inputs!$D$42,-(Inputs!$B$42*Inputs!$B$6/12)*(1+Inputs!$B$48)^(AO3-1)*(Inputs!$C$42+(1-Inputs!$C$42)*AO6/Inputs!$B$6),0)</f>
        <v>-51690.75</v>
      </c>
      <c r="AP21" s="5" t="n">
        <f aca="false">IF(AP1&gt;=Inputs!$B$10-Inputs!$D$42,-(Inputs!$B$42*Inputs!$B$6/12)*(1+Inputs!$B$48)^(AP3-1)*(Inputs!$C$42+(1-Inputs!$C$42)*AP6/Inputs!$B$6),0)</f>
        <v>-51690.75</v>
      </c>
      <c r="AQ21" s="5" t="n">
        <f aca="false">IF(AQ1&gt;=Inputs!$B$10-Inputs!$D$42,-(Inputs!$B$42*Inputs!$B$6/12)*(1+Inputs!$B$48)^(AQ3-1)*(Inputs!$C$42+(1-Inputs!$C$42)*AQ6/Inputs!$B$6),0)</f>
        <v>-51690.75</v>
      </c>
      <c r="AR21" s="5" t="n">
        <f aca="false">IF(AR1&gt;=Inputs!$B$10-Inputs!$D$42,-(Inputs!$B$42*Inputs!$B$6/12)*(1+Inputs!$B$48)^(AR3-1)*(Inputs!$C$42+(1-Inputs!$C$42)*AR6/Inputs!$B$6),0)</f>
        <v>-51690.75</v>
      </c>
      <c r="AS21" s="5" t="n">
        <f aca="false">IF(AS1&gt;=Inputs!$B$10-Inputs!$D$42,-(Inputs!$B$42*Inputs!$B$6/12)*(1+Inputs!$B$48)^(AS3-1)*(Inputs!$C$42+(1-Inputs!$C$42)*AS6/Inputs!$B$6),0)</f>
        <v>-51690.75</v>
      </c>
      <c r="AT21" s="5" t="n">
        <f aca="false">IF(AT1&gt;=Inputs!$B$10-Inputs!$D$42,-(Inputs!$B$42*Inputs!$B$6/12)*(1+Inputs!$B$48)^(AT3-1)*(Inputs!$C$42+(1-Inputs!$C$42)*AT6/Inputs!$B$6),0)</f>
        <v>-51690.75</v>
      </c>
      <c r="AU21" s="5" t="n">
        <f aca="false">IF(AU1&gt;=Inputs!$B$10-Inputs!$D$42,-(Inputs!$B$42*Inputs!$B$6/12)*(1+Inputs!$B$48)^(AU3-1)*(Inputs!$C$42+(1-Inputs!$C$42)*AU6/Inputs!$B$6),0)</f>
        <v>-51690.75</v>
      </c>
      <c r="AV21" s="5" t="n">
        <f aca="false">IF(AV1&gt;=Inputs!$B$10-Inputs!$D$42,-(Inputs!$B$42*Inputs!$B$6/12)*(1+Inputs!$B$48)^(AV3-1)*(Inputs!$C$42+(1-Inputs!$C$42)*AV6/Inputs!$B$6),0)</f>
        <v>-51690.75</v>
      </c>
      <c r="AW21" s="5" t="n">
        <f aca="false">IF(AW1&gt;=Inputs!$B$10-Inputs!$D$42,-(Inputs!$B$42*Inputs!$B$6/12)*(1+Inputs!$B$48)^(AW3-1)*(Inputs!$C$42+(1-Inputs!$C$42)*AW6/Inputs!$B$6),0)</f>
        <v>-51690.75</v>
      </c>
      <c r="AX21" s="5" t="n">
        <f aca="false">IF(AX1&gt;=Inputs!$B$10-Inputs!$D$42,-(Inputs!$B$42*Inputs!$B$6/12)*(1+Inputs!$B$48)^(AX3-1)*(Inputs!$C$42+(1-Inputs!$C$42)*AX6/Inputs!$B$6),0)</f>
        <v>-51690.75</v>
      </c>
      <c r="AY21" s="5" t="n">
        <f aca="false">IF(AY1&gt;=Inputs!$B$10-Inputs!$D$42,-(Inputs!$B$42*Inputs!$B$6/12)*(1+Inputs!$B$48)^(AY3-1)*(Inputs!$C$42+(1-Inputs!$C$42)*AY6/Inputs!$B$6),0)</f>
        <v>-52983.01875</v>
      </c>
      <c r="AZ21" s="5" t="n">
        <f aca="false">IF(AZ1&gt;=Inputs!$B$10-Inputs!$D$42,-(Inputs!$B$42*Inputs!$B$6/12)*(1+Inputs!$B$48)^(AZ3-1)*(Inputs!$C$42+(1-Inputs!$C$42)*AZ6/Inputs!$B$6),0)</f>
        <v>-52983.01875</v>
      </c>
      <c r="BA21" s="5" t="n">
        <f aca="false">IF(BA1&gt;=Inputs!$B$10-Inputs!$D$42,-(Inputs!$B$42*Inputs!$B$6/12)*(1+Inputs!$B$48)^(BA3-1)*(Inputs!$C$42+(1-Inputs!$C$42)*BA6/Inputs!$B$6),0)</f>
        <v>-52983.01875</v>
      </c>
      <c r="BB21" s="5" t="n">
        <f aca="false">IF(BB1&gt;=Inputs!$B$10-Inputs!$D$42,-(Inputs!$B$42*Inputs!$B$6/12)*(1+Inputs!$B$48)^(BB3-1)*(Inputs!$C$42+(1-Inputs!$C$42)*BB6/Inputs!$B$6),0)</f>
        <v>-52983.01875</v>
      </c>
      <c r="BC21" s="5" t="n">
        <f aca="false">IF(BC1&gt;=Inputs!$B$10-Inputs!$D$42,-(Inputs!$B$42*Inputs!$B$6/12)*(1+Inputs!$B$48)^(BC3-1)*(Inputs!$C$42+(1-Inputs!$C$42)*BC6/Inputs!$B$6),0)</f>
        <v>-52983.01875</v>
      </c>
      <c r="BD21" s="5" t="n">
        <f aca="false">IF(BD1&gt;=Inputs!$B$10-Inputs!$D$42,-(Inputs!$B$42*Inputs!$B$6/12)*(1+Inputs!$B$48)^(BD3-1)*(Inputs!$C$42+(1-Inputs!$C$42)*BD6/Inputs!$B$6),0)</f>
        <v>-52983.01875</v>
      </c>
      <c r="BE21" s="5" t="n">
        <f aca="false">IF(BE1&gt;=Inputs!$B$10-Inputs!$D$42,-(Inputs!$B$42*Inputs!$B$6/12)*(1+Inputs!$B$48)^(BE3-1)*(Inputs!$C$42+(1-Inputs!$C$42)*BE6/Inputs!$B$6),0)</f>
        <v>-52983.01875</v>
      </c>
      <c r="BF21" s="5" t="n">
        <f aca="false">IF(BF1&gt;=Inputs!$B$10-Inputs!$D$42,-(Inputs!$B$42*Inputs!$B$6/12)*(1+Inputs!$B$48)^(BF3-1)*(Inputs!$C$42+(1-Inputs!$C$42)*BF6/Inputs!$B$6),0)</f>
        <v>-52983.01875</v>
      </c>
      <c r="BG21" s="5" t="n">
        <f aca="false">IF(BG1&gt;=Inputs!$B$10-Inputs!$D$42,-(Inputs!$B$42*Inputs!$B$6/12)*(1+Inputs!$B$48)^(BG3-1)*(Inputs!$C$42+(1-Inputs!$C$42)*BG6/Inputs!$B$6),0)</f>
        <v>-52983.01875</v>
      </c>
      <c r="BH21" s="5" t="n">
        <f aca="false">IF(BH1&gt;=Inputs!$B$10-Inputs!$D$42,-(Inputs!$B$42*Inputs!$B$6/12)*(1+Inputs!$B$48)^(BH3-1)*(Inputs!$C$42+(1-Inputs!$C$42)*BH6/Inputs!$B$6),0)</f>
        <v>-52983.01875</v>
      </c>
      <c r="BI21" s="5" t="n">
        <f aca="false">IF(BI1&gt;=Inputs!$B$10-Inputs!$D$42,-(Inputs!$B$42*Inputs!$B$6/12)*(1+Inputs!$B$48)^(BI3-1)*(Inputs!$C$42+(1-Inputs!$C$42)*BI6/Inputs!$B$6),0)</f>
        <v>-52983.01875</v>
      </c>
      <c r="BJ21" s="5" t="n">
        <f aca="false">IF(BJ1&gt;=Inputs!$B$10-Inputs!$D$42,-(Inputs!$B$42*Inputs!$B$6/12)*(1+Inputs!$B$48)^(BJ3-1)*(Inputs!$C$42+(1-Inputs!$C$42)*BJ6/Inputs!$B$6),0)</f>
        <v>-52983.01875</v>
      </c>
      <c r="BK21" s="5" t="n">
        <f aca="false">IF(BK1&gt;=Inputs!$B$10-Inputs!$D$42,-(Inputs!$B$42*Inputs!$B$6/12)*(1+Inputs!$B$48)^(BK3-1)*(Inputs!$C$42+(1-Inputs!$C$42)*BK6/Inputs!$B$6),0)</f>
        <v>-54307.59421875</v>
      </c>
      <c r="BL21" s="5" t="n">
        <f aca="false">IF(BL1&gt;=Inputs!$B$10-Inputs!$D$42,-(Inputs!$B$42*Inputs!$B$6/12)*(1+Inputs!$B$48)^(BL3-1)*(Inputs!$C$42+(1-Inputs!$C$42)*BL6/Inputs!$B$6),0)</f>
        <v>-54307.59421875</v>
      </c>
      <c r="BM21" s="5" t="n">
        <f aca="false">IF(BM1&gt;=Inputs!$B$10-Inputs!$D$42,-(Inputs!$B$42*Inputs!$B$6/12)*(1+Inputs!$B$48)^(BM3-1)*(Inputs!$C$42+(1-Inputs!$C$42)*BM6/Inputs!$B$6),0)</f>
        <v>-54307.59421875</v>
      </c>
      <c r="BN21" s="5" t="n">
        <f aca="false">IF(BN1&gt;=Inputs!$B$10-Inputs!$D$42,-(Inputs!$B$42*Inputs!$B$6/12)*(1+Inputs!$B$48)^(BN3-1)*(Inputs!$C$42+(1-Inputs!$C$42)*BN6/Inputs!$B$6),0)</f>
        <v>-54307.59421875</v>
      </c>
      <c r="BO21" s="5" t="n">
        <f aca="false">IF(BO1&gt;=Inputs!$B$10-Inputs!$D$42,-(Inputs!$B$42*Inputs!$B$6/12)*(1+Inputs!$B$48)^(BO3-1)*(Inputs!$C$42+(1-Inputs!$C$42)*BO6/Inputs!$B$6),0)</f>
        <v>-54307.59421875</v>
      </c>
      <c r="BP21" s="5" t="n">
        <f aca="false">IF(BP1&gt;=Inputs!$B$10-Inputs!$D$42,-(Inputs!$B$42*Inputs!$B$6/12)*(1+Inputs!$B$48)^(BP3-1)*(Inputs!$C$42+(1-Inputs!$C$42)*BP6/Inputs!$B$6),0)</f>
        <v>-54307.59421875</v>
      </c>
      <c r="BQ21" s="5" t="n">
        <f aca="false">IF(BQ1&gt;=Inputs!$B$10-Inputs!$D$42,-(Inputs!$B$42*Inputs!$B$6/12)*(1+Inputs!$B$48)^(BQ3-1)*(Inputs!$C$42+(1-Inputs!$C$42)*BQ6/Inputs!$B$6),0)</f>
        <v>-54307.59421875</v>
      </c>
      <c r="BR21" s="5" t="n">
        <f aca="false">IF(BR1&gt;=Inputs!$B$10-Inputs!$D$42,-(Inputs!$B$42*Inputs!$B$6/12)*(1+Inputs!$B$48)^(BR3-1)*(Inputs!$C$42+(1-Inputs!$C$42)*BR6/Inputs!$B$6),0)</f>
        <v>-54307.59421875</v>
      </c>
      <c r="BS21" s="5" t="n">
        <f aca="false">IF(BS1&gt;=Inputs!$B$10-Inputs!$D$42,-(Inputs!$B$42*Inputs!$B$6/12)*(1+Inputs!$B$48)^(BS3-1)*(Inputs!$C$42+(1-Inputs!$C$42)*BS6/Inputs!$B$6),0)</f>
        <v>-54307.59421875</v>
      </c>
      <c r="BT21" s="5" t="n">
        <f aca="false">IF(BT1&gt;=Inputs!$B$10-Inputs!$D$42,-(Inputs!$B$42*Inputs!$B$6/12)*(1+Inputs!$B$48)^(BT3-1)*(Inputs!$C$42+(1-Inputs!$C$42)*BT6/Inputs!$B$6),0)</f>
        <v>-54307.59421875</v>
      </c>
      <c r="BU21" s="5" t="n">
        <f aca="false">IF(BU1&gt;=Inputs!$B$10-Inputs!$D$42,-(Inputs!$B$42*Inputs!$B$6/12)*(1+Inputs!$B$48)^(BU3-1)*(Inputs!$C$42+(1-Inputs!$C$42)*BU6/Inputs!$B$6),0)</f>
        <v>-54307.59421875</v>
      </c>
      <c r="BV21" s="5" t="n">
        <f aca="false">IF(BV1&gt;=Inputs!$B$10-Inputs!$D$42,-(Inputs!$B$42*Inputs!$B$6/12)*(1+Inputs!$B$48)^(BV3-1)*(Inputs!$C$42+(1-Inputs!$C$42)*BV6/Inputs!$B$6),0)</f>
        <v>-54307.59421875</v>
      </c>
      <c r="BW21" s="5" t="n">
        <f aca="false">IF(BW1&gt;=Inputs!$B$10-Inputs!$D$42,-(Inputs!$B$42*Inputs!$B$6/12)*(1+Inputs!$B$48)^(BW3-1)*(Inputs!$C$42+(1-Inputs!$C$42)*BW6/Inputs!$B$6),0)</f>
        <v>-55665.2840742187</v>
      </c>
      <c r="BX21" s="5" t="n">
        <f aca="false">IF(BX1&gt;=Inputs!$B$10-Inputs!$D$42,-(Inputs!$B$42*Inputs!$B$6/12)*(1+Inputs!$B$48)^(BX3-1)*(Inputs!$C$42+(1-Inputs!$C$42)*BX6/Inputs!$B$6),0)</f>
        <v>-55665.2840742187</v>
      </c>
      <c r="BY21" s="5" t="n">
        <f aca="false">IF(BY1&gt;=Inputs!$B$10-Inputs!$D$42,-(Inputs!$B$42*Inputs!$B$6/12)*(1+Inputs!$B$48)^(BY3-1)*(Inputs!$C$42+(1-Inputs!$C$42)*BY6/Inputs!$B$6),0)</f>
        <v>-55665.2840742187</v>
      </c>
      <c r="BZ21" s="5" t="n">
        <f aca="false">IF(BZ1&gt;=Inputs!$B$10-Inputs!$D$42,-(Inputs!$B$42*Inputs!$B$6/12)*(1+Inputs!$B$48)^(BZ3-1)*(Inputs!$C$42+(1-Inputs!$C$42)*BZ6/Inputs!$B$6),0)</f>
        <v>-55665.2840742187</v>
      </c>
      <c r="CA21" s="5" t="n">
        <f aca="false">IF(CA1&gt;=Inputs!$B$10-Inputs!$D$42,-(Inputs!$B$42*Inputs!$B$6/12)*(1+Inputs!$B$48)^(CA3-1)*(Inputs!$C$42+(1-Inputs!$C$42)*CA6/Inputs!$B$6),0)</f>
        <v>-55665.2840742187</v>
      </c>
      <c r="CB21" s="5" t="n">
        <f aca="false">IF(CB1&gt;=Inputs!$B$10-Inputs!$D$42,-(Inputs!$B$42*Inputs!$B$6/12)*(1+Inputs!$B$48)^(CB3-1)*(Inputs!$C$42+(1-Inputs!$C$42)*CB6/Inputs!$B$6),0)</f>
        <v>-55665.2840742187</v>
      </c>
      <c r="CC21" s="5" t="n">
        <f aca="false">IF(CC1&gt;=Inputs!$B$10-Inputs!$D$42,-(Inputs!$B$42*Inputs!$B$6/12)*(1+Inputs!$B$48)^(CC3-1)*(Inputs!$C$42+(1-Inputs!$C$42)*CC6/Inputs!$B$6),0)</f>
        <v>-55665.2840742187</v>
      </c>
      <c r="CD21" s="5" t="n">
        <f aca="false">IF(CD1&gt;=Inputs!$B$10-Inputs!$D$42,-(Inputs!$B$42*Inputs!$B$6/12)*(1+Inputs!$B$48)^(CD3-1)*(Inputs!$C$42+(1-Inputs!$C$42)*CD6/Inputs!$B$6),0)</f>
        <v>-55665.2840742187</v>
      </c>
      <c r="CE21" s="5" t="n">
        <f aca="false">IF(CE1&gt;=Inputs!$B$10-Inputs!$D$42,-(Inputs!$B$42*Inputs!$B$6/12)*(1+Inputs!$B$48)^(CE3-1)*(Inputs!$C$42+(1-Inputs!$C$42)*CE6/Inputs!$B$6),0)</f>
        <v>-55665.2840742187</v>
      </c>
      <c r="CF21" s="5" t="n">
        <f aca="false">IF(CF1&gt;=Inputs!$B$10-Inputs!$D$42,-(Inputs!$B$42*Inputs!$B$6/12)*(1+Inputs!$B$48)^(CF3-1)*(Inputs!$C$42+(1-Inputs!$C$42)*CF6/Inputs!$B$6),0)</f>
        <v>-55665.2840742187</v>
      </c>
      <c r="CG21" s="5" t="n">
        <f aca="false">IF(CG1&gt;=Inputs!$B$10-Inputs!$D$42,-(Inputs!$B$42*Inputs!$B$6/12)*(1+Inputs!$B$48)^(CG3-1)*(Inputs!$C$42+(1-Inputs!$C$42)*CG6/Inputs!$B$6),0)</f>
        <v>-55665.2840742187</v>
      </c>
      <c r="CH21" s="5" t="n">
        <f aca="false">IF(CH1&gt;=Inputs!$B$10-Inputs!$D$42,-(Inputs!$B$42*Inputs!$B$6/12)*(1+Inputs!$B$48)^(CH3-1)*(Inputs!$C$42+(1-Inputs!$C$42)*CH6/Inputs!$B$6),0)</f>
        <v>-55665.2840742187</v>
      </c>
      <c r="CI21" s="5" t="n">
        <f aca="false">IF(CI1&gt;=Inputs!$B$10-Inputs!$D$42,-(Inputs!$B$42*Inputs!$B$6/12)*(1+Inputs!$B$48)^(CI3-1)*(Inputs!$C$42+(1-Inputs!$C$42)*CI6/Inputs!$B$6),0)</f>
        <v>-57056.9161760742</v>
      </c>
      <c r="CJ21" s="5" t="n">
        <f aca="false">IF(CJ1&gt;=Inputs!$B$10-Inputs!$D$42,-(Inputs!$B$42*Inputs!$B$6/12)*(1+Inputs!$B$48)^(CJ3-1)*(Inputs!$C$42+(1-Inputs!$C$42)*CJ6/Inputs!$B$6),0)</f>
        <v>-57056.9161760742</v>
      </c>
      <c r="CK21" s="5" t="n">
        <f aca="false">IF(CK1&gt;=Inputs!$B$10-Inputs!$D$42,-(Inputs!$B$42*Inputs!$B$6/12)*(1+Inputs!$B$48)^(CK3-1)*(Inputs!$C$42+(1-Inputs!$C$42)*CK6/Inputs!$B$6),0)</f>
        <v>-57056.9161760742</v>
      </c>
      <c r="CL21" s="5" t="n">
        <f aca="false">IF(CL1&gt;=Inputs!$B$10-Inputs!$D$42,-(Inputs!$B$42*Inputs!$B$6/12)*(1+Inputs!$B$48)^(CL3-1)*(Inputs!$C$42+(1-Inputs!$C$42)*CL6/Inputs!$B$6),0)</f>
        <v>-57056.9161760742</v>
      </c>
      <c r="CM21" s="5" t="n">
        <f aca="false">IF(CM1&gt;=Inputs!$B$10-Inputs!$D$42,-(Inputs!$B$42*Inputs!$B$6/12)*(1+Inputs!$B$48)^(CM3-1)*(Inputs!$C$42+(1-Inputs!$C$42)*CM6/Inputs!$B$6),0)</f>
        <v>-57056.9161760742</v>
      </c>
      <c r="CN21" s="5" t="n">
        <f aca="false">IF(CN1&gt;=Inputs!$B$10-Inputs!$D$42,-(Inputs!$B$42*Inputs!$B$6/12)*(1+Inputs!$B$48)^(CN3-1)*(Inputs!$C$42+(1-Inputs!$C$42)*CN6/Inputs!$B$6),0)</f>
        <v>-57056.9161760742</v>
      </c>
      <c r="CO21" s="5" t="n">
        <f aca="false">IF(CO1&gt;=Inputs!$B$10-Inputs!$D$42,-(Inputs!$B$42*Inputs!$B$6/12)*(1+Inputs!$B$48)^(CO3-1)*(Inputs!$C$42+(1-Inputs!$C$42)*CO6/Inputs!$B$6),0)</f>
        <v>-57056.9161760742</v>
      </c>
      <c r="CP21" s="5" t="n">
        <f aca="false">IF(CP1&gt;=Inputs!$B$10-Inputs!$D$42,-(Inputs!$B$42*Inputs!$B$6/12)*(1+Inputs!$B$48)^(CP3-1)*(Inputs!$C$42+(1-Inputs!$C$42)*CP6/Inputs!$B$6),0)</f>
        <v>-57056.9161760742</v>
      </c>
      <c r="CQ21" s="5" t="n">
        <f aca="false">IF(CQ1&gt;=Inputs!$B$10-Inputs!$D$42,-(Inputs!$B$42*Inputs!$B$6/12)*(1+Inputs!$B$48)^(CQ3-1)*(Inputs!$C$42+(1-Inputs!$C$42)*CQ6/Inputs!$B$6),0)</f>
        <v>-57056.9161760742</v>
      </c>
      <c r="CR21" s="5" t="n">
        <f aca="false">IF(CR1&gt;=Inputs!$B$10-Inputs!$D$42,-(Inputs!$B$42*Inputs!$B$6/12)*(1+Inputs!$B$48)^(CR3-1)*(Inputs!$C$42+(1-Inputs!$C$42)*CR6/Inputs!$B$6),0)</f>
        <v>-57056.9161760742</v>
      </c>
      <c r="CS21" s="5" t="n">
        <f aca="false">IF(CS1&gt;=Inputs!$B$10-Inputs!$D$42,-(Inputs!$B$42*Inputs!$B$6/12)*(1+Inputs!$B$48)^(CS3-1)*(Inputs!$C$42+(1-Inputs!$C$42)*CS6/Inputs!$B$6),0)</f>
        <v>-57056.9161760742</v>
      </c>
      <c r="CT21" s="5" t="n">
        <f aca="false">IF(CT1&gt;=Inputs!$B$10-Inputs!$D$42,-(Inputs!$B$42*Inputs!$B$6/12)*(1+Inputs!$B$48)^(CT3-1)*(Inputs!$C$42+(1-Inputs!$C$42)*CT6/Inputs!$B$6),0)</f>
        <v>-57056.9161760742</v>
      </c>
    </row>
    <row r="22" customFormat="false" ht="15" hidden="false" customHeight="false" outlineLevel="0" collapsed="false">
      <c r="B22" s="26" t="s">
        <v>163</v>
      </c>
      <c r="C22" s="5" t="n">
        <f aca="false">IF(C1&gt;=Inputs!$B$9+Inputs!$B$8,-Inputs!$B$44/12*(1+Inputs!$B$48)^(C3-1),-Inputs!$B$43/12)</f>
        <v>-2500</v>
      </c>
      <c r="D22" s="5" t="n">
        <f aca="false">IF(D1&gt;=Inputs!$B$9+Inputs!$B$8,-Inputs!$B$44/12*(1+Inputs!$B$48)^(D3-1),-Inputs!$B$43/12)</f>
        <v>-2500</v>
      </c>
      <c r="E22" s="5" t="n">
        <f aca="false">IF(E1&gt;=Inputs!$B$9+Inputs!$B$8,-Inputs!$B$44/12*(1+Inputs!$B$48)^(E3-1),-Inputs!$B$43/12)</f>
        <v>-2500</v>
      </c>
      <c r="F22" s="5" t="n">
        <f aca="false">IF(F1&gt;=Inputs!$B$9+Inputs!$B$8,-Inputs!$B$44/12*(1+Inputs!$B$48)^(F3-1),-Inputs!$B$43/12)</f>
        <v>-2500</v>
      </c>
      <c r="G22" s="5" t="n">
        <f aca="false">IF(G1&gt;=Inputs!$B$9+Inputs!$B$8,-Inputs!$B$44/12*(1+Inputs!$B$48)^(G3-1),-Inputs!$B$43/12)</f>
        <v>-2500</v>
      </c>
      <c r="H22" s="5" t="n">
        <f aca="false">IF(H1&gt;=Inputs!$B$9+Inputs!$B$8,-Inputs!$B$44/12*(1+Inputs!$B$48)^(H3-1),-Inputs!$B$43/12)</f>
        <v>-2500</v>
      </c>
      <c r="I22" s="5" t="n">
        <f aca="false">IF(I1&gt;=Inputs!$B$9+Inputs!$B$8,-Inputs!$B$44/12*(1+Inputs!$B$48)^(I3-1),-Inputs!$B$43/12)</f>
        <v>-2500</v>
      </c>
      <c r="J22" s="5" t="n">
        <f aca="false">IF(J1&gt;=Inputs!$B$9+Inputs!$B$8,-Inputs!$B$44/12*(1+Inputs!$B$48)^(J3-1),-Inputs!$B$43/12)</f>
        <v>-2500</v>
      </c>
      <c r="K22" s="5" t="n">
        <f aca="false">IF(K1&gt;=Inputs!$B$9+Inputs!$B$8,-Inputs!$B$44/12*(1+Inputs!$B$48)^(K3-1),-Inputs!$B$43/12)</f>
        <v>-2500</v>
      </c>
      <c r="L22" s="5" t="n">
        <f aca="false">IF(L1&gt;=Inputs!$B$9+Inputs!$B$8,-Inputs!$B$44/12*(1+Inputs!$B$48)^(L3-1),-Inputs!$B$43/12)</f>
        <v>-2500</v>
      </c>
      <c r="M22" s="5" t="n">
        <f aca="false">IF(M1&gt;=Inputs!$B$9+Inputs!$B$8,-Inputs!$B$44/12*(1+Inputs!$B$48)^(M3-1),-Inputs!$B$43/12)</f>
        <v>-2500</v>
      </c>
      <c r="N22" s="5" t="n">
        <f aca="false">IF(N1&gt;=Inputs!$B$9+Inputs!$B$8,-Inputs!$B$44/12*(1+Inputs!$B$48)^(N3-1),-Inputs!$B$43/12)</f>
        <v>-2500</v>
      </c>
      <c r="O22" s="5" t="n">
        <f aca="false">IF(O1&gt;=Inputs!$B$9+Inputs!$B$8,-Inputs!$B$44/12*(1+Inputs!$B$48)^(O3-1),-Inputs!$B$43/12)</f>
        <v>-2500</v>
      </c>
      <c r="P22" s="5" t="n">
        <f aca="false">IF(P1&gt;=Inputs!$B$9+Inputs!$B$8,-Inputs!$B$44/12*(1+Inputs!$B$48)^(P3-1),-Inputs!$B$43/12)</f>
        <v>-2500</v>
      </c>
      <c r="Q22" s="5" t="n">
        <f aca="false">IF(Q1&gt;=Inputs!$B$9+Inputs!$B$8,-Inputs!$B$44/12*(1+Inputs!$B$48)^(Q3-1),-Inputs!$B$43/12)</f>
        <v>-2500</v>
      </c>
      <c r="R22" s="5" t="n">
        <f aca="false">IF(R1&gt;=Inputs!$B$9+Inputs!$B$8,-Inputs!$B$44/12*(1+Inputs!$B$48)^(R3-1),-Inputs!$B$43/12)</f>
        <v>-2500</v>
      </c>
      <c r="S22" s="5" t="n">
        <f aca="false">IF(S1&gt;=Inputs!$B$9+Inputs!$B$8,-Inputs!$B$44/12*(1+Inputs!$B$48)^(S3-1),-Inputs!$B$43/12)</f>
        <v>-2500</v>
      </c>
      <c r="T22" s="5" t="n">
        <f aca="false">IF(T1&gt;=Inputs!$B$9+Inputs!$B$8,-Inputs!$B$44/12*(1+Inputs!$B$48)^(T3-1),-Inputs!$B$43/12)</f>
        <v>-2500</v>
      </c>
      <c r="U22" s="5" t="n">
        <f aca="false">IF(U1&gt;=Inputs!$B$9+Inputs!$B$8,-Inputs!$B$44/12*(1+Inputs!$B$48)^(U3-1),-Inputs!$B$43/12)</f>
        <v>-2500</v>
      </c>
      <c r="V22" s="5" t="n">
        <f aca="false">IF(V1&gt;=Inputs!$B$9+Inputs!$B$8,-Inputs!$B$44/12*(1+Inputs!$B$48)^(V3-1),-Inputs!$B$43/12)</f>
        <v>-2500</v>
      </c>
      <c r="W22" s="5" t="n">
        <f aca="false">IF(W1&gt;=Inputs!$B$9+Inputs!$B$8,-Inputs!$B$44/12*(1+Inputs!$B$48)^(W3-1),-Inputs!$B$43/12)</f>
        <v>-2500</v>
      </c>
      <c r="X22" s="5" t="n">
        <f aca="false">IF(X1&gt;=Inputs!$B$9+Inputs!$B$8,-Inputs!$B$44/12*(1+Inputs!$B$48)^(X3-1),-Inputs!$B$43/12)</f>
        <v>-34166.6666666667</v>
      </c>
      <c r="Y22" s="5" t="n">
        <f aca="false">IF(Y1&gt;=Inputs!$B$9+Inputs!$B$8,-Inputs!$B$44/12*(1+Inputs!$B$48)^(Y3-1),-Inputs!$B$43/12)</f>
        <v>-34166.6666666667</v>
      </c>
      <c r="Z22" s="5" t="n">
        <f aca="false">IF(Z1&gt;=Inputs!$B$9+Inputs!$B$8,-Inputs!$B$44/12*(1+Inputs!$B$48)^(Z3-1),-Inputs!$B$43/12)</f>
        <v>-34166.6666666667</v>
      </c>
      <c r="AA22" s="5" t="n">
        <f aca="false">IF(AA1&gt;=Inputs!$B$9+Inputs!$B$8,-Inputs!$B$44/12*(1+Inputs!$B$48)^(AA3-1),-Inputs!$B$43/12)</f>
        <v>-35020.8333333333</v>
      </c>
      <c r="AB22" s="5" t="n">
        <f aca="false">IF(AB1&gt;=Inputs!$B$9+Inputs!$B$8,-Inputs!$B$44/12*(1+Inputs!$B$48)^(AB3-1),-Inputs!$B$43/12)</f>
        <v>-35020.8333333333</v>
      </c>
      <c r="AC22" s="5" t="n">
        <f aca="false">IF(AC1&gt;=Inputs!$B$9+Inputs!$B$8,-Inputs!$B$44/12*(1+Inputs!$B$48)^(AC3-1),-Inputs!$B$43/12)</f>
        <v>-35020.8333333333</v>
      </c>
      <c r="AD22" s="5" t="n">
        <f aca="false">IF(AD1&gt;=Inputs!$B$9+Inputs!$B$8,-Inputs!$B$44/12*(1+Inputs!$B$48)^(AD3-1),-Inputs!$B$43/12)</f>
        <v>-35020.8333333333</v>
      </c>
      <c r="AE22" s="5" t="n">
        <f aca="false">IF(AE1&gt;=Inputs!$B$9+Inputs!$B$8,-Inputs!$B$44/12*(1+Inputs!$B$48)^(AE3-1),-Inputs!$B$43/12)</f>
        <v>-35020.8333333333</v>
      </c>
      <c r="AF22" s="5" t="n">
        <f aca="false">IF(AF1&gt;=Inputs!$B$9+Inputs!$B$8,-Inputs!$B$44/12*(1+Inputs!$B$48)^(AF3-1),-Inputs!$B$43/12)</f>
        <v>-35020.8333333333</v>
      </c>
      <c r="AG22" s="5" t="n">
        <f aca="false">IF(AG1&gt;=Inputs!$B$9+Inputs!$B$8,-Inputs!$B$44/12*(1+Inputs!$B$48)^(AG3-1),-Inputs!$B$43/12)</f>
        <v>-35020.8333333333</v>
      </c>
      <c r="AH22" s="5" t="n">
        <f aca="false">IF(AH1&gt;=Inputs!$B$9+Inputs!$B$8,-Inputs!$B$44/12*(1+Inputs!$B$48)^(AH3-1),-Inputs!$B$43/12)</f>
        <v>-35020.8333333333</v>
      </c>
      <c r="AI22" s="5" t="n">
        <f aca="false">IF(AI1&gt;=Inputs!$B$9+Inputs!$B$8,-Inputs!$B$44/12*(1+Inputs!$B$48)^(AI3-1),-Inputs!$B$43/12)</f>
        <v>-35020.8333333333</v>
      </c>
      <c r="AJ22" s="5" t="n">
        <f aca="false">IF(AJ1&gt;=Inputs!$B$9+Inputs!$B$8,-Inputs!$B$44/12*(1+Inputs!$B$48)^(AJ3-1),-Inputs!$B$43/12)</f>
        <v>-35020.8333333333</v>
      </c>
      <c r="AK22" s="5" t="n">
        <f aca="false">IF(AK1&gt;=Inputs!$B$9+Inputs!$B$8,-Inputs!$B$44/12*(1+Inputs!$B$48)^(AK3-1),-Inputs!$B$43/12)</f>
        <v>-35020.8333333333</v>
      </c>
      <c r="AL22" s="5" t="n">
        <f aca="false">IF(AL1&gt;=Inputs!$B$9+Inputs!$B$8,-Inputs!$B$44/12*(1+Inputs!$B$48)^(AL3-1),-Inputs!$B$43/12)</f>
        <v>-35020.8333333333</v>
      </c>
      <c r="AM22" s="5" t="n">
        <f aca="false">IF(AM1&gt;=Inputs!$B$9+Inputs!$B$8,-Inputs!$B$44/12*(1+Inputs!$B$48)^(AM3-1),-Inputs!$B$43/12)</f>
        <v>-35896.3541666667</v>
      </c>
      <c r="AN22" s="5" t="n">
        <f aca="false">IF(AN1&gt;=Inputs!$B$9+Inputs!$B$8,-Inputs!$B$44/12*(1+Inputs!$B$48)^(AN3-1),-Inputs!$B$43/12)</f>
        <v>-35896.3541666667</v>
      </c>
      <c r="AO22" s="5" t="n">
        <f aca="false">IF(AO1&gt;=Inputs!$B$9+Inputs!$B$8,-Inputs!$B$44/12*(1+Inputs!$B$48)^(AO3-1),-Inputs!$B$43/12)</f>
        <v>-35896.3541666667</v>
      </c>
      <c r="AP22" s="5" t="n">
        <f aca="false">IF(AP1&gt;=Inputs!$B$9+Inputs!$B$8,-Inputs!$B$44/12*(1+Inputs!$B$48)^(AP3-1),-Inputs!$B$43/12)</f>
        <v>-35896.3541666667</v>
      </c>
      <c r="AQ22" s="5" t="n">
        <f aca="false">IF(AQ1&gt;=Inputs!$B$9+Inputs!$B$8,-Inputs!$B$44/12*(1+Inputs!$B$48)^(AQ3-1),-Inputs!$B$43/12)</f>
        <v>-35896.3541666667</v>
      </c>
      <c r="AR22" s="5" t="n">
        <f aca="false">IF(AR1&gt;=Inputs!$B$9+Inputs!$B$8,-Inputs!$B$44/12*(1+Inputs!$B$48)^(AR3-1),-Inputs!$B$43/12)</f>
        <v>-35896.3541666667</v>
      </c>
      <c r="AS22" s="5" t="n">
        <f aca="false">IF(AS1&gt;=Inputs!$B$9+Inputs!$B$8,-Inputs!$B$44/12*(1+Inputs!$B$48)^(AS3-1),-Inputs!$B$43/12)</f>
        <v>-35896.3541666667</v>
      </c>
      <c r="AT22" s="5" t="n">
        <f aca="false">IF(AT1&gt;=Inputs!$B$9+Inputs!$B$8,-Inputs!$B$44/12*(1+Inputs!$B$48)^(AT3-1),-Inputs!$B$43/12)</f>
        <v>-35896.3541666667</v>
      </c>
      <c r="AU22" s="5" t="n">
        <f aca="false">IF(AU1&gt;=Inputs!$B$9+Inputs!$B$8,-Inputs!$B$44/12*(1+Inputs!$B$48)^(AU3-1),-Inputs!$B$43/12)</f>
        <v>-35896.3541666667</v>
      </c>
      <c r="AV22" s="5" t="n">
        <f aca="false">IF(AV1&gt;=Inputs!$B$9+Inputs!$B$8,-Inputs!$B$44/12*(1+Inputs!$B$48)^(AV3-1),-Inputs!$B$43/12)</f>
        <v>-35896.3541666667</v>
      </c>
      <c r="AW22" s="5" t="n">
        <f aca="false">IF(AW1&gt;=Inputs!$B$9+Inputs!$B$8,-Inputs!$B$44/12*(1+Inputs!$B$48)^(AW3-1),-Inputs!$B$43/12)</f>
        <v>-35896.3541666667</v>
      </c>
      <c r="AX22" s="5" t="n">
        <f aca="false">IF(AX1&gt;=Inputs!$B$9+Inputs!$B$8,-Inputs!$B$44/12*(1+Inputs!$B$48)^(AX3-1),-Inputs!$B$43/12)</f>
        <v>-35896.3541666667</v>
      </c>
      <c r="AY22" s="5" t="n">
        <f aca="false">IF(AY1&gt;=Inputs!$B$9+Inputs!$B$8,-Inputs!$B$44/12*(1+Inputs!$B$48)^(AY3-1),-Inputs!$B$43/12)</f>
        <v>-36793.7630208333</v>
      </c>
      <c r="AZ22" s="5" t="n">
        <f aca="false">IF(AZ1&gt;=Inputs!$B$9+Inputs!$B$8,-Inputs!$B$44/12*(1+Inputs!$B$48)^(AZ3-1),-Inputs!$B$43/12)</f>
        <v>-36793.7630208333</v>
      </c>
      <c r="BA22" s="5" t="n">
        <f aca="false">IF(BA1&gt;=Inputs!$B$9+Inputs!$B$8,-Inputs!$B$44/12*(1+Inputs!$B$48)^(BA3-1),-Inputs!$B$43/12)</f>
        <v>-36793.7630208333</v>
      </c>
      <c r="BB22" s="5" t="n">
        <f aca="false">IF(BB1&gt;=Inputs!$B$9+Inputs!$B$8,-Inputs!$B$44/12*(1+Inputs!$B$48)^(BB3-1),-Inputs!$B$43/12)</f>
        <v>-36793.7630208333</v>
      </c>
      <c r="BC22" s="5" t="n">
        <f aca="false">IF(BC1&gt;=Inputs!$B$9+Inputs!$B$8,-Inputs!$B$44/12*(1+Inputs!$B$48)^(BC3-1),-Inputs!$B$43/12)</f>
        <v>-36793.7630208333</v>
      </c>
      <c r="BD22" s="5" t="n">
        <f aca="false">IF(BD1&gt;=Inputs!$B$9+Inputs!$B$8,-Inputs!$B$44/12*(1+Inputs!$B$48)^(BD3-1),-Inputs!$B$43/12)</f>
        <v>-36793.7630208333</v>
      </c>
      <c r="BE22" s="5" t="n">
        <f aca="false">IF(BE1&gt;=Inputs!$B$9+Inputs!$B$8,-Inputs!$B$44/12*(1+Inputs!$B$48)^(BE3-1),-Inputs!$B$43/12)</f>
        <v>-36793.7630208333</v>
      </c>
      <c r="BF22" s="5" t="n">
        <f aca="false">IF(BF1&gt;=Inputs!$B$9+Inputs!$B$8,-Inputs!$B$44/12*(1+Inputs!$B$48)^(BF3-1),-Inputs!$B$43/12)</f>
        <v>-36793.7630208333</v>
      </c>
      <c r="BG22" s="5" t="n">
        <f aca="false">IF(BG1&gt;=Inputs!$B$9+Inputs!$B$8,-Inputs!$B$44/12*(1+Inputs!$B$48)^(BG3-1),-Inputs!$B$43/12)</f>
        <v>-36793.7630208333</v>
      </c>
      <c r="BH22" s="5" t="n">
        <f aca="false">IF(BH1&gt;=Inputs!$B$9+Inputs!$B$8,-Inputs!$B$44/12*(1+Inputs!$B$48)^(BH3-1),-Inputs!$B$43/12)</f>
        <v>-36793.7630208333</v>
      </c>
      <c r="BI22" s="5" t="n">
        <f aca="false">IF(BI1&gt;=Inputs!$B$9+Inputs!$B$8,-Inputs!$B$44/12*(1+Inputs!$B$48)^(BI3-1),-Inputs!$B$43/12)</f>
        <v>-36793.7630208333</v>
      </c>
      <c r="BJ22" s="5" t="n">
        <f aca="false">IF(BJ1&gt;=Inputs!$B$9+Inputs!$B$8,-Inputs!$B$44/12*(1+Inputs!$B$48)^(BJ3-1),-Inputs!$B$43/12)</f>
        <v>-36793.7630208333</v>
      </c>
      <c r="BK22" s="5" t="n">
        <f aca="false">IF(BK1&gt;=Inputs!$B$9+Inputs!$B$8,-Inputs!$B$44/12*(1+Inputs!$B$48)^(BK3-1),-Inputs!$B$43/12)</f>
        <v>-37713.6070963542</v>
      </c>
      <c r="BL22" s="5" t="n">
        <f aca="false">IF(BL1&gt;=Inputs!$B$9+Inputs!$B$8,-Inputs!$B$44/12*(1+Inputs!$B$48)^(BL3-1),-Inputs!$B$43/12)</f>
        <v>-37713.6070963542</v>
      </c>
      <c r="BM22" s="5" t="n">
        <f aca="false">IF(BM1&gt;=Inputs!$B$9+Inputs!$B$8,-Inputs!$B$44/12*(1+Inputs!$B$48)^(BM3-1),-Inputs!$B$43/12)</f>
        <v>-37713.6070963542</v>
      </c>
      <c r="BN22" s="5" t="n">
        <f aca="false">IF(BN1&gt;=Inputs!$B$9+Inputs!$B$8,-Inputs!$B$44/12*(1+Inputs!$B$48)^(BN3-1),-Inputs!$B$43/12)</f>
        <v>-37713.6070963542</v>
      </c>
      <c r="BO22" s="5" t="n">
        <f aca="false">IF(BO1&gt;=Inputs!$B$9+Inputs!$B$8,-Inputs!$B$44/12*(1+Inputs!$B$48)^(BO3-1),-Inputs!$B$43/12)</f>
        <v>-37713.6070963542</v>
      </c>
      <c r="BP22" s="5" t="n">
        <f aca="false">IF(BP1&gt;=Inputs!$B$9+Inputs!$B$8,-Inputs!$B$44/12*(1+Inputs!$B$48)^(BP3-1),-Inputs!$B$43/12)</f>
        <v>-37713.6070963542</v>
      </c>
      <c r="BQ22" s="5" t="n">
        <f aca="false">IF(BQ1&gt;=Inputs!$B$9+Inputs!$B$8,-Inputs!$B$44/12*(1+Inputs!$B$48)^(BQ3-1),-Inputs!$B$43/12)</f>
        <v>-37713.6070963542</v>
      </c>
      <c r="BR22" s="5" t="n">
        <f aca="false">IF(BR1&gt;=Inputs!$B$9+Inputs!$B$8,-Inputs!$B$44/12*(1+Inputs!$B$48)^(BR3-1),-Inputs!$B$43/12)</f>
        <v>-37713.6070963542</v>
      </c>
      <c r="BS22" s="5" t="n">
        <f aca="false">IF(BS1&gt;=Inputs!$B$9+Inputs!$B$8,-Inputs!$B$44/12*(1+Inputs!$B$48)^(BS3-1),-Inputs!$B$43/12)</f>
        <v>-37713.6070963542</v>
      </c>
      <c r="BT22" s="5" t="n">
        <f aca="false">IF(BT1&gt;=Inputs!$B$9+Inputs!$B$8,-Inputs!$B$44/12*(1+Inputs!$B$48)^(BT3-1),-Inputs!$B$43/12)</f>
        <v>-37713.6070963542</v>
      </c>
      <c r="BU22" s="5" t="n">
        <f aca="false">IF(BU1&gt;=Inputs!$B$9+Inputs!$B$8,-Inputs!$B$44/12*(1+Inputs!$B$48)^(BU3-1),-Inputs!$B$43/12)</f>
        <v>-37713.6070963542</v>
      </c>
      <c r="BV22" s="5" t="n">
        <f aca="false">IF(BV1&gt;=Inputs!$B$9+Inputs!$B$8,-Inputs!$B$44/12*(1+Inputs!$B$48)^(BV3-1),-Inputs!$B$43/12)</f>
        <v>-37713.6070963542</v>
      </c>
      <c r="BW22" s="5" t="n">
        <f aca="false">IF(BW1&gt;=Inputs!$B$9+Inputs!$B$8,-Inputs!$B$44/12*(1+Inputs!$B$48)^(BW3-1),-Inputs!$B$43/12)</f>
        <v>-38656.447273763</v>
      </c>
      <c r="BX22" s="5" t="n">
        <f aca="false">IF(BX1&gt;=Inputs!$B$9+Inputs!$B$8,-Inputs!$B$44/12*(1+Inputs!$B$48)^(BX3-1),-Inputs!$B$43/12)</f>
        <v>-38656.447273763</v>
      </c>
      <c r="BY22" s="5" t="n">
        <f aca="false">IF(BY1&gt;=Inputs!$B$9+Inputs!$B$8,-Inputs!$B$44/12*(1+Inputs!$B$48)^(BY3-1),-Inputs!$B$43/12)</f>
        <v>-38656.447273763</v>
      </c>
      <c r="BZ22" s="5" t="n">
        <f aca="false">IF(BZ1&gt;=Inputs!$B$9+Inputs!$B$8,-Inputs!$B$44/12*(1+Inputs!$B$48)^(BZ3-1),-Inputs!$B$43/12)</f>
        <v>-38656.447273763</v>
      </c>
      <c r="CA22" s="5" t="n">
        <f aca="false">IF(CA1&gt;=Inputs!$B$9+Inputs!$B$8,-Inputs!$B$44/12*(1+Inputs!$B$48)^(CA3-1),-Inputs!$B$43/12)</f>
        <v>-38656.447273763</v>
      </c>
      <c r="CB22" s="5" t="n">
        <f aca="false">IF(CB1&gt;=Inputs!$B$9+Inputs!$B$8,-Inputs!$B$44/12*(1+Inputs!$B$48)^(CB3-1),-Inputs!$B$43/12)</f>
        <v>-38656.447273763</v>
      </c>
      <c r="CC22" s="5" t="n">
        <f aca="false">IF(CC1&gt;=Inputs!$B$9+Inputs!$B$8,-Inputs!$B$44/12*(1+Inputs!$B$48)^(CC3-1),-Inputs!$B$43/12)</f>
        <v>-38656.447273763</v>
      </c>
      <c r="CD22" s="5" t="n">
        <f aca="false">IF(CD1&gt;=Inputs!$B$9+Inputs!$B$8,-Inputs!$B$44/12*(1+Inputs!$B$48)^(CD3-1),-Inputs!$B$43/12)</f>
        <v>-38656.447273763</v>
      </c>
      <c r="CE22" s="5" t="n">
        <f aca="false">IF(CE1&gt;=Inputs!$B$9+Inputs!$B$8,-Inputs!$B$44/12*(1+Inputs!$B$48)^(CE3-1),-Inputs!$B$43/12)</f>
        <v>-38656.447273763</v>
      </c>
      <c r="CF22" s="5" t="n">
        <f aca="false">IF(CF1&gt;=Inputs!$B$9+Inputs!$B$8,-Inputs!$B$44/12*(1+Inputs!$B$48)^(CF3-1),-Inputs!$B$43/12)</f>
        <v>-38656.447273763</v>
      </c>
      <c r="CG22" s="5" t="n">
        <f aca="false">IF(CG1&gt;=Inputs!$B$9+Inputs!$B$8,-Inputs!$B$44/12*(1+Inputs!$B$48)^(CG3-1),-Inputs!$B$43/12)</f>
        <v>-38656.447273763</v>
      </c>
      <c r="CH22" s="5" t="n">
        <f aca="false">IF(CH1&gt;=Inputs!$B$9+Inputs!$B$8,-Inputs!$B$44/12*(1+Inputs!$B$48)^(CH3-1),-Inputs!$B$43/12)</f>
        <v>-38656.447273763</v>
      </c>
      <c r="CI22" s="5" t="n">
        <f aca="false">IF(CI1&gt;=Inputs!$B$9+Inputs!$B$8,-Inputs!$B$44/12*(1+Inputs!$B$48)^(CI3-1),-Inputs!$B$43/12)</f>
        <v>-39622.8584556071</v>
      </c>
      <c r="CJ22" s="5" t="n">
        <f aca="false">IF(CJ1&gt;=Inputs!$B$9+Inputs!$B$8,-Inputs!$B$44/12*(1+Inputs!$B$48)^(CJ3-1),-Inputs!$B$43/12)</f>
        <v>-39622.8584556071</v>
      </c>
      <c r="CK22" s="5" t="n">
        <f aca="false">IF(CK1&gt;=Inputs!$B$9+Inputs!$B$8,-Inputs!$B$44/12*(1+Inputs!$B$48)^(CK3-1),-Inputs!$B$43/12)</f>
        <v>-39622.8584556071</v>
      </c>
      <c r="CL22" s="5" t="n">
        <f aca="false">IF(CL1&gt;=Inputs!$B$9+Inputs!$B$8,-Inputs!$B$44/12*(1+Inputs!$B$48)^(CL3-1),-Inputs!$B$43/12)</f>
        <v>-39622.8584556071</v>
      </c>
      <c r="CM22" s="5" t="n">
        <f aca="false">IF(CM1&gt;=Inputs!$B$9+Inputs!$B$8,-Inputs!$B$44/12*(1+Inputs!$B$48)^(CM3-1),-Inputs!$B$43/12)</f>
        <v>-39622.8584556071</v>
      </c>
      <c r="CN22" s="5" t="n">
        <f aca="false">IF(CN1&gt;=Inputs!$B$9+Inputs!$B$8,-Inputs!$B$44/12*(1+Inputs!$B$48)^(CN3-1),-Inputs!$B$43/12)</f>
        <v>-39622.8584556071</v>
      </c>
      <c r="CO22" s="5" t="n">
        <f aca="false">IF(CO1&gt;=Inputs!$B$9+Inputs!$B$8,-Inputs!$B$44/12*(1+Inputs!$B$48)^(CO3-1),-Inputs!$B$43/12)</f>
        <v>-39622.8584556071</v>
      </c>
      <c r="CP22" s="5" t="n">
        <f aca="false">IF(CP1&gt;=Inputs!$B$9+Inputs!$B$8,-Inputs!$B$44/12*(1+Inputs!$B$48)^(CP3-1),-Inputs!$B$43/12)</f>
        <v>-39622.8584556071</v>
      </c>
      <c r="CQ22" s="5" t="n">
        <f aca="false">IF(CQ1&gt;=Inputs!$B$9+Inputs!$B$8,-Inputs!$B$44/12*(1+Inputs!$B$48)^(CQ3-1),-Inputs!$B$43/12)</f>
        <v>-39622.8584556071</v>
      </c>
      <c r="CR22" s="5" t="n">
        <f aca="false">IF(CR1&gt;=Inputs!$B$9+Inputs!$B$8,-Inputs!$B$44/12*(1+Inputs!$B$48)^(CR3-1),-Inputs!$B$43/12)</f>
        <v>-39622.8584556071</v>
      </c>
      <c r="CS22" s="5" t="n">
        <f aca="false">IF(CS1&gt;=Inputs!$B$9+Inputs!$B$8,-Inputs!$B$44/12*(1+Inputs!$B$48)^(CS3-1),-Inputs!$B$43/12)</f>
        <v>-39622.8584556071</v>
      </c>
      <c r="CT22" s="5" t="n">
        <f aca="false">IF(CT1&gt;=Inputs!$B$9+Inputs!$B$8,-Inputs!$B$44/12*(1+Inputs!$B$48)^(CT3-1),-Inputs!$B$43/12)</f>
        <v>-39622.8584556071</v>
      </c>
    </row>
    <row r="23" customFormat="false" ht="15" hidden="false" customHeight="false" outlineLevel="0" collapsed="false">
      <c r="B23" s="26" t="s">
        <v>164</v>
      </c>
      <c r="C23" s="5" t="n">
        <f aca="false">-MAX(C12,0)*Inputs!$B$45</f>
        <v>-0</v>
      </c>
      <c r="D23" s="5" t="n">
        <f aca="false">-MAX(D12,0)*Inputs!$B$45</f>
        <v>-0</v>
      </c>
      <c r="E23" s="5" t="n">
        <f aca="false">-MAX(E12,0)*Inputs!$B$45</f>
        <v>-0</v>
      </c>
      <c r="F23" s="5" t="n">
        <f aca="false">-MAX(F12,0)*Inputs!$B$45</f>
        <v>-0</v>
      </c>
      <c r="G23" s="5" t="n">
        <f aca="false">-MAX(G12,0)*Inputs!$B$45</f>
        <v>-0</v>
      </c>
      <c r="H23" s="5" t="n">
        <f aca="false">-MAX(H12,0)*Inputs!$B$45</f>
        <v>-0</v>
      </c>
      <c r="I23" s="5" t="n">
        <f aca="false">-MAX(I12,0)*Inputs!$B$45</f>
        <v>-0</v>
      </c>
      <c r="J23" s="5" t="n">
        <f aca="false">-MAX(J12,0)*Inputs!$B$45</f>
        <v>-0</v>
      </c>
      <c r="K23" s="5" t="n">
        <f aca="false">-MAX(K12,0)*Inputs!$B$45</f>
        <v>-0</v>
      </c>
      <c r="L23" s="5" t="n">
        <f aca="false">-MAX(L12,0)*Inputs!$B$45</f>
        <v>-0</v>
      </c>
      <c r="M23" s="5" t="n">
        <f aca="false">-MAX(M12,0)*Inputs!$B$45</f>
        <v>-0</v>
      </c>
      <c r="N23" s="5" t="n">
        <f aca="false">-MAX(N12,0)*Inputs!$B$45</f>
        <v>-0</v>
      </c>
      <c r="O23" s="5" t="n">
        <f aca="false">-MAX(O12,0)*Inputs!$B$45</f>
        <v>-0</v>
      </c>
      <c r="P23" s="5" t="n">
        <f aca="false">-MAX(P12,0)*Inputs!$B$45</f>
        <v>-1231.28420666327</v>
      </c>
      <c r="Q23" s="5" t="n">
        <f aca="false">-MAX(Q12,0)*Inputs!$B$45</f>
        <v>-2462.56841332653</v>
      </c>
      <c r="R23" s="5" t="n">
        <f aca="false">-MAX(R12,0)*Inputs!$B$45</f>
        <v>-3693.8526199898</v>
      </c>
      <c r="S23" s="5" t="n">
        <f aca="false">-MAX(S12,0)*Inputs!$B$45</f>
        <v>-4925.13682665306</v>
      </c>
      <c r="T23" s="5" t="n">
        <f aca="false">-MAX(T12,0)*Inputs!$B$45</f>
        <v>-6156.42103331633</v>
      </c>
      <c r="U23" s="5" t="n">
        <f aca="false">-MAX(U12,0)*Inputs!$B$45</f>
        <v>-7387.70523997959</v>
      </c>
      <c r="V23" s="5" t="n">
        <f aca="false">-MAX(V12,0)*Inputs!$B$45</f>
        <v>-8618.98944664286</v>
      </c>
      <c r="W23" s="5" t="n">
        <f aca="false">-MAX(W12,0)*Inputs!$B$45</f>
        <v>-9850.27365330612</v>
      </c>
      <c r="X23" s="5" t="n">
        <f aca="false">-MAX(X12,0)*Inputs!$B$45</f>
        <v>-11081.5578599694</v>
      </c>
      <c r="Y23" s="5" t="n">
        <f aca="false">-MAX(Y12,0)*Inputs!$B$45</f>
        <v>-12312.8420666327</v>
      </c>
      <c r="Z23" s="5" t="n">
        <f aca="false">-MAX(Z12,0)*Inputs!$B$45</f>
        <v>-13544.1262732959</v>
      </c>
      <c r="AA23" s="5" t="n">
        <f aca="false">-MAX(AA12,0)*Inputs!$B$45</f>
        <v>-15070.9186895584</v>
      </c>
      <c r="AB23" s="5" t="n">
        <f aca="false">-MAX(AB12,0)*Inputs!$B$45</f>
        <v>-16326.8285803549</v>
      </c>
      <c r="AC23" s="5" t="n">
        <f aca="false">-MAX(AC12,0)*Inputs!$B$45</f>
        <v>-16351.9467781708</v>
      </c>
      <c r="AD23" s="5" t="n">
        <f aca="false">-MAX(AD12,0)*Inputs!$B$45</f>
        <v>-16351.9467781708</v>
      </c>
      <c r="AE23" s="5" t="n">
        <f aca="false">-MAX(AE12,0)*Inputs!$B$45</f>
        <v>-16351.9467781708</v>
      </c>
      <c r="AF23" s="5" t="n">
        <f aca="false">-MAX(AF12,0)*Inputs!$B$45</f>
        <v>-16351.9467781708</v>
      </c>
      <c r="AG23" s="5" t="n">
        <f aca="false">-MAX(AG12,0)*Inputs!$B$45</f>
        <v>-16351.9467781708</v>
      </c>
      <c r="AH23" s="5" t="n">
        <f aca="false">-MAX(AH12,0)*Inputs!$B$45</f>
        <v>-16351.9467781708</v>
      </c>
      <c r="AI23" s="5" t="n">
        <f aca="false">-MAX(AI12,0)*Inputs!$B$45</f>
        <v>-16351.9467781708</v>
      </c>
      <c r="AJ23" s="5" t="n">
        <f aca="false">-MAX(AJ12,0)*Inputs!$B$45</f>
        <v>-16351.9467781708</v>
      </c>
      <c r="AK23" s="5" t="n">
        <f aca="false">-MAX(AK12,0)*Inputs!$B$45</f>
        <v>-16351.9467781708</v>
      </c>
      <c r="AL23" s="5" t="n">
        <f aca="false">-MAX(AL12,0)*Inputs!$B$45</f>
        <v>-16351.9467781708</v>
      </c>
      <c r="AM23" s="5" t="n">
        <f aca="false">-MAX(AM12,0)*Inputs!$B$45</f>
        <v>-16678.9857137342</v>
      </c>
      <c r="AN23" s="5" t="n">
        <f aca="false">-MAX(AN12,0)*Inputs!$B$45</f>
        <v>-16678.9857137342</v>
      </c>
      <c r="AO23" s="5" t="n">
        <f aca="false">-MAX(AO12,0)*Inputs!$B$45</f>
        <v>-16678.9857137342</v>
      </c>
      <c r="AP23" s="5" t="n">
        <f aca="false">-MAX(AP12,0)*Inputs!$B$45</f>
        <v>-16678.9857137342</v>
      </c>
      <c r="AQ23" s="5" t="n">
        <f aca="false">-MAX(AQ12,0)*Inputs!$B$45</f>
        <v>-16678.9857137342</v>
      </c>
      <c r="AR23" s="5" t="n">
        <f aca="false">-MAX(AR12,0)*Inputs!$B$45</f>
        <v>-16678.9857137342</v>
      </c>
      <c r="AS23" s="5" t="n">
        <f aca="false">-MAX(AS12,0)*Inputs!$B$45</f>
        <v>-16678.9857137342</v>
      </c>
      <c r="AT23" s="5" t="n">
        <f aca="false">-MAX(AT12,0)*Inputs!$B$45</f>
        <v>-16678.9857137342</v>
      </c>
      <c r="AU23" s="5" t="n">
        <f aca="false">-MAX(AU12,0)*Inputs!$B$45</f>
        <v>-16678.9857137342</v>
      </c>
      <c r="AV23" s="5" t="n">
        <f aca="false">-MAX(AV12,0)*Inputs!$B$45</f>
        <v>-16678.9857137342</v>
      </c>
      <c r="AW23" s="5" t="n">
        <f aca="false">-MAX(AW12,0)*Inputs!$B$45</f>
        <v>-16678.9857137342</v>
      </c>
      <c r="AX23" s="5" t="n">
        <f aca="false">-MAX(AX12,0)*Inputs!$B$45</f>
        <v>-16678.9857137342</v>
      </c>
      <c r="AY23" s="5" t="n">
        <f aca="false">-MAX(AY12,0)*Inputs!$B$45</f>
        <v>-17012.5654280089</v>
      </c>
      <c r="AZ23" s="5" t="n">
        <f aca="false">-MAX(AZ12,0)*Inputs!$B$45</f>
        <v>-17012.5654280089</v>
      </c>
      <c r="BA23" s="5" t="n">
        <f aca="false">-MAX(BA12,0)*Inputs!$B$45</f>
        <v>-17012.5654280089</v>
      </c>
      <c r="BB23" s="5" t="n">
        <f aca="false">-MAX(BB12,0)*Inputs!$B$45</f>
        <v>-17012.5654280089</v>
      </c>
      <c r="BC23" s="5" t="n">
        <f aca="false">-MAX(BC12,0)*Inputs!$B$45</f>
        <v>-17012.5654280089</v>
      </c>
      <c r="BD23" s="5" t="n">
        <f aca="false">-MAX(BD12,0)*Inputs!$B$45</f>
        <v>-17012.5654280089</v>
      </c>
      <c r="BE23" s="5" t="n">
        <f aca="false">-MAX(BE12,0)*Inputs!$B$45</f>
        <v>-17012.5654280089</v>
      </c>
      <c r="BF23" s="5" t="n">
        <f aca="false">-MAX(BF12,0)*Inputs!$B$45</f>
        <v>-17012.5654280089</v>
      </c>
      <c r="BG23" s="5" t="n">
        <f aca="false">-MAX(BG12,0)*Inputs!$B$45</f>
        <v>-17012.5654280089</v>
      </c>
      <c r="BH23" s="5" t="n">
        <f aca="false">-MAX(BH12,0)*Inputs!$B$45</f>
        <v>-17012.5654280089</v>
      </c>
      <c r="BI23" s="5" t="n">
        <f aca="false">-MAX(BI12,0)*Inputs!$B$45</f>
        <v>-17012.5654280089</v>
      </c>
      <c r="BJ23" s="5" t="n">
        <f aca="false">-MAX(BJ12,0)*Inputs!$B$45</f>
        <v>-17012.5654280089</v>
      </c>
      <c r="BK23" s="5" t="n">
        <f aca="false">-MAX(BK12,0)*Inputs!$B$45</f>
        <v>-17352.8167365691</v>
      </c>
      <c r="BL23" s="5" t="n">
        <f aca="false">-MAX(BL12,0)*Inputs!$B$45</f>
        <v>-17352.8167365691</v>
      </c>
      <c r="BM23" s="5" t="n">
        <f aca="false">-MAX(BM12,0)*Inputs!$B$45</f>
        <v>-17352.8167365691</v>
      </c>
      <c r="BN23" s="5" t="n">
        <f aca="false">-MAX(BN12,0)*Inputs!$B$45</f>
        <v>-17352.8167365691</v>
      </c>
      <c r="BO23" s="5" t="n">
        <f aca="false">-MAX(BO12,0)*Inputs!$B$45</f>
        <v>-17352.8167365691</v>
      </c>
      <c r="BP23" s="5" t="n">
        <f aca="false">-MAX(BP12,0)*Inputs!$B$45</f>
        <v>-17352.8167365691</v>
      </c>
      <c r="BQ23" s="5" t="n">
        <f aca="false">-MAX(BQ12,0)*Inputs!$B$45</f>
        <v>-17352.8167365691</v>
      </c>
      <c r="BR23" s="5" t="n">
        <f aca="false">-MAX(BR12,0)*Inputs!$B$45</f>
        <v>-17352.8167365691</v>
      </c>
      <c r="BS23" s="5" t="n">
        <f aca="false">-MAX(BS12,0)*Inputs!$B$45</f>
        <v>-17352.8167365691</v>
      </c>
      <c r="BT23" s="5" t="n">
        <f aca="false">-MAX(BT12,0)*Inputs!$B$45</f>
        <v>-17352.8167365691</v>
      </c>
      <c r="BU23" s="5" t="n">
        <f aca="false">-MAX(BU12,0)*Inputs!$B$45</f>
        <v>-17352.8167365691</v>
      </c>
      <c r="BV23" s="5" t="n">
        <f aca="false">-MAX(BV12,0)*Inputs!$B$45</f>
        <v>-17352.8167365691</v>
      </c>
      <c r="BW23" s="5" t="n">
        <f aca="false">-MAX(BW12,0)*Inputs!$B$45</f>
        <v>-17699.8730713005</v>
      </c>
      <c r="BX23" s="5" t="n">
        <f aca="false">-MAX(BX12,0)*Inputs!$B$45</f>
        <v>-17699.8730713005</v>
      </c>
      <c r="BY23" s="5" t="n">
        <f aca="false">-MAX(BY12,0)*Inputs!$B$45</f>
        <v>-17699.8730713005</v>
      </c>
      <c r="BZ23" s="5" t="n">
        <f aca="false">-MAX(BZ12,0)*Inputs!$B$45</f>
        <v>-17699.8730713005</v>
      </c>
      <c r="CA23" s="5" t="n">
        <f aca="false">-MAX(CA12,0)*Inputs!$B$45</f>
        <v>-17699.8730713005</v>
      </c>
      <c r="CB23" s="5" t="n">
        <f aca="false">-MAX(CB12,0)*Inputs!$B$45</f>
        <v>-17699.8730713005</v>
      </c>
      <c r="CC23" s="5" t="n">
        <f aca="false">-MAX(CC12,0)*Inputs!$B$45</f>
        <v>-17699.8730713005</v>
      </c>
      <c r="CD23" s="5" t="n">
        <f aca="false">-MAX(CD12,0)*Inputs!$B$45</f>
        <v>-17699.8730713005</v>
      </c>
      <c r="CE23" s="5" t="n">
        <f aca="false">-MAX(CE12,0)*Inputs!$B$45</f>
        <v>-17699.8730713005</v>
      </c>
      <c r="CF23" s="5" t="n">
        <f aca="false">-MAX(CF12,0)*Inputs!$B$45</f>
        <v>-17699.8730713005</v>
      </c>
      <c r="CG23" s="5" t="n">
        <f aca="false">-MAX(CG12,0)*Inputs!$B$45</f>
        <v>-17699.8730713005</v>
      </c>
      <c r="CH23" s="5" t="n">
        <f aca="false">-MAX(CH12,0)*Inputs!$B$45</f>
        <v>-17699.8730713005</v>
      </c>
      <c r="CI23" s="5" t="n">
        <f aca="false">-MAX(CI12,0)*Inputs!$B$45</f>
        <v>-18053.8705327265</v>
      </c>
      <c r="CJ23" s="5" t="n">
        <f aca="false">-MAX(CJ12,0)*Inputs!$B$45</f>
        <v>-18053.8705327265</v>
      </c>
      <c r="CK23" s="5" t="n">
        <f aca="false">-MAX(CK12,0)*Inputs!$B$45</f>
        <v>-18053.8705327265</v>
      </c>
      <c r="CL23" s="5" t="n">
        <f aca="false">-MAX(CL12,0)*Inputs!$B$45</f>
        <v>-18053.8705327265</v>
      </c>
      <c r="CM23" s="5" t="n">
        <f aca="false">-MAX(CM12,0)*Inputs!$B$45</f>
        <v>-18053.8705327265</v>
      </c>
      <c r="CN23" s="5" t="n">
        <f aca="false">-MAX(CN12,0)*Inputs!$B$45</f>
        <v>-18053.8705327265</v>
      </c>
      <c r="CO23" s="5" t="n">
        <f aca="false">-MAX(CO12,0)*Inputs!$B$45</f>
        <v>-18053.8705327265</v>
      </c>
      <c r="CP23" s="5" t="n">
        <f aca="false">-MAX(CP12,0)*Inputs!$B$45</f>
        <v>-18053.8705327265</v>
      </c>
      <c r="CQ23" s="5" t="n">
        <f aca="false">-MAX(CQ12,0)*Inputs!$B$45</f>
        <v>-18053.8705327265</v>
      </c>
      <c r="CR23" s="5" t="n">
        <f aca="false">-MAX(CR12,0)*Inputs!$B$45</f>
        <v>-18053.8705327265</v>
      </c>
      <c r="CS23" s="5" t="n">
        <f aca="false">-MAX(CS12,0)*Inputs!$B$45</f>
        <v>-18053.8705327265</v>
      </c>
      <c r="CT23" s="5" t="n">
        <f aca="false">-MAX(CT12,0)*Inputs!$B$45</f>
        <v>-18053.8705327265</v>
      </c>
    </row>
    <row r="24" customFormat="false" ht="15" hidden="false" customHeight="false" outlineLevel="0" collapsed="false">
      <c r="B24" s="2" t="s">
        <v>165</v>
      </c>
      <c r="C24" s="5" t="n">
        <f aca="false">SUM(C14:C23)</f>
        <v>-2500</v>
      </c>
      <c r="D24" s="5" t="n">
        <f aca="false">SUM(D14:D23)</f>
        <v>-2500</v>
      </c>
      <c r="E24" s="5" t="n">
        <f aca="false">SUM(E14:E23)</f>
        <v>-2500</v>
      </c>
      <c r="F24" s="5" t="n">
        <f aca="false">SUM(F14:F23)</f>
        <v>-2500</v>
      </c>
      <c r="G24" s="5" t="n">
        <f aca="false">SUM(G14:G23)</f>
        <v>-2500</v>
      </c>
      <c r="H24" s="5" t="n">
        <f aca="false">SUM(H14:H23)</f>
        <v>-2500</v>
      </c>
      <c r="I24" s="5" t="n">
        <f aca="false">SUM(I14:I23)</f>
        <v>-2500</v>
      </c>
      <c r="J24" s="5" t="n">
        <f aca="false">SUM(J14:J23)</f>
        <v>-2500</v>
      </c>
      <c r="K24" s="5" t="n">
        <f aca="false">SUM(K14:K23)</f>
        <v>-2500</v>
      </c>
      <c r="L24" s="5" t="n">
        <f aca="false">SUM(L14:L23)</f>
        <v>-113140</v>
      </c>
      <c r="M24" s="5" t="n">
        <f aca="false">SUM(M14:M23)</f>
        <v>-124672</v>
      </c>
      <c r="N24" s="5" t="n">
        <f aca="false">SUM(N14:N23)</f>
        <v>-124672</v>
      </c>
      <c r="O24" s="5" t="n">
        <f aca="false">SUM(O14:O23)</f>
        <v>-127726.3</v>
      </c>
      <c r="P24" s="5" t="n">
        <f aca="false">SUM(P14:P23)</f>
        <v>-130529.348492378</v>
      </c>
      <c r="Q24" s="5" t="n">
        <f aca="false">SUM(Q14:Q23)</f>
        <v>-133332.396984755</v>
      </c>
      <c r="R24" s="5" t="n">
        <f aca="false">SUM(R14:R23)</f>
        <v>-136135.445477133</v>
      </c>
      <c r="S24" s="5" t="n">
        <f aca="false">SUM(S14:S23)</f>
        <v>-138938.49396951</v>
      </c>
      <c r="T24" s="5" t="n">
        <f aca="false">SUM(T14:T23)</f>
        <v>-141741.542461888</v>
      </c>
      <c r="U24" s="5" t="n">
        <f aca="false">SUM(U14:U23)</f>
        <v>-144544.590954265</v>
      </c>
      <c r="V24" s="5" t="n">
        <f aca="false">SUM(V14:V23)</f>
        <v>-147347.639446643</v>
      </c>
      <c r="W24" s="5" t="n">
        <f aca="false">SUM(W14:W23)</f>
        <v>-150150.68793902</v>
      </c>
      <c r="X24" s="5" t="n">
        <f aca="false">SUM(X14:X23)</f>
        <v>-184620.403098065</v>
      </c>
      <c r="Y24" s="5" t="n">
        <f aca="false">SUM(Y14:Y23)</f>
        <v>-187423.451590442</v>
      </c>
      <c r="Z24" s="5" t="n">
        <f aca="false">SUM(Z14:Z23)</f>
        <v>-190226.50008282</v>
      </c>
      <c r="AA24" s="5" t="n">
        <f aca="false">SUM(AA14:AA23)</f>
        <v>-197781.410237177</v>
      </c>
      <c r="AB24" s="5" t="n">
        <f aca="false">SUM(AB14:AB23)</f>
        <v>-200648.378520831</v>
      </c>
      <c r="AC24" s="5" t="n">
        <f aca="false">SUM(AC14:AC23)</f>
        <v>-200705.717886504</v>
      </c>
      <c r="AD24" s="5" t="n">
        <f aca="false">SUM(AD14:AD23)</f>
        <v>-200705.717886504</v>
      </c>
      <c r="AE24" s="5" t="n">
        <f aca="false">SUM(AE14:AE23)</f>
        <v>-200705.717886504</v>
      </c>
      <c r="AF24" s="5" t="n">
        <f aca="false">SUM(AF14:AF23)</f>
        <v>-200705.717886504</v>
      </c>
      <c r="AG24" s="5" t="n">
        <f aca="false">SUM(AG14:AG23)</f>
        <v>-200705.717886504</v>
      </c>
      <c r="AH24" s="5" t="n">
        <f aca="false">SUM(AH14:AH23)</f>
        <v>-200705.717886504</v>
      </c>
      <c r="AI24" s="5" t="n">
        <f aca="false">SUM(AI14:AI23)</f>
        <v>-200705.717886504</v>
      </c>
      <c r="AJ24" s="5" t="n">
        <f aca="false">SUM(AJ14:AJ23)</f>
        <v>-200705.717886504</v>
      </c>
      <c r="AK24" s="5" t="n">
        <f aca="false">SUM(AK14:AK23)</f>
        <v>-200705.717886504</v>
      </c>
      <c r="AL24" s="5" t="n">
        <f aca="false">SUM(AL14:AL23)</f>
        <v>-200705.717886504</v>
      </c>
      <c r="AM24" s="5" t="n">
        <f aca="false">SUM(AM14:AM23)</f>
        <v>-205641.601099776</v>
      </c>
      <c r="AN24" s="5" t="n">
        <f aca="false">SUM(AN14:AN23)</f>
        <v>-205641.601099776</v>
      </c>
      <c r="AO24" s="5" t="n">
        <f aca="false">SUM(AO14:AO23)</f>
        <v>-205641.601099776</v>
      </c>
      <c r="AP24" s="5" t="n">
        <f aca="false">SUM(AP14:AP23)</f>
        <v>-205641.601099776</v>
      </c>
      <c r="AQ24" s="5" t="n">
        <f aca="false">SUM(AQ14:AQ23)</f>
        <v>-205641.601099776</v>
      </c>
      <c r="AR24" s="5" t="n">
        <f aca="false">SUM(AR14:AR23)</f>
        <v>-205641.601099776</v>
      </c>
      <c r="AS24" s="5" t="n">
        <f aca="false">SUM(AS14:AS23)</f>
        <v>-205641.601099776</v>
      </c>
      <c r="AT24" s="5" t="n">
        <f aca="false">SUM(AT14:AT23)</f>
        <v>-205641.601099776</v>
      </c>
      <c r="AU24" s="5" t="n">
        <f aca="false">SUM(AU14:AU23)</f>
        <v>-205641.601099776</v>
      </c>
      <c r="AV24" s="5" t="n">
        <f aca="false">SUM(AV14:AV23)</f>
        <v>-205641.601099776</v>
      </c>
      <c r="AW24" s="5" t="n">
        <f aca="false">SUM(AW14:AW23)</f>
        <v>-205641.601099776</v>
      </c>
      <c r="AX24" s="5" t="n">
        <f aca="false">SUM(AX14:AX23)</f>
        <v>-205641.601099776</v>
      </c>
      <c r="AY24" s="5" t="n">
        <f aca="false">SUM(AY14:AY23)</f>
        <v>-210699.246198702</v>
      </c>
      <c r="AZ24" s="5" t="n">
        <f aca="false">SUM(AZ14:AZ23)</f>
        <v>-210699.246198702</v>
      </c>
      <c r="BA24" s="5" t="n">
        <f aca="false">SUM(BA14:BA23)</f>
        <v>-210699.246198702</v>
      </c>
      <c r="BB24" s="5" t="n">
        <f aca="false">SUM(BB14:BB23)</f>
        <v>-210699.246198702</v>
      </c>
      <c r="BC24" s="5" t="n">
        <f aca="false">SUM(BC14:BC23)</f>
        <v>-210699.246198702</v>
      </c>
      <c r="BD24" s="5" t="n">
        <f aca="false">SUM(BD14:BD23)</f>
        <v>-210699.246198702</v>
      </c>
      <c r="BE24" s="5" t="n">
        <f aca="false">SUM(BE14:BE23)</f>
        <v>-210699.246198702</v>
      </c>
      <c r="BF24" s="5" t="n">
        <f aca="false">SUM(BF14:BF23)</f>
        <v>-210699.246198702</v>
      </c>
      <c r="BG24" s="5" t="n">
        <f aca="false">SUM(BG14:BG23)</f>
        <v>-210699.246198702</v>
      </c>
      <c r="BH24" s="5" t="n">
        <f aca="false">SUM(BH14:BH23)</f>
        <v>-210699.246198702</v>
      </c>
      <c r="BI24" s="5" t="n">
        <f aca="false">SUM(BI14:BI23)</f>
        <v>-210699.246198702</v>
      </c>
      <c r="BJ24" s="5" t="n">
        <f aca="false">SUM(BJ14:BJ23)</f>
        <v>-210699.246198702</v>
      </c>
      <c r="BK24" s="5" t="n">
        <f aca="false">SUM(BK14:BK23)</f>
        <v>-215881.664526529</v>
      </c>
      <c r="BL24" s="5" t="n">
        <f aca="false">SUM(BL14:BL23)</f>
        <v>-215881.664526529</v>
      </c>
      <c r="BM24" s="5" t="n">
        <f aca="false">SUM(BM14:BM23)</f>
        <v>-215881.664526529</v>
      </c>
      <c r="BN24" s="5" t="n">
        <f aca="false">SUM(BN14:BN23)</f>
        <v>-215881.664526529</v>
      </c>
      <c r="BO24" s="5" t="n">
        <f aca="false">SUM(BO14:BO23)</f>
        <v>-215881.664526529</v>
      </c>
      <c r="BP24" s="5" t="n">
        <f aca="false">SUM(BP14:BP23)</f>
        <v>-215881.664526529</v>
      </c>
      <c r="BQ24" s="5" t="n">
        <f aca="false">SUM(BQ14:BQ23)</f>
        <v>-215881.664526529</v>
      </c>
      <c r="BR24" s="5" t="n">
        <f aca="false">SUM(BR14:BR23)</f>
        <v>-215881.664526529</v>
      </c>
      <c r="BS24" s="5" t="n">
        <f aca="false">SUM(BS14:BS23)</f>
        <v>-215881.664526529</v>
      </c>
      <c r="BT24" s="5" t="n">
        <f aca="false">SUM(BT14:BT23)</f>
        <v>-215881.664526529</v>
      </c>
      <c r="BU24" s="5" t="n">
        <f aca="false">SUM(BU14:BU23)</f>
        <v>-215881.664526529</v>
      </c>
      <c r="BV24" s="5" t="n">
        <f aca="false">SUM(BV14:BV23)</f>
        <v>-215881.664526529</v>
      </c>
      <c r="BW24" s="5" t="n">
        <f aca="false">SUM(BW14:BW23)</f>
        <v>-221191.942056009</v>
      </c>
      <c r="BX24" s="5" t="n">
        <f aca="false">SUM(BX14:BX23)</f>
        <v>-221191.942056009</v>
      </c>
      <c r="BY24" s="5" t="n">
        <f aca="false">SUM(BY14:BY23)</f>
        <v>-221191.942056009</v>
      </c>
      <c r="BZ24" s="5" t="n">
        <f aca="false">SUM(BZ14:BZ23)</f>
        <v>-221191.942056009</v>
      </c>
      <c r="CA24" s="5" t="n">
        <f aca="false">SUM(CA14:CA23)</f>
        <v>-221191.942056009</v>
      </c>
      <c r="CB24" s="5" t="n">
        <f aca="false">SUM(CB14:CB23)</f>
        <v>-221191.942056009</v>
      </c>
      <c r="CC24" s="5" t="n">
        <f aca="false">SUM(CC14:CC23)</f>
        <v>-221191.942056009</v>
      </c>
      <c r="CD24" s="5" t="n">
        <f aca="false">SUM(CD14:CD23)</f>
        <v>-221191.942056009</v>
      </c>
      <c r="CE24" s="5" t="n">
        <f aca="false">SUM(CE14:CE23)</f>
        <v>-221191.942056009</v>
      </c>
      <c r="CF24" s="5" t="n">
        <f aca="false">SUM(CF14:CF23)</f>
        <v>-221191.942056009</v>
      </c>
      <c r="CG24" s="5" t="n">
        <f aca="false">SUM(CG14:CG23)</f>
        <v>-221191.942056009</v>
      </c>
      <c r="CH24" s="5" t="n">
        <f aca="false">SUM(CH14:CH23)</f>
        <v>-221191.942056009</v>
      </c>
      <c r="CI24" s="5" t="n">
        <f aca="false">SUM(CI14:CI23)</f>
        <v>-226633.241242053</v>
      </c>
      <c r="CJ24" s="5" t="n">
        <f aca="false">SUM(CJ14:CJ23)</f>
        <v>-226633.241242053</v>
      </c>
      <c r="CK24" s="5" t="n">
        <f aca="false">SUM(CK14:CK23)</f>
        <v>-226633.241242053</v>
      </c>
      <c r="CL24" s="5" t="n">
        <f aca="false">SUM(CL14:CL23)</f>
        <v>-226633.241242053</v>
      </c>
      <c r="CM24" s="5" t="n">
        <f aca="false">SUM(CM14:CM23)</f>
        <v>-226633.241242053</v>
      </c>
      <c r="CN24" s="5" t="n">
        <f aca="false">SUM(CN14:CN23)</f>
        <v>-226633.241242053</v>
      </c>
      <c r="CO24" s="5" t="n">
        <f aca="false">SUM(CO14:CO23)</f>
        <v>-226633.241242053</v>
      </c>
      <c r="CP24" s="5" t="n">
        <f aca="false">SUM(CP14:CP23)</f>
        <v>-226633.241242053</v>
      </c>
      <c r="CQ24" s="5" t="n">
        <f aca="false">SUM(CQ14:CQ23)</f>
        <v>-226633.241242053</v>
      </c>
      <c r="CR24" s="5" t="n">
        <f aca="false">SUM(CR14:CR23)</f>
        <v>-226633.241242053</v>
      </c>
      <c r="CS24" s="5" t="n">
        <f aca="false">SUM(CS14:CS23)</f>
        <v>-226633.241242053</v>
      </c>
      <c r="CT24" s="5" t="n">
        <f aca="false">SUM(CT14:CT23)</f>
        <v>-226633.241242053</v>
      </c>
    </row>
    <row r="26" customFormat="false" ht="15" hidden="false" customHeight="false" outlineLevel="0" collapsed="false">
      <c r="B26" s="2" t="s">
        <v>166</v>
      </c>
      <c r="C26" s="5" t="n">
        <f aca="false">C12+C24</f>
        <v>-2500</v>
      </c>
      <c r="D26" s="5" t="n">
        <f aca="false">D12+D24</f>
        <v>-2500</v>
      </c>
      <c r="E26" s="5" t="n">
        <f aca="false">E12+E24</f>
        <v>-2500</v>
      </c>
      <c r="F26" s="5" t="n">
        <f aca="false">F12+F24</f>
        <v>-2500</v>
      </c>
      <c r="G26" s="5" t="n">
        <f aca="false">G12+G24</f>
        <v>-2500</v>
      </c>
      <c r="H26" s="5" t="n">
        <f aca="false">H12+H24</f>
        <v>-2500</v>
      </c>
      <c r="I26" s="5" t="n">
        <f aca="false">I12+I24</f>
        <v>-2500</v>
      </c>
      <c r="J26" s="5" t="n">
        <f aca="false">J12+J24</f>
        <v>-2500</v>
      </c>
      <c r="K26" s="5" t="n">
        <f aca="false">K12+K24</f>
        <v>-2500</v>
      </c>
      <c r="L26" s="5" t="n">
        <f aca="false">L12+L24</f>
        <v>-113140</v>
      </c>
      <c r="M26" s="5" t="n">
        <f aca="false">M12+M24</f>
        <v>-124672</v>
      </c>
      <c r="N26" s="5" t="n">
        <f aca="false">N12+N24</f>
        <v>-124672</v>
      </c>
      <c r="O26" s="5" t="n">
        <f aca="false">O12+O24</f>
        <v>-127726.3</v>
      </c>
      <c r="P26" s="5" t="n">
        <f aca="false">P12+P24</f>
        <v>-89486.541603602</v>
      </c>
      <c r="Q26" s="5" t="n">
        <f aca="false">Q12+Q24</f>
        <v>-51246.7832072041</v>
      </c>
      <c r="R26" s="5" t="n">
        <f aca="false">R12+R24</f>
        <v>-13007.0248108061</v>
      </c>
      <c r="S26" s="5" t="n">
        <f aca="false">S12+S24</f>
        <v>25232.7335855919</v>
      </c>
      <c r="T26" s="5" t="n">
        <f aca="false">T12+T24</f>
        <v>63472.4919819899</v>
      </c>
      <c r="U26" s="5" t="n">
        <f aca="false">U12+U24</f>
        <v>101712.250378388</v>
      </c>
      <c r="V26" s="5" t="n">
        <f aca="false">V12+V24</f>
        <v>139952.008774786</v>
      </c>
      <c r="W26" s="5" t="n">
        <f aca="false">W12+W24</f>
        <v>178191.767171184</v>
      </c>
      <c r="X26" s="5" t="n">
        <f aca="false">X12+X24</f>
        <v>184764.858900915</v>
      </c>
      <c r="Y26" s="5" t="n">
        <f aca="false">Y12+Y24</f>
        <v>223004.617297313</v>
      </c>
      <c r="Z26" s="5" t="n">
        <f aca="false">Z12+Z24</f>
        <v>261244.375693711</v>
      </c>
      <c r="AA26" s="5" t="n">
        <f aca="false">AA12+AA24</f>
        <v>304582.546081435</v>
      </c>
      <c r="AB26" s="5" t="n">
        <f aca="false">AB12+AB24</f>
        <v>343579.240824332</v>
      </c>
      <c r="AC26" s="5" t="n">
        <f aca="false">AC12+AC24</f>
        <v>344359.17471919</v>
      </c>
      <c r="AD26" s="5" t="n">
        <f aca="false">AD12+AD24</f>
        <v>344359.17471919</v>
      </c>
      <c r="AE26" s="5" t="n">
        <f aca="false">AE12+AE24</f>
        <v>344359.17471919</v>
      </c>
      <c r="AF26" s="5" t="n">
        <f aca="false">AF12+AF24</f>
        <v>344359.17471919</v>
      </c>
      <c r="AG26" s="5" t="n">
        <f aca="false">AG12+AG24</f>
        <v>344359.17471919</v>
      </c>
      <c r="AH26" s="5" t="n">
        <f aca="false">AH12+AH24</f>
        <v>344359.17471919</v>
      </c>
      <c r="AI26" s="5" t="n">
        <f aca="false">AI12+AI24</f>
        <v>344359.17471919</v>
      </c>
      <c r="AJ26" s="5" t="n">
        <f aca="false">AJ12+AJ24</f>
        <v>344359.17471919</v>
      </c>
      <c r="AK26" s="5" t="n">
        <f aca="false">AK12+AK24</f>
        <v>344359.17471919</v>
      </c>
      <c r="AL26" s="5" t="n">
        <f aca="false">AL12+AL24</f>
        <v>344359.17471919</v>
      </c>
      <c r="AM26" s="5" t="n">
        <f aca="false">AM12+AM24</f>
        <v>350324.589358032</v>
      </c>
      <c r="AN26" s="5" t="n">
        <f aca="false">AN12+AN24</f>
        <v>350324.589358032</v>
      </c>
      <c r="AO26" s="5" t="n">
        <f aca="false">AO12+AO24</f>
        <v>350324.589358032</v>
      </c>
      <c r="AP26" s="5" t="n">
        <f aca="false">AP12+AP24</f>
        <v>350324.589358032</v>
      </c>
      <c r="AQ26" s="5" t="n">
        <f aca="false">AQ12+AQ24</f>
        <v>350324.589358032</v>
      </c>
      <c r="AR26" s="5" t="n">
        <f aca="false">AR12+AR24</f>
        <v>350324.589358032</v>
      </c>
      <c r="AS26" s="5" t="n">
        <f aca="false">AS12+AS24</f>
        <v>350324.589358032</v>
      </c>
      <c r="AT26" s="5" t="n">
        <f aca="false">AT12+AT24</f>
        <v>350324.589358032</v>
      </c>
      <c r="AU26" s="5" t="n">
        <f aca="false">AU12+AU24</f>
        <v>350324.589358032</v>
      </c>
      <c r="AV26" s="5" t="n">
        <f aca="false">AV12+AV24</f>
        <v>350324.589358032</v>
      </c>
      <c r="AW26" s="5" t="n">
        <f aca="false">AW12+AW24</f>
        <v>350324.589358032</v>
      </c>
      <c r="AX26" s="5" t="n">
        <f aca="false">AX12+AX24</f>
        <v>350324.589358032</v>
      </c>
      <c r="AY26" s="5" t="n">
        <f aca="false">AY12+AY24</f>
        <v>356386.268068263</v>
      </c>
      <c r="AZ26" s="5" t="n">
        <f aca="false">AZ12+AZ24</f>
        <v>356386.268068263</v>
      </c>
      <c r="BA26" s="5" t="n">
        <f aca="false">BA12+BA24</f>
        <v>356386.268068263</v>
      </c>
      <c r="BB26" s="5" t="n">
        <f aca="false">BB12+BB24</f>
        <v>356386.268068263</v>
      </c>
      <c r="BC26" s="5" t="n">
        <f aca="false">BC12+BC24</f>
        <v>356386.268068263</v>
      </c>
      <c r="BD26" s="5" t="n">
        <f aca="false">BD12+BD24</f>
        <v>356386.268068263</v>
      </c>
      <c r="BE26" s="5" t="n">
        <f aca="false">BE12+BE24</f>
        <v>356386.268068263</v>
      </c>
      <c r="BF26" s="5" t="n">
        <f aca="false">BF12+BF24</f>
        <v>356386.268068263</v>
      </c>
      <c r="BG26" s="5" t="n">
        <f aca="false">BG12+BG24</f>
        <v>356386.268068263</v>
      </c>
      <c r="BH26" s="5" t="n">
        <f aca="false">BH12+BH24</f>
        <v>356386.268068263</v>
      </c>
      <c r="BI26" s="5" t="n">
        <f aca="false">BI12+BI24</f>
        <v>356386.268068263</v>
      </c>
      <c r="BJ26" s="5" t="n">
        <f aca="false">BJ12+BJ24</f>
        <v>356386.268068263</v>
      </c>
      <c r="BK26" s="5" t="n">
        <f aca="false">BK12+BK24</f>
        <v>362545.560025774</v>
      </c>
      <c r="BL26" s="5" t="n">
        <f aca="false">BL12+BL24</f>
        <v>362545.560025774</v>
      </c>
      <c r="BM26" s="5" t="n">
        <f aca="false">BM12+BM24</f>
        <v>362545.560025774</v>
      </c>
      <c r="BN26" s="5" t="n">
        <f aca="false">BN12+BN24</f>
        <v>362545.560025774</v>
      </c>
      <c r="BO26" s="5" t="n">
        <f aca="false">BO12+BO24</f>
        <v>362545.560025774</v>
      </c>
      <c r="BP26" s="5" t="n">
        <f aca="false">BP12+BP24</f>
        <v>362545.560025774</v>
      </c>
      <c r="BQ26" s="5" t="n">
        <f aca="false">BQ12+BQ24</f>
        <v>362545.560025774</v>
      </c>
      <c r="BR26" s="5" t="n">
        <f aca="false">BR12+BR24</f>
        <v>362545.560025774</v>
      </c>
      <c r="BS26" s="5" t="n">
        <f aca="false">BS12+BS24</f>
        <v>362545.560025774</v>
      </c>
      <c r="BT26" s="5" t="n">
        <f aca="false">BT12+BT24</f>
        <v>362545.560025774</v>
      </c>
      <c r="BU26" s="5" t="n">
        <f aca="false">BU12+BU24</f>
        <v>362545.560025774</v>
      </c>
      <c r="BV26" s="5" t="n">
        <f aca="false">BV12+BV24</f>
        <v>362545.560025774</v>
      </c>
      <c r="BW26" s="5" t="n">
        <f aca="false">BW12+BW24</f>
        <v>368803.82698734</v>
      </c>
      <c r="BX26" s="5" t="n">
        <f aca="false">BX12+BX24</f>
        <v>368803.82698734</v>
      </c>
      <c r="BY26" s="5" t="n">
        <f aca="false">BY12+BY24</f>
        <v>368803.82698734</v>
      </c>
      <c r="BZ26" s="5" t="n">
        <f aca="false">BZ12+BZ24</f>
        <v>368803.82698734</v>
      </c>
      <c r="CA26" s="5" t="n">
        <f aca="false">CA12+CA24</f>
        <v>368803.82698734</v>
      </c>
      <c r="CB26" s="5" t="n">
        <f aca="false">CB12+CB24</f>
        <v>368803.82698734</v>
      </c>
      <c r="CC26" s="5" t="n">
        <f aca="false">CC12+CC24</f>
        <v>368803.82698734</v>
      </c>
      <c r="CD26" s="5" t="n">
        <f aca="false">CD12+CD24</f>
        <v>368803.82698734</v>
      </c>
      <c r="CE26" s="5" t="n">
        <f aca="false">CE12+CE24</f>
        <v>368803.82698734</v>
      </c>
      <c r="CF26" s="5" t="n">
        <f aca="false">CF12+CF24</f>
        <v>368803.82698734</v>
      </c>
      <c r="CG26" s="5" t="n">
        <f aca="false">CG12+CG24</f>
        <v>368803.82698734</v>
      </c>
      <c r="CH26" s="5" t="n">
        <f aca="false">CH12+CH24</f>
        <v>368803.82698734</v>
      </c>
      <c r="CI26" s="5" t="n">
        <f aca="false">CI12+CI24</f>
        <v>375162.443182164</v>
      </c>
      <c r="CJ26" s="5" t="n">
        <f aca="false">CJ12+CJ24</f>
        <v>375162.443182164</v>
      </c>
      <c r="CK26" s="5" t="n">
        <f aca="false">CK12+CK24</f>
        <v>375162.443182164</v>
      </c>
      <c r="CL26" s="5" t="n">
        <f aca="false">CL12+CL24</f>
        <v>375162.443182164</v>
      </c>
      <c r="CM26" s="5" t="n">
        <f aca="false">CM12+CM24</f>
        <v>375162.443182164</v>
      </c>
      <c r="CN26" s="5" t="n">
        <f aca="false">CN12+CN24</f>
        <v>375162.443182164</v>
      </c>
      <c r="CO26" s="5" t="n">
        <f aca="false">CO12+CO24</f>
        <v>375162.443182164</v>
      </c>
      <c r="CP26" s="5" t="n">
        <f aca="false">CP12+CP24</f>
        <v>375162.443182164</v>
      </c>
      <c r="CQ26" s="5" t="n">
        <f aca="false">CQ12+CQ24</f>
        <v>375162.443182164</v>
      </c>
      <c r="CR26" s="5" t="n">
        <f aca="false">CR12+CR24</f>
        <v>375162.443182164</v>
      </c>
      <c r="CS26" s="5" t="n">
        <f aca="false">CS12+CS24</f>
        <v>375162.443182164</v>
      </c>
      <c r="CT26" s="5" t="n">
        <f aca="false">CT12+CT24</f>
        <v>375162.443182164</v>
      </c>
    </row>
    <row r="27" customFormat="false" ht="15" hidden="false" customHeight="false" outlineLevel="0" collapsed="false">
      <c r="B27" s="26" t="s">
        <v>167</v>
      </c>
      <c r="C27" s="5" t="n">
        <f aca="false">IF(C1&gt;=Inputs!$B$13,-(Inputs!$B$6*Inputs!$B$47/12)*(1+Inputs!$B$48)^(C3-1),0)</f>
        <v>0</v>
      </c>
      <c r="D27" s="5" t="n">
        <f aca="false">IF(D1&gt;=Inputs!$B$13,-(Inputs!$B$6*Inputs!$B$47/12)*(1+Inputs!$B$48)^(D3-1),0)</f>
        <v>0</v>
      </c>
      <c r="E27" s="5" t="n">
        <f aca="false">IF(E1&gt;=Inputs!$B$13,-(Inputs!$B$6*Inputs!$B$47/12)*(1+Inputs!$B$48)^(E3-1),0)</f>
        <v>0</v>
      </c>
      <c r="F27" s="5" t="n">
        <f aca="false">IF(F1&gt;=Inputs!$B$13,-(Inputs!$B$6*Inputs!$B$47/12)*(1+Inputs!$B$48)^(F3-1),0)</f>
        <v>0</v>
      </c>
      <c r="G27" s="5" t="n">
        <f aca="false">IF(G1&gt;=Inputs!$B$13,-(Inputs!$B$6*Inputs!$B$47/12)*(1+Inputs!$B$48)^(G3-1),0)</f>
        <v>0</v>
      </c>
      <c r="H27" s="5" t="n">
        <f aca="false">IF(H1&gt;=Inputs!$B$13,-(Inputs!$B$6*Inputs!$B$47/12)*(1+Inputs!$B$48)^(H3-1),0)</f>
        <v>0</v>
      </c>
      <c r="I27" s="5" t="n">
        <f aca="false">IF(I1&gt;=Inputs!$B$13,-(Inputs!$B$6*Inputs!$B$47/12)*(1+Inputs!$B$48)^(I3-1),0)</f>
        <v>0</v>
      </c>
      <c r="J27" s="5" t="n">
        <f aca="false">IF(J1&gt;=Inputs!$B$13,-(Inputs!$B$6*Inputs!$B$47/12)*(1+Inputs!$B$48)^(J3-1),0)</f>
        <v>0</v>
      </c>
      <c r="K27" s="5" t="n">
        <f aca="false">IF(K1&gt;=Inputs!$B$13,-(Inputs!$B$6*Inputs!$B$47/12)*(1+Inputs!$B$48)^(K3-1),0)</f>
        <v>0</v>
      </c>
      <c r="L27" s="5" t="n">
        <f aca="false">IF(L1&gt;=Inputs!$B$13,-(Inputs!$B$6*Inputs!$B$47/12)*(1+Inputs!$B$48)^(L3-1),0)</f>
        <v>0</v>
      </c>
      <c r="M27" s="5" t="n">
        <f aca="false">IF(M1&gt;=Inputs!$B$13,-(Inputs!$B$6*Inputs!$B$47/12)*(1+Inputs!$B$48)^(M3-1),0)</f>
        <v>0</v>
      </c>
      <c r="N27" s="5" t="n">
        <f aca="false">IF(N1&gt;=Inputs!$B$13,-(Inputs!$B$6*Inputs!$B$47/12)*(1+Inputs!$B$48)^(N3-1),0)</f>
        <v>0</v>
      </c>
      <c r="O27" s="5" t="n">
        <f aca="false">IF(O1&gt;=Inputs!$B$13,-(Inputs!$B$6*Inputs!$B$47/12)*(1+Inputs!$B$48)^(O3-1),0)</f>
        <v>0</v>
      </c>
      <c r="P27" s="5" t="n">
        <f aca="false">IF(P1&gt;=Inputs!$B$13,-(Inputs!$B$6*Inputs!$B$47/12)*(1+Inputs!$B$48)^(P3-1),0)</f>
        <v>0</v>
      </c>
      <c r="Q27" s="5" t="n">
        <f aca="false">IF(Q1&gt;=Inputs!$B$13,-(Inputs!$B$6*Inputs!$B$47/12)*(1+Inputs!$B$48)^(Q3-1),0)</f>
        <v>0</v>
      </c>
      <c r="R27" s="5" t="n">
        <f aca="false">IF(R1&gt;=Inputs!$B$13,-(Inputs!$B$6*Inputs!$B$47/12)*(1+Inputs!$B$48)^(R3-1),0)</f>
        <v>0</v>
      </c>
      <c r="S27" s="5" t="n">
        <f aca="false">IF(S1&gt;=Inputs!$B$13,-(Inputs!$B$6*Inputs!$B$47/12)*(1+Inputs!$B$48)^(S3-1),0)</f>
        <v>0</v>
      </c>
      <c r="T27" s="5" t="n">
        <f aca="false">IF(T1&gt;=Inputs!$B$13,-(Inputs!$B$6*Inputs!$B$47/12)*(1+Inputs!$B$48)^(T3-1),0)</f>
        <v>0</v>
      </c>
      <c r="U27" s="5" t="n">
        <f aca="false">IF(U1&gt;=Inputs!$B$13,-(Inputs!$B$6*Inputs!$B$47/12)*(1+Inputs!$B$48)^(U3-1),0)</f>
        <v>0</v>
      </c>
      <c r="V27" s="5" t="n">
        <f aca="false">IF(V1&gt;=Inputs!$B$13,-(Inputs!$B$6*Inputs!$B$47/12)*(1+Inputs!$B$48)^(V3-1),0)</f>
        <v>0</v>
      </c>
      <c r="W27" s="5" t="n">
        <f aca="false">IF(W1&gt;=Inputs!$B$13,-(Inputs!$B$6*Inputs!$B$47/12)*(1+Inputs!$B$48)^(W3-1),0)</f>
        <v>0</v>
      </c>
      <c r="X27" s="5" t="n">
        <f aca="false">IF(X1&gt;=Inputs!$B$13,-(Inputs!$B$6*Inputs!$B$47/12)*(1+Inputs!$B$48)^(X3-1),0)</f>
        <v>0</v>
      </c>
      <c r="Y27" s="5" t="n">
        <f aca="false">IF(Y1&gt;=Inputs!$B$13,-(Inputs!$B$6*Inputs!$B$47/12)*(1+Inputs!$B$48)^(Y3-1),0)</f>
        <v>0</v>
      </c>
      <c r="Z27" s="5" t="n">
        <f aca="false">IF(Z1&gt;=Inputs!$B$13,-(Inputs!$B$6*Inputs!$B$47/12)*(1+Inputs!$B$48)^(Z3-1),0)</f>
        <v>0</v>
      </c>
      <c r="AA27" s="5" t="n">
        <f aca="false">IF(AA1&gt;=Inputs!$B$13,-(Inputs!$B$6*Inputs!$B$47/12)*(1+Inputs!$B$48)^(AA3-1),0)</f>
        <v>0</v>
      </c>
      <c r="AB27" s="5" t="n">
        <f aca="false">IF(AB1&gt;=Inputs!$B$13,-(Inputs!$B$6*Inputs!$B$47/12)*(1+Inputs!$B$48)^(AB3-1),0)</f>
        <v>0</v>
      </c>
      <c r="AC27" s="5" t="n">
        <f aca="false">IF(AC1&gt;=Inputs!$B$13,-(Inputs!$B$6*Inputs!$B$47/12)*(1+Inputs!$B$48)^(AC3-1),0)</f>
        <v>0</v>
      </c>
      <c r="AD27" s="5" t="n">
        <f aca="false">IF(AD1&gt;=Inputs!$B$13,-(Inputs!$B$6*Inputs!$B$47/12)*(1+Inputs!$B$48)^(AD3-1),0)</f>
        <v>-6303.75</v>
      </c>
      <c r="AE27" s="5" t="n">
        <f aca="false">IF(AE1&gt;=Inputs!$B$13,-(Inputs!$B$6*Inputs!$B$47/12)*(1+Inputs!$B$48)^(AE3-1),0)</f>
        <v>-6303.75</v>
      </c>
      <c r="AF27" s="5" t="n">
        <f aca="false">IF(AF1&gt;=Inputs!$B$13,-(Inputs!$B$6*Inputs!$B$47/12)*(1+Inputs!$B$48)^(AF3-1),0)</f>
        <v>-6303.75</v>
      </c>
      <c r="AG27" s="5" t="n">
        <f aca="false">IF(AG1&gt;=Inputs!$B$13,-(Inputs!$B$6*Inputs!$B$47/12)*(1+Inputs!$B$48)^(AG3-1),0)</f>
        <v>-6303.75</v>
      </c>
      <c r="AH27" s="5" t="n">
        <f aca="false">IF(AH1&gt;=Inputs!$B$13,-(Inputs!$B$6*Inputs!$B$47/12)*(1+Inputs!$B$48)^(AH3-1),0)</f>
        <v>-6303.75</v>
      </c>
      <c r="AI27" s="5" t="n">
        <f aca="false">IF(AI1&gt;=Inputs!$B$13,-(Inputs!$B$6*Inputs!$B$47/12)*(1+Inputs!$B$48)^(AI3-1),0)</f>
        <v>-6303.75</v>
      </c>
      <c r="AJ27" s="5" t="n">
        <f aca="false">IF(AJ1&gt;=Inputs!$B$13,-(Inputs!$B$6*Inputs!$B$47/12)*(1+Inputs!$B$48)^(AJ3-1),0)</f>
        <v>-6303.75</v>
      </c>
      <c r="AK27" s="5" t="n">
        <f aca="false">IF(AK1&gt;=Inputs!$B$13,-(Inputs!$B$6*Inputs!$B$47/12)*(1+Inputs!$B$48)^(AK3-1),0)</f>
        <v>-6303.75</v>
      </c>
      <c r="AL27" s="5" t="n">
        <f aca="false">IF(AL1&gt;=Inputs!$B$13,-(Inputs!$B$6*Inputs!$B$47/12)*(1+Inputs!$B$48)^(AL3-1),0)</f>
        <v>-6303.75</v>
      </c>
      <c r="AM27" s="5" t="n">
        <f aca="false">IF(AM1&gt;=Inputs!$B$13,-(Inputs!$B$6*Inputs!$B$47/12)*(1+Inputs!$B$48)^(AM3-1),0)</f>
        <v>-6461.34375</v>
      </c>
      <c r="AN27" s="5" t="n">
        <f aca="false">IF(AN1&gt;=Inputs!$B$13,-(Inputs!$B$6*Inputs!$B$47/12)*(1+Inputs!$B$48)^(AN3-1),0)</f>
        <v>-6461.34375</v>
      </c>
      <c r="AO27" s="5" t="n">
        <f aca="false">IF(AO1&gt;=Inputs!$B$13,-(Inputs!$B$6*Inputs!$B$47/12)*(1+Inputs!$B$48)^(AO3-1),0)</f>
        <v>-6461.34375</v>
      </c>
      <c r="AP27" s="5" t="n">
        <f aca="false">IF(AP1&gt;=Inputs!$B$13,-(Inputs!$B$6*Inputs!$B$47/12)*(1+Inputs!$B$48)^(AP3-1),0)</f>
        <v>-6461.34375</v>
      </c>
      <c r="AQ27" s="5" t="n">
        <f aca="false">IF(AQ1&gt;=Inputs!$B$13,-(Inputs!$B$6*Inputs!$B$47/12)*(1+Inputs!$B$48)^(AQ3-1),0)</f>
        <v>-6461.34375</v>
      </c>
      <c r="AR27" s="5" t="n">
        <f aca="false">IF(AR1&gt;=Inputs!$B$13,-(Inputs!$B$6*Inputs!$B$47/12)*(1+Inputs!$B$48)^(AR3-1),0)</f>
        <v>-6461.34375</v>
      </c>
      <c r="AS27" s="5" t="n">
        <f aca="false">IF(AS1&gt;=Inputs!$B$13,-(Inputs!$B$6*Inputs!$B$47/12)*(1+Inputs!$B$48)^(AS3-1),0)</f>
        <v>-6461.34375</v>
      </c>
      <c r="AT27" s="5" t="n">
        <f aca="false">IF(AT1&gt;=Inputs!$B$13,-(Inputs!$B$6*Inputs!$B$47/12)*(1+Inputs!$B$48)^(AT3-1),0)</f>
        <v>-6461.34375</v>
      </c>
      <c r="AU27" s="5" t="n">
        <f aca="false">IF(AU1&gt;=Inputs!$B$13,-(Inputs!$B$6*Inputs!$B$47/12)*(1+Inputs!$B$48)^(AU3-1),0)</f>
        <v>-6461.34375</v>
      </c>
      <c r="AV27" s="5" t="n">
        <f aca="false">IF(AV1&gt;=Inputs!$B$13,-(Inputs!$B$6*Inputs!$B$47/12)*(1+Inputs!$B$48)^(AV3-1),0)</f>
        <v>-6461.34375</v>
      </c>
      <c r="AW27" s="5" t="n">
        <f aca="false">IF(AW1&gt;=Inputs!$B$13,-(Inputs!$B$6*Inputs!$B$47/12)*(1+Inputs!$B$48)^(AW3-1),0)</f>
        <v>-6461.34375</v>
      </c>
      <c r="AX27" s="5" t="n">
        <f aca="false">IF(AX1&gt;=Inputs!$B$13,-(Inputs!$B$6*Inputs!$B$47/12)*(1+Inputs!$B$48)^(AX3-1),0)</f>
        <v>-6461.34375</v>
      </c>
      <c r="AY27" s="5" t="n">
        <f aca="false">IF(AY1&gt;=Inputs!$B$13,-(Inputs!$B$6*Inputs!$B$47/12)*(1+Inputs!$B$48)^(AY3-1),0)</f>
        <v>-6622.87734375</v>
      </c>
      <c r="AZ27" s="5" t="n">
        <f aca="false">IF(AZ1&gt;=Inputs!$B$13,-(Inputs!$B$6*Inputs!$B$47/12)*(1+Inputs!$B$48)^(AZ3-1),0)</f>
        <v>-6622.87734375</v>
      </c>
      <c r="BA27" s="5" t="n">
        <f aca="false">IF(BA1&gt;=Inputs!$B$13,-(Inputs!$B$6*Inputs!$B$47/12)*(1+Inputs!$B$48)^(BA3-1),0)</f>
        <v>-6622.87734375</v>
      </c>
      <c r="BB27" s="5" t="n">
        <f aca="false">IF(BB1&gt;=Inputs!$B$13,-(Inputs!$B$6*Inputs!$B$47/12)*(1+Inputs!$B$48)^(BB3-1),0)</f>
        <v>-6622.87734375</v>
      </c>
      <c r="BC27" s="5" t="n">
        <f aca="false">IF(BC1&gt;=Inputs!$B$13,-(Inputs!$B$6*Inputs!$B$47/12)*(1+Inputs!$B$48)^(BC3-1),0)</f>
        <v>-6622.87734375</v>
      </c>
      <c r="BD27" s="5" t="n">
        <f aca="false">IF(BD1&gt;=Inputs!$B$13,-(Inputs!$B$6*Inputs!$B$47/12)*(1+Inputs!$B$48)^(BD3-1),0)</f>
        <v>-6622.87734375</v>
      </c>
      <c r="BE27" s="5" t="n">
        <f aca="false">IF(BE1&gt;=Inputs!$B$13,-(Inputs!$B$6*Inputs!$B$47/12)*(1+Inputs!$B$48)^(BE3-1),0)</f>
        <v>-6622.87734375</v>
      </c>
      <c r="BF27" s="5" t="n">
        <f aca="false">IF(BF1&gt;=Inputs!$B$13,-(Inputs!$B$6*Inputs!$B$47/12)*(1+Inputs!$B$48)^(BF3-1),0)</f>
        <v>-6622.87734375</v>
      </c>
      <c r="BG27" s="5" t="n">
        <f aca="false">IF(BG1&gt;=Inputs!$B$13,-(Inputs!$B$6*Inputs!$B$47/12)*(1+Inputs!$B$48)^(BG3-1),0)</f>
        <v>-6622.87734375</v>
      </c>
      <c r="BH27" s="5" t="n">
        <f aca="false">IF(BH1&gt;=Inputs!$B$13,-(Inputs!$B$6*Inputs!$B$47/12)*(1+Inputs!$B$48)^(BH3-1),0)</f>
        <v>-6622.87734375</v>
      </c>
      <c r="BI27" s="5" t="n">
        <f aca="false">IF(BI1&gt;=Inputs!$B$13,-(Inputs!$B$6*Inputs!$B$47/12)*(1+Inputs!$B$48)^(BI3-1),0)</f>
        <v>-6622.87734375</v>
      </c>
      <c r="BJ27" s="5" t="n">
        <f aca="false">IF(BJ1&gt;=Inputs!$B$13,-(Inputs!$B$6*Inputs!$B$47/12)*(1+Inputs!$B$48)^(BJ3-1),0)</f>
        <v>-6622.87734375</v>
      </c>
      <c r="BK27" s="5" t="n">
        <f aca="false">IF(BK1&gt;=Inputs!$B$13,-(Inputs!$B$6*Inputs!$B$47/12)*(1+Inputs!$B$48)^(BK3-1),0)</f>
        <v>-6788.44927734375</v>
      </c>
      <c r="BL27" s="5" t="n">
        <f aca="false">IF(BL1&gt;=Inputs!$B$13,-(Inputs!$B$6*Inputs!$B$47/12)*(1+Inputs!$B$48)^(BL3-1),0)</f>
        <v>-6788.44927734375</v>
      </c>
      <c r="BM27" s="5" t="n">
        <f aca="false">IF(BM1&gt;=Inputs!$B$13,-(Inputs!$B$6*Inputs!$B$47/12)*(1+Inputs!$B$48)^(BM3-1),0)</f>
        <v>-6788.44927734375</v>
      </c>
      <c r="BN27" s="5" t="n">
        <f aca="false">IF(BN1&gt;=Inputs!$B$13,-(Inputs!$B$6*Inputs!$B$47/12)*(1+Inputs!$B$48)^(BN3-1),0)</f>
        <v>-6788.44927734375</v>
      </c>
      <c r="BO27" s="5" t="n">
        <f aca="false">IF(BO1&gt;=Inputs!$B$13,-(Inputs!$B$6*Inputs!$B$47/12)*(1+Inputs!$B$48)^(BO3-1),0)</f>
        <v>-6788.44927734375</v>
      </c>
      <c r="BP27" s="5" t="n">
        <f aca="false">IF(BP1&gt;=Inputs!$B$13,-(Inputs!$B$6*Inputs!$B$47/12)*(1+Inputs!$B$48)^(BP3-1),0)</f>
        <v>-6788.44927734375</v>
      </c>
      <c r="BQ27" s="5" t="n">
        <f aca="false">IF(BQ1&gt;=Inputs!$B$13,-(Inputs!$B$6*Inputs!$B$47/12)*(1+Inputs!$B$48)^(BQ3-1),0)</f>
        <v>-6788.44927734375</v>
      </c>
      <c r="BR27" s="5" t="n">
        <f aca="false">IF(BR1&gt;=Inputs!$B$13,-(Inputs!$B$6*Inputs!$B$47/12)*(1+Inputs!$B$48)^(BR3-1),0)</f>
        <v>-6788.44927734375</v>
      </c>
      <c r="BS27" s="5" t="n">
        <f aca="false">IF(BS1&gt;=Inputs!$B$13,-(Inputs!$B$6*Inputs!$B$47/12)*(1+Inputs!$B$48)^(BS3-1),0)</f>
        <v>-6788.44927734375</v>
      </c>
      <c r="BT27" s="5" t="n">
        <f aca="false">IF(BT1&gt;=Inputs!$B$13,-(Inputs!$B$6*Inputs!$B$47/12)*(1+Inputs!$B$48)^(BT3-1),0)</f>
        <v>-6788.44927734375</v>
      </c>
      <c r="BU27" s="5" t="n">
        <f aca="false">IF(BU1&gt;=Inputs!$B$13,-(Inputs!$B$6*Inputs!$B$47/12)*(1+Inputs!$B$48)^(BU3-1),0)</f>
        <v>-6788.44927734375</v>
      </c>
      <c r="BV27" s="5" t="n">
        <f aca="false">IF(BV1&gt;=Inputs!$B$13,-(Inputs!$B$6*Inputs!$B$47/12)*(1+Inputs!$B$48)^(BV3-1),0)</f>
        <v>-6788.44927734375</v>
      </c>
      <c r="BW27" s="5" t="n">
        <f aca="false">IF(BW1&gt;=Inputs!$B$13,-(Inputs!$B$6*Inputs!$B$47/12)*(1+Inputs!$B$48)^(BW3-1),0)</f>
        <v>-6958.16050927734</v>
      </c>
      <c r="BX27" s="5" t="n">
        <f aca="false">IF(BX1&gt;=Inputs!$B$13,-(Inputs!$B$6*Inputs!$B$47/12)*(1+Inputs!$B$48)^(BX3-1),0)</f>
        <v>-6958.16050927734</v>
      </c>
      <c r="BY27" s="5" t="n">
        <f aca="false">IF(BY1&gt;=Inputs!$B$13,-(Inputs!$B$6*Inputs!$B$47/12)*(1+Inputs!$B$48)^(BY3-1),0)</f>
        <v>-6958.16050927734</v>
      </c>
      <c r="BZ27" s="5" t="n">
        <f aca="false">IF(BZ1&gt;=Inputs!$B$13,-(Inputs!$B$6*Inputs!$B$47/12)*(1+Inputs!$B$48)^(BZ3-1),0)</f>
        <v>-6958.16050927734</v>
      </c>
      <c r="CA27" s="5" t="n">
        <f aca="false">IF(CA1&gt;=Inputs!$B$13,-(Inputs!$B$6*Inputs!$B$47/12)*(1+Inputs!$B$48)^(CA3-1),0)</f>
        <v>-6958.16050927734</v>
      </c>
      <c r="CB27" s="5" t="n">
        <f aca="false">IF(CB1&gt;=Inputs!$B$13,-(Inputs!$B$6*Inputs!$B$47/12)*(1+Inputs!$B$48)^(CB3-1),0)</f>
        <v>-6958.16050927734</v>
      </c>
      <c r="CC27" s="5" t="n">
        <f aca="false">IF(CC1&gt;=Inputs!$B$13,-(Inputs!$B$6*Inputs!$B$47/12)*(1+Inputs!$B$48)^(CC3-1),0)</f>
        <v>-6958.16050927734</v>
      </c>
      <c r="CD27" s="5" t="n">
        <f aca="false">IF(CD1&gt;=Inputs!$B$13,-(Inputs!$B$6*Inputs!$B$47/12)*(1+Inputs!$B$48)^(CD3-1),0)</f>
        <v>-6958.16050927734</v>
      </c>
      <c r="CE27" s="5" t="n">
        <f aca="false">IF(CE1&gt;=Inputs!$B$13,-(Inputs!$B$6*Inputs!$B$47/12)*(1+Inputs!$B$48)^(CE3-1),0)</f>
        <v>-6958.16050927734</v>
      </c>
      <c r="CF27" s="5" t="n">
        <f aca="false">IF(CF1&gt;=Inputs!$B$13,-(Inputs!$B$6*Inputs!$B$47/12)*(1+Inputs!$B$48)^(CF3-1),0)</f>
        <v>-6958.16050927734</v>
      </c>
      <c r="CG27" s="5" t="n">
        <f aca="false">IF(CG1&gt;=Inputs!$B$13,-(Inputs!$B$6*Inputs!$B$47/12)*(1+Inputs!$B$48)^(CG3-1),0)</f>
        <v>-6958.16050927734</v>
      </c>
      <c r="CH27" s="5" t="n">
        <f aca="false">IF(CH1&gt;=Inputs!$B$13,-(Inputs!$B$6*Inputs!$B$47/12)*(1+Inputs!$B$48)^(CH3-1),0)</f>
        <v>-6958.16050927734</v>
      </c>
      <c r="CI27" s="5" t="n">
        <f aca="false">IF(CI1&gt;=Inputs!$B$13,-(Inputs!$B$6*Inputs!$B$47/12)*(1+Inputs!$B$48)^(CI3-1),0)</f>
        <v>-7132.11452200927</v>
      </c>
      <c r="CJ27" s="5" t="n">
        <f aca="false">IF(CJ1&gt;=Inputs!$B$13,-(Inputs!$B$6*Inputs!$B$47/12)*(1+Inputs!$B$48)^(CJ3-1),0)</f>
        <v>-7132.11452200927</v>
      </c>
      <c r="CK27" s="5" t="n">
        <f aca="false">IF(CK1&gt;=Inputs!$B$13,-(Inputs!$B$6*Inputs!$B$47/12)*(1+Inputs!$B$48)^(CK3-1),0)</f>
        <v>-7132.11452200927</v>
      </c>
      <c r="CL27" s="5" t="n">
        <f aca="false">IF(CL1&gt;=Inputs!$B$13,-(Inputs!$B$6*Inputs!$B$47/12)*(1+Inputs!$B$48)^(CL3-1),0)</f>
        <v>-7132.11452200927</v>
      </c>
      <c r="CM27" s="5" t="n">
        <f aca="false">IF(CM1&gt;=Inputs!$B$13,-(Inputs!$B$6*Inputs!$B$47/12)*(1+Inputs!$B$48)^(CM3-1),0)</f>
        <v>-7132.11452200927</v>
      </c>
      <c r="CN27" s="5" t="n">
        <f aca="false">IF(CN1&gt;=Inputs!$B$13,-(Inputs!$B$6*Inputs!$B$47/12)*(1+Inputs!$B$48)^(CN3-1),0)</f>
        <v>-7132.11452200927</v>
      </c>
      <c r="CO27" s="5" t="n">
        <f aca="false">IF(CO1&gt;=Inputs!$B$13,-(Inputs!$B$6*Inputs!$B$47/12)*(1+Inputs!$B$48)^(CO3-1),0)</f>
        <v>-7132.11452200927</v>
      </c>
      <c r="CP27" s="5" t="n">
        <f aca="false">IF(CP1&gt;=Inputs!$B$13,-(Inputs!$B$6*Inputs!$B$47/12)*(1+Inputs!$B$48)^(CP3-1),0)</f>
        <v>-7132.11452200927</v>
      </c>
      <c r="CQ27" s="5" t="n">
        <f aca="false">IF(CQ1&gt;=Inputs!$B$13,-(Inputs!$B$6*Inputs!$B$47/12)*(1+Inputs!$B$48)^(CQ3-1),0)</f>
        <v>-7132.11452200927</v>
      </c>
      <c r="CR27" s="5" t="n">
        <f aca="false">IF(CR1&gt;=Inputs!$B$13,-(Inputs!$B$6*Inputs!$B$47/12)*(1+Inputs!$B$48)^(CR3-1),0)</f>
        <v>-7132.11452200927</v>
      </c>
      <c r="CS27" s="5" t="n">
        <f aca="false">IF(CS1&gt;=Inputs!$B$13,-(Inputs!$B$6*Inputs!$B$47/12)*(1+Inputs!$B$48)^(CS3-1),0)</f>
        <v>-7132.11452200927</v>
      </c>
      <c r="CT27" s="5" t="n">
        <f aca="false">IF(CT1&gt;=Inputs!$B$13,-(Inputs!$B$6*Inputs!$B$47/12)*(1+Inputs!$B$48)^(CT3-1),0)</f>
        <v>-7132.11452200927</v>
      </c>
    </row>
    <row r="28" customFormat="false" ht="15" hidden="false" customHeight="false" outlineLevel="0" collapsed="false">
      <c r="B28" s="26" t="s">
        <v>168</v>
      </c>
      <c r="C28" s="5" t="n">
        <f aca="false">-MAX(C12,0)*Inputs!$B$46</f>
        <v>-0</v>
      </c>
      <c r="D28" s="5" t="n">
        <f aca="false">-MAX(D12,0)*Inputs!$B$46</f>
        <v>-0</v>
      </c>
      <c r="E28" s="5" t="n">
        <f aca="false">-MAX(E12,0)*Inputs!$B$46</f>
        <v>-0</v>
      </c>
      <c r="F28" s="5" t="n">
        <f aca="false">-MAX(F12,0)*Inputs!$B$46</f>
        <v>-0</v>
      </c>
      <c r="G28" s="5" t="n">
        <f aca="false">-MAX(G12,0)*Inputs!$B$46</f>
        <v>-0</v>
      </c>
      <c r="H28" s="5" t="n">
        <f aca="false">-MAX(H12,0)*Inputs!$B$46</f>
        <v>-0</v>
      </c>
      <c r="I28" s="5" t="n">
        <f aca="false">-MAX(I12,0)*Inputs!$B$46</f>
        <v>-0</v>
      </c>
      <c r="J28" s="5" t="n">
        <f aca="false">-MAX(J12,0)*Inputs!$B$46</f>
        <v>-0</v>
      </c>
      <c r="K28" s="5" t="n">
        <f aca="false">-MAX(K12,0)*Inputs!$B$46</f>
        <v>-0</v>
      </c>
      <c r="L28" s="5" t="n">
        <f aca="false">-MAX(L12,0)*Inputs!$B$46</f>
        <v>-0</v>
      </c>
      <c r="M28" s="5" t="n">
        <f aca="false">-MAX(M12,0)*Inputs!$B$46</f>
        <v>-0</v>
      </c>
      <c r="N28" s="5" t="n">
        <f aca="false">-MAX(N12,0)*Inputs!$B$46</f>
        <v>-0</v>
      </c>
      <c r="O28" s="5" t="n">
        <f aca="false">-MAX(O12,0)*Inputs!$B$46</f>
        <v>-0</v>
      </c>
      <c r="P28" s="5" t="n">
        <f aca="false">-MAX(P12,0)*Inputs!$B$46</f>
        <v>-410.428068887755</v>
      </c>
      <c r="Q28" s="5" t="n">
        <f aca="false">-MAX(Q12,0)*Inputs!$B$46</f>
        <v>-820.85613777551</v>
      </c>
      <c r="R28" s="5" t="n">
        <f aca="false">-MAX(R12,0)*Inputs!$B$46</f>
        <v>-1231.28420666327</v>
      </c>
      <c r="S28" s="5" t="n">
        <f aca="false">-MAX(S12,0)*Inputs!$B$46</f>
        <v>-1641.71227555102</v>
      </c>
      <c r="T28" s="5" t="n">
        <f aca="false">-MAX(T12,0)*Inputs!$B$46</f>
        <v>-2052.14034443878</v>
      </c>
      <c r="U28" s="5" t="n">
        <f aca="false">-MAX(U12,0)*Inputs!$B$46</f>
        <v>-2462.56841332653</v>
      </c>
      <c r="V28" s="5" t="n">
        <f aca="false">-MAX(V12,0)*Inputs!$B$46</f>
        <v>-2872.99648221429</v>
      </c>
      <c r="W28" s="5" t="n">
        <f aca="false">-MAX(W12,0)*Inputs!$B$46</f>
        <v>-3283.42455110204</v>
      </c>
      <c r="X28" s="5" t="n">
        <f aca="false">-MAX(X12,0)*Inputs!$B$46</f>
        <v>-3693.8526199898</v>
      </c>
      <c r="Y28" s="5" t="n">
        <f aca="false">-MAX(Y12,0)*Inputs!$B$46</f>
        <v>-4104.28068887755</v>
      </c>
      <c r="Z28" s="5" t="n">
        <f aca="false">-MAX(Z12,0)*Inputs!$B$46</f>
        <v>-4514.70875776531</v>
      </c>
      <c r="AA28" s="5" t="n">
        <f aca="false">-MAX(AA12,0)*Inputs!$B$46</f>
        <v>-5023.63956318612</v>
      </c>
      <c r="AB28" s="5" t="n">
        <f aca="false">-MAX(AB12,0)*Inputs!$B$46</f>
        <v>-5442.27619345163</v>
      </c>
      <c r="AC28" s="5" t="n">
        <f aca="false">-MAX(AC12,0)*Inputs!$B$46</f>
        <v>-5450.64892605694</v>
      </c>
      <c r="AD28" s="5" t="n">
        <f aca="false">-MAX(AD12,0)*Inputs!$B$46</f>
        <v>-5450.64892605694</v>
      </c>
      <c r="AE28" s="5" t="n">
        <f aca="false">-MAX(AE12,0)*Inputs!$B$46</f>
        <v>-5450.64892605694</v>
      </c>
      <c r="AF28" s="5" t="n">
        <f aca="false">-MAX(AF12,0)*Inputs!$B$46</f>
        <v>-5450.64892605694</v>
      </c>
      <c r="AG28" s="5" t="n">
        <f aca="false">-MAX(AG12,0)*Inputs!$B$46</f>
        <v>-5450.64892605694</v>
      </c>
      <c r="AH28" s="5" t="n">
        <f aca="false">-MAX(AH12,0)*Inputs!$B$46</f>
        <v>-5450.64892605694</v>
      </c>
      <c r="AI28" s="5" t="n">
        <f aca="false">-MAX(AI12,0)*Inputs!$B$46</f>
        <v>-5450.64892605694</v>
      </c>
      <c r="AJ28" s="5" t="n">
        <f aca="false">-MAX(AJ12,0)*Inputs!$B$46</f>
        <v>-5450.64892605694</v>
      </c>
      <c r="AK28" s="5" t="n">
        <f aca="false">-MAX(AK12,0)*Inputs!$B$46</f>
        <v>-5450.64892605694</v>
      </c>
      <c r="AL28" s="5" t="n">
        <f aca="false">-MAX(AL12,0)*Inputs!$B$46</f>
        <v>-5450.64892605694</v>
      </c>
      <c r="AM28" s="5" t="n">
        <f aca="false">-MAX(AM12,0)*Inputs!$B$46</f>
        <v>-5559.66190457808</v>
      </c>
      <c r="AN28" s="5" t="n">
        <f aca="false">-MAX(AN12,0)*Inputs!$B$46</f>
        <v>-5559.66190457808</v>
      </c>
      <c r="AO28" s="5" t="n">
        <f aca="false">-MAX(AO12,0)*Inputs!$B$46</f>
        <v>-5559.66190457808</v>
      </c>
      <c r="AP28" s="5" t="n">
        <f aca="false">-MAX(AP12,0)*Inputs!$B$46</f>
        <v>-5559.66190457808</v>
      </c>
      <c r="AQ28" s="5" t="n">
        <f aca="false">-MAX(AQ12,0)*Inputs!$B$46</f>
        <v>-5559.66190457808</v>
      </c>
      <c r="AR28" s="5" t="n">
        <f aca="false">-MAX(AR12,0)*Inputs!$B$46</f>
        <v>-5559.66190457808</v>
      </c>
      <c r="AS28" s="5" t="n">
        <f aca="false">-MAX(AS12,0)*Inputs!$B$46</f>
        <v>-5559.66190457808</v>
      </c>
      <c r="AT28" s="5" t="n">
        <f aca="false">-MAX(AT12,0)*Inputs!$B$46</f>
        <v>-5559.66190457808</v>
      </c>
      <c r="AU28" s="5" t="n">
        <f aca="false">-MAX(AU12,0)*Inputs!$B$46</f>
        <v>-5559.66190457808</v>
      </c>
      <c r="AV28" s="5" t="n">
        <f aca="false">-MAX(AV12,0)*Inputs!$B$46</f>
        <v>-5559.66190457808</v>
      </c>
      <c r="AW28" s="5" t="n">
        <f aca="false">-MAX(AW12,0)*Inputs!$B$46</f>
        <v>-5559.66190457808</v>
      </c>
      <c r="AX28" s="5" t="n">
        <f aca="false">-MAX(AX12,0)*Inputs!$B$46</f>
        <v>-5559.66190457808</v>
      </c>
      <c r="AY28" s="5" t="n">
        <f aca="false">-MAX(AY12,0)*Inputs!$B$46</f>
        <v>-5670.85514266964</v>
      </c>
      <c r="AZ28" s="5" t="n">
        <f aca="false">-MAX(AZ12,0)*Inputs!$B$46</f>
        <v>-5670.85514266964</v>
      </c>
      <c r="BA28" s="5" t="n">
        <f aca="false">-MAX(BA12,0)*Inputs!$B$46</f>
        <v>-5670.85514266964</v>
      </c>
      <c r="BB28" s="5" t="n">
        <f aca="false">-MAX(BB12,0)*Inputs!$B$46</f>
        <v>-5670.85514266964</v>
      </c>
      <c r="BC28" s="5" t="n">
        <f aca="false">-MAX(BC12,0)*Inputs!$B$46</f>
        <v>-5670.85514266964</v>
      </c>
      <c r="BD28" s="5" t="n">
        <f aca="false">-MAX(BD12,0)*Inputs!$B$46</f>
        <v>-5670.85514266964</v>
      </c>
      <c r="BE28" s="5" t="n">
        <f aca="false">-MAX(BE12,0)*Inputs!$B$46</f>
        <v>-5670.85514266964</v>
      </c>
      <c r="BF28" s="5" t="n">
        <f aca="false">-MAX(BF12,0)*Inputs!$B$46</f>
        <v>-5670.85514266964</v>
      </c>
      <c r="BG28" s="5" t="n">
        <f aca="false">-MAX(BG12,0)*Inputs!$B$46</f>
        <v>-5670.85514266964</v>
      </c>
      <c r="BH28" s="5" t="n">
        <f aca="false">-MAX(BH12,0)*Inputs!$B$46</f>
        <v>-5670.85514266964</v>
      </c>
      <c r="BI28" s="5" t="n">
        <f aca="false">-MAX(BI12,0)*Inputs!$B$46</f>
        <v>-5670.85514266964</v>
      </c>
      <c r="BJ28" s="5" t="n">
        <f aca="false">-MAX(BJ12,0)*Inputs!$B$46</f>
        <v>-5670.85514266964</v>
      </c>
      <c r="BK28" s="5" t="n">
        <f aca="false">-MAX(BK12,0)*Inputs!$B$46</f>
        <v>-5784.27224552303</v>
      </c>
      <c r="BL28" s="5" t="n">
        <f aca="false">-MAX(BL12,0)*Inputs!$B$46</f>
        <v>-5784.27224552303</v>
      </c>
      <c r="BM28" s="5" t="n">
        <f aca="false">-MAX(BM12,0)*Inputs!$B$46</f>
        <v>-5784.27224552303</v>
      </c>
      <c r="BN28" s="5" t="n">
        <f aca="false">-MAX(BN12,0)*Inputs!$B$46</f>
        <v>-5784.27224552303</v>
      </c>
      <c r="BO28" s="5" t="n">
        <f aca="false">-MAX(BO12,0)*Inputs!$B$46</f>
        <v>-5784.27224552303</v>
      </c>
      <c r="BP28" s="5" t="n">
        <f aca="false">-MAX(BP12,0)*Inputs!$B$46</f>
        <v>-5784.27224552303</v>
      </c>
      <c r="BQ28" s="5" t="n">
        <f aca="false">-MAX(BQ12,0)*Inputs!$B$46</f>
        <v>-5784.27224552303</v>
      </c>
      <c r="BR28" s="5" t="n">
        <f aca="false">-MAX(BR12,0)*Inputs!$B$46</f>
        <v>-5784.27224552303</v>
      </c>
      <c r="BS28" s="5" t="n">
        <f aca="false">-MAX(BS12,0)*Inputs!$B$46</f>
        <v>-5784.27224552303</v>
      </c>
      <c r="BT28" s="5" t="n">
        <f aca="false">-MAX(BT12,0)*Inputs!$B$46</f>
        <v>-5784.27224552303</v>
      </c>
      <c r="BU28" s="5" t="n">
        <f aca="false">-MAX(BU12,0)*Inputs!$B$46</f>
        <v>-5784.27224552303</v>
      </c>
      <c r="BV28" s="5" t="n">
        <f aca="false">-MAX(BV12,0)*Inputs!$B$46</f>
        <v>-5784.27224552303</v>
      </c>
      <c r="BW28" s="5" t="n">
        <f aca="false">-MAX(BW12,0)*Inputs!$B$46</f>
        <v>-5899.9576904335</v>
      </c>
      <c r="BX28" s="5" t="n">
        <f aca="false">-MAX(BX12,0)*Inputs!$B$46</f>
        <v>-5899.9576904335</v>
      </c>
      <c r="BY28" s="5" t="n">
        <f aca="false">-MAX(BY12,0)*Inputs!$B$46</f>
        <v>-5899.9576904335</v>
      </c>
      <c r="BZ28" s="5" t="n">
        <f aca="false">-MAX(BZ12,0)*Inputs!$B$46</f>
        <v>-5899.9576904335</v>
      </c>
      <c r="CA28" s="5" t="n">
        <f aca="false">-MAX(CA12,0)*Inputs!$B$46</f>
        <v>-5899.9576904335</v>
      </c>
      <c r="CB28" s="5" t="n">
        <f aca="false">-MAX(CB12,0)*Inputs!$B$46</f>
        <v>-5899.9576904335</v>
      </c>
      <c r="CC28" s="5" t="n">
        <f aca="false">-MAX(CC12,0)*Inputs!$B$46</f>
        <v>-5899.9576904335</v>
      </c>
      <c r="CD28" s="5" t="n">
        <f aca="false">-MAX(CD12,0)*Inputs!$B$46</f>
        <v>-5899.9576904335</v>
      </c>
      <c r="CE28" s="5" t="n">
        <f aca="false">-MAX(CE12,0)*Inputs!$B$46</f>
        <v>-5899.9576904335</v>
      </c>
      <c r="CF28" s="5" t="n">
        <f aca="false">-MAX(CF12,0)*Inputs!$B$46</f>
        <v>-5899.9576904335</v>
      </c>
      <c r="CG28" s="5" t="n">
        <f aca="false">-MAX(CG12,0)*Inputs!$B$46</f>
        <v>-5899.9576904335</v>
      </c>
      <c r="CH28" s="5" t="n">
        <f aca="false">-MAX(CH12,0)*Inputs!$B$46</f>
        <v>-5899.9576904335</v>
      </c>
      <c r="CI28" s="5" t="n">
        <f aca="false">-MAX(CI12,0)*Inputs!$B$46</f>
        <v>-6017.95684424217</v>
      </c>
      <c r="CJ28" s="5" t="n">
        <f aca="false">-MAX(CJ12,0)*Inputs!$B$46</f>
        <v>-6017.95684424217</v>
      </c>
      <c r="CK28" s="5" t="n">
        <f aca="false">-MAX(CK12,0)*Inputs!$B$46</f>
        <v>-6017.95684424217</v>
      </c>
      <c r="CL28" s="5" t="n">
        <f aca="false">-MAX(CL12,0)*Inputs!$B$46</f>
        <v>-6017.95684424217</v>
      </c>
      <c r="CM28" s="5" t="n">
        <f aca="false">-MAX(CM12,0)*Inputs!$B$46</f>
        <v>-6017.95684424217</v>
      </c>
      <c r="CN28" s="5" t="n">
        <f aca="false">-MAX(CN12,0)*Inputs!$B$46</f>
        <v>-6017.95684424217</v>
      </c>
      <c r="CO28" s="5" t="n">
        <f aca="false">-MAX(CO12,0)*Inputs!$B$46</f>
        <v>-6017.95684424217</v>
      </c>
      <c r="CP28" s="5" t="n">
        <f aca="false">-MAX(CP12,0)*Inputs!$B$46</f>
        <v>-6017.95684424217</v>
      </c>
      <c r="CQ28" s="5" t="n">
        <f aca="false">-MAX(CQ12,0)*Inputs!$B$46</f>
        <v>-6017.95684424217</v>
      </c>
      <c r="CR28" s="5" t="n">
        <f aca="false">-MAX(CR12,0)*Inputs!$B$46</f>
        <v>-6017.95684424217</v>
      </c>
      <c r="CS28" s="5" t="n">
        <f aca="false">-MAX(CS12,0)*Inputs!$B$46</f>
        <v>-6017.95684424217</v>
      </c>
      <c r="CT28" s="5" t="n">
        <f aca="false">-MAX(CT12,0)*Inputs!$B$46</f>
        <v>-6017.95684424217</v>
      </c>
    </row>
    <row r="29" customFormat="false" ht="15" hidden="false" customHeight="false" outlineLevel="0" collapsed="false">
      <c r="B29" s="2" t="s">
        <v>169</v>
      </c>
      <c r="C29" s="5" t="n">
        <f aca="false">C26+C27+C28</f>
        <v>-2500</v>
      </c>
      <c r="D29" s="5" t="n">
        <f aca="false">D26+D27+D28</f>
        <v>-2500</v>
      </c>
      <c r="E29" s="5" t="n">
        <f aca="false">E26+E27+E28</f>
        <v>-2500</v>
      </c>
      <c r="F29" s="5" t="n">
        <f aca="false">F26+F27+F28</f>
        <v>-2500</v>
      </c>
      <c r="G29" s="5" t="n">
        <f aca="false">G26+G27+G28</f>
        <v>-2500</v>
      </c>
      <c r="H29" s="5" t="n">
        <f aca="false">H26+H27+H28</f>
        <v>-2500</v>
      </c>
      <c r="I29" s="5" t="n">
        <f aca="false">I26+I27+I28</f>
        <v>-2500</v>
      </c>
      <c r="J29" s="5" t="n">
        <f aca="false">J26+J27+J28</f>
        <v>-2500</v>
      </c>
      <c r="K29" s="5" t="n">
        <f aca="false">K26+K27+K28</f>
        <v>-2500</v>
      </c>
      <c r="L29" s="5" t="n">
        <f aca="false">L26+L27+L28</f>
        <v>-113140</v>
      </c>
      <c r="M29" s="5" t="n">
        <f aca="false">M26+M27+M28</f>
        <v>-124672</v>
      </c>
      <c r="N29" s="5" t="n">
        <f aca="false">N26+N27+N28</f>
        <v>-124672</v>
      </c>
      <c r="O29" s="5" t="n">
        <f aca="false">O26+O27+O28</f>
        <v>-127726.3</v>
      </c>
      <c r="P29" s="5" t="n">
        <f aca="false">P26+P27+P28</f>
        <v>-89896.9696724898</v>
      </c>
      <c r="Q29" s="5" t="n">
        <f aca="false">Q26+Q27+Q28</f>
        <v>-52067.6393449796</v>
      </c>
      <c r="R29" s="5" t="n">
        <f aca="false">R26+R27+R28</f>
        <v>-14238.3090174694</v>
      </c>
      <c r="S29" s="5" t="n">
        <f aca="false">S26+S27+S28</f>
        <v>23591.0213100409</v>
      </c>
      <c r="T29" s="5" t="n">
        <f aca="false">T26+T27+T28</f>
        <v>61420.3516375511</v>
      </c>
      <c r="U29" s="5" t="n">
        <f aca="false">U26+U27+U28</f>
        <v>99249.6819650613</v>
      </c>
      <c r="V29" s="5" t="n">
        <f aca="false">V26+V27+V28</f>
        <v>137079.012292571</v>
      </c>
      <c r="W29" s="5" t="n">
        <f aca="false">W26+W27+W28</f>
        <v>174908.342620082</v>
      </c>
      <c r="X29" s="5" t="n">
        <f aca="false">X26+X27+X28</f>
        <v>181071.006280925</v>
      </c>
      <c r="Y29" s="5" t="n">
        <f aca="false">Y26+Y27+Y28</f>
        <v>218900.336608435</v>
      </c>
      <c r="Z29" s="5" t="n">
        <f aca="false">Z26+Z27+Z28</f>
        <v>256729.666935946</v>
      </c>
      <c r="AA29" s="5" t="n">
        <f aca="false">AA26+AA27+AA28</f>
        <v>299558.906518249</v>
      </c>
      <c r="AB29" s="5" t="n">
        <f aca="false">AB26+AB27+AB28</f>
        <v>338136.96463088</v>
      </c>
      <c r="AC29" s="5" t="n">
        <f aca="false">AC26+AC27+AC28</f>
        <v>338908.525793133</v>
      </c>
      <c r="AD29" s="5" t="n">
        <f aca="false">AD26+AD27+AD28</f>
        <v>332604.775793133</v>
      </c>
      <c r="AE29" s="5" t="n">
        <f aca="false">AE26+AE27+AE28</f>
        <v>332604.775793133</v>
      </c>
      <c r="AF29" s="5" t="n">
        <f aca="false">AF26+AF27+AF28</f>
        <v>332604.775793133</v>
      </c>
      <c r="AG29" s="5" t="n">
        <f aca="false">AG26+AG27+AG28</f>
        <v>332604.775793133</v>
      </c>
      <c r="AH29" s="5" t="n">
        <f aca="false">AH26+AH27+AH28</f>
        <v>332604.775793133</v>
      </c>
      <c r="AI29" s="5" t="n">
        <f aca="false">AI26+AI27+AI28</f>
        <v>332604.775793133</v>
      </c>
      <c r="AJ29" s="5" t="n">
        <f aca="false">AJ26+AJ27+AJ28</f>
        <v>332604.775793133</v>
      </c>
      <c r="AK29" s="5" t="n">
        <f aca="false">AK26+AK27+AK28</f>
        <v>332604.775793133</v>
      </c>
      <c r="AL29" s="5" t="n">
        <f aca="false">AL26+AL27+AL28</f>
        <v>332604.775793133</v>
      </c>
      <c r="AM29" s="5" t="n">
        <f aca="false">AM26+AM27+AM28</f>
        <v>338303.583703454</v>
      </c>
      <c r="AN29" s="5" t="n">
        <f aca="false">AN26+AN27+AN28</f>
        <v>338303.583703454</v>
      </c>
      <c r="AO29" s="5" t="n">
        <f aca="false">AO26+AO27+AO28</f>
        <v>338303.583703454</v>
      </c>
      <c r="AP29" s="5" t="n">
        <f aca="false">AP26+AP27+AP28</f>
        <v>338303.583703454</v>
      </c>
      <c r="AQ29" s="5" t="n">
        <f aca="false">AQ26+AQ27+AQ28</f>
        <v>338303.583703454</v>
      </c>
      <c r="AR29" s="5" t="n">
        <f aca="false">AR26+AR27+AR28</f>
        <v>338303.583703454</v>
      </c>
      <c r="AS29" s="5" t="n">
        <f aca="false">AS26+AS27+AS28</f>
        <v>338303.583703454</v>
      </c>
      <c r="AT29" s="5" t="n">
        <f aca="false">AT26+AT27+AT28</f>
        <v>338303.583703454</v>
      </c>
      <c r="AU29" s="5" t="n">
        <f aca="false">AU26+AU27+AU28</f>
        <v>338303.583703454</v>
      </c>
      <c r="AV29" s="5" t="n">
        <f aca="false">AV26+AV27+AV28</f>
        <v>338303.583703454</v>
      </c>
      <c r="AW29" s="5" t="n">
        <f aca="false">AW26+AW27+AW28</f>
        <v>338303.583703454</v>
      </c>
      <c r="AX29" s="5" t="n">
        <f aca="false">AX26+AX27+AX28</f>
        <v>338303.583703454</v>
      </c>
      <c r="AY29" s="5" t="n">
        <f aca="false">AY26+AY27+AY28</f>
        <v>344092.535581843</v>
      </c>
      <c r="AZ29" s="5" t="n">
        <f aca="false">AZ26+AZ27+AZ28</f>
        <v>344092.535581843</v>
      </c>
      <c r="BA29" s="5" t="n">
        <f aca="false">BA26+BA27+BA28</f>
        <v>344092.535581843</v>
      </c>
      <c r="BB29" s="5" t="n">
        <f aca="false">BB26+BB27+BB28</f>
        <v>344092.535581843</v>
      </c>
      <c r="BC29" s="5" t="n">
        <f aca="false">BC26+BC27+BC28</f>
        <v>344092.535581843</v>
      </c>
      <c r="BD29" s="5" t="n">
        <f aca="false">BD26+BD27+BD28</f>
        <v>344092.535581843</v>
      </c>
      <c r="BE29" s="5" t="n">
        <f aca="false">BE26+BE27+BE28</f>
        <v>344092.535581843</v>
      </c>
      <c r="BF29" s="5" t="n">
        <f aca="false">BF26+BF27+BF28</f>
        <v>344092.535581843</v>
      </c>
      <c r="BG29" s="5" t="n">
        <f aca="false">BG26+BG27+BG28</f>
        <v>344092.535581843</v>
      </c>
      <c r="BH29" s="5" t="n">
        <f aca="false">BH26+BH27+BH28</f>
        <v>344092.535581843</v>
      </c>
      <c r="BI29" s="5" t="n">
        <f aca="false">BI26+BI27+BI28</f>
        <v>344092.535581843</v>
      </c>
      <c r="BJ29" s="5" t="n">
        <f aca="false">BJ26+BJ27+BJ28</f>
        <v>344092.535581843</v>
      </c>
      <c r="BK29" s="5" t="n">
        <f aca="false">BK26+BK27+BK28</f>
        <v>349972.838502908</v>
      </c>
      <c r="BL29" s="5" t="n">
        <f aca="false">BL26+BL27+BL28</f>
        <v>349972.838502908</v>
      </c>
      <c r="BM29" s="5" t="n">
        <f aca="false">BM26+BM27+BM28</f>
        <v>349972.838502908</v>
      </c>
      <c r="BN29" s="5" t="n">
        <f aca="false">BN26+BN27+BN28</f>
        <v>349972.838502908</v>
      </c>
      <c r="BO29" s="5" t="n">
        <f aca="false">BO26+BO27+BO28</f>
        <v>349972.838502908</v>
      </c>
      <c r="BP29" s="5" t="n">
        <f aca="false">BP26+BP27+BP28</f>
        <v>349972.838502908</v>
      </c>
      <c r="BQ29" s="5" t="n">
        <f aca="false">BQ26+BQ27+BQ28</f>
        <v>349972.838502908</v>
      </c>
      <c r="BR29" s="5" t="n">
        <f aca="false">BR26+BR27+BR28</f>
        <v>349972.838502908</v>
      </c>
      <c r="BS29" s="5" t="n">
        <f aca="false">BS26+BS27+BS28</f>
        <v>349972.838502908</v>
      </c>
      <c r="BT29" s="5" t="n">
        <f aca="false">BT26+BT27+BT28</f>
        <v>349972.838502908</v>
      </c>
      <c r="BU29" s="5" t="n">
        <f aca="false">BU26+BU27+BU28</f>
        <v>349972.838502908</v>
      </c>
      <c r="BV29" s="5" t="n">
        <f aca="false">BV26+BV27+BV28</f>
        <v>349972.838502908</v>
      </c>
      <c r="BW29" s="5" t="n">
        <f aca="false">BW26+BW27+BW28</f>
        <v>355945.708787629</v>
      </c>
      <c r="BX29" s="5" t="n">
        <f aca="false">BX26+BX27+BX28</f>
        <v>355945.708787629</v>
      </c>
      <c r="BY29" s="5" t="n">
        <f aca="false">BY26+BY27+BY28</f>
        <v>355945.708787629</v>
      </c>
      <c r="BZ29" s="5" t="n">
        <f aca="false">BZ26+BZ27+BZ28</f>
        <v>355945.708787629</v>
      </c>
      <c r="CA29" s="5" t="n">
        <f aca="false">CA26+CA27+CA28</f>
        <v>355945.708787629</v>
      </c>
      <c r="CB29" s="5" t="n">
        <f aca="false">CB26+CB27+CB28</f>
        <v>355945.708787629</v>
      </c>
      <c r="CC29" s="5" t="n">
        <f aca="false">CC26+CC27+CC28</f>
        <v>355945.708787629</v>
      </c>
      <c r="CD29" s="5" t="n">
        <f aca="false">CD26+CD27+CD28</f>
        <v>355945.708787629</v>
      </c>
      <c r="CE29" s="5" t="n">
        <f aca="false">CE26+CE27+CE28</f>
        <v>355945.708787629</v>
      </c>
      <c r="CF29" s="5" t="n">
        <f aca="false">CF26+CF27+CF28</f>
        <v>355945.708787629</v>
      </c>
      <c r="CG29" s="5" t="n">
        <f aca="false">CG26+CG27+CG28</f>
        <v>355945.708787629</v>
      </c>
      <c r="CH29" s="5" t="n">
        <f aca="false">CH26+CH27+CH28</f>
        <v>355945.708787629</v>
      </c>
      <c r="CI29" s="5" t="n">
        <f aca="false">CI26+CI27+CI28</f>
        <v>362012.371815912</v>
      </c>
      <c r="CJ29" s="5" t="n">
        <f aca="false">CJ26+CJ27+CJ28</f>
        <v>362012.371815912</v>
      </c>
      <c r="CK29" s="5" t="n">
        <f aca="false">CK26+CK27+CK28</f>
        <v>362012.371815912</v>
      </c>
      <c r="CL29" s="5" t="n">
        <f aca="false">CL26+CL27+CL28</f>
        <v>362012.371815912</v>
      </c>
      <c r="CM29" s="5" t="n">
        <f aca="false">CM26+CM27+CM28</f>
        <v>362012.371815912</v>
      </c>
      <c r="CN29" s="5" t="n">
        <f aca="false">CN26+CN27+CN28</f>
        <v>362012.371815912</v>
      </c>
      <c r="CO29" s="5" t="n">
        <f aca="false">CO26+CO27+CO28</f>
        <v>362012.371815912</v>
      </c>
      <c r="CP29" s="5" t="n">
        <f aca="false">CP26+CP27+CP28</f>
        <v>362012.371815912</v>
      </c>
      <c r="CQ29" s="5" t="n">
        <f aca="false">CQ26+CQ27+CQ28</f>
        <v>362012.371815912</v>
      </c>
      <c r="CR29" s="5" t="n">
        <f aca="false">CR26+CR27+CR28</f>
        <v>362012.371815912</v>
      </c>
      <c r="CS29" s="5" t="n">
        <f aca="false">CS26+CS27+CS28</f>
        <v>362012.371815912</v>
      </c>
      <c r="CT29" s="5" t="n">
        <f aca="false">CT26+CT27+CT28</f>
        <v>362012.371815912</v>
      </c>
    </row>
    <row r="31" customFormat="false" ht="15" hidden="false" customHeight="false" outlineLevel="0" collapsed="false">
      <c r="B31" s="26" t="s">
        <v>170</v>
      </c>
      <c r="C31" s="5" t="n">
        <f aca="false">IF(C1=1,-(Inputs!$B$2+Inputs!$B$2*Inputs!$B$3),0)</f>
        <v>-6800625</v>
      </c>
      <c r="D31" s="5" t="n">
        <f aca="false">IF(D1=1,-(Inputs!$B$2+Inputs!$B$2*Inputs!$B$3),0)</f>
        <v>0</v>
      </c>
      <c r="E31" s="5" t="n">
        <f aca="false">IF(E1=1,-(Inputs!$B$2+Inputs!$B$2*Inputs!$B$3),0)</f>
        <v>0</v>
      </c>
      <c r="F31" s="5" t="n">
        <f aca="false">IF(F1=1,-(Inputs!$B$2+Inputs!$B$2*Inputs!$B$3),0)</f>
        <v>0</v>
      </c>
      <c r="G31" s="5" t="n">
        <f aca="false">IF(G1=1,-(Inputs!$B$2+Inputs!$B$2*Inputs!$B$3),0)</f>
        <v>0</v>
      </c>
      <c r="H31" s="5" t="n">
        <f aca="false">IF(H1=1,-(Inputs!$B$2+Inputs!$B$2*Inputs!$B$3),0)</f>
        <v>0</v>
      </c>
      <c r="I31" s="5" t="n">
        <f aca="false">IF(I1=1,-(Inputs!$B$2+Inputs!$B$2*Inputs!$B$3),0)</f>
        <v>0</v>
      </c>
      <c r="J31" s="5" t="n">
        <f aca="false">IF(J1=1,-(Inputs!$B$2+Inputs!$B$2*Inputs!$B$3),0)</f>
        <v>0</v>
      </c>
      <c r="K31" s="5" t="n">
        <f aca="false">IF(K1=1,-(Inputs!$B$2+Inputs!$B$2*Inputs!$B$3),0)</f>
        <v>0</v>
      </c>
      <c r="L31" s="5" t="n">
        <f aca="false">IF(L1=1,-(Inputs!$B$2+Inputs!$B$2*Inputs!$B$3),0)</f>
        <v>0</v>
      </c>
      <c r="M31" s="5" t="n">
        <f aca="false">IF(M1=1,-(Inputs!$B$2+Inputs!$B$2*Inputs!$B$3),0)</f>
        <v>0</v>
      </c>
      <c r="N31" s="5" t="n">
        <f aca="false">IF(N1=1,-(Inputs!$B$2+Inputs!$B$2*Inputs!$B$3),0)</f>
        <v>0</v>
      </c>
      <c r="O31" s="5" t="n">
        <f aca="false">IF(O1=1,-(Inputs!$B$2+Inputs!$B$2*Inputs!$B$3),0)</f>
        <v>0</v>
      </c>
      <c r="P31" s="5" t="n">
        <f aca="false">IF(P1=1,-(Inputs!$B$2+Inputs!$B$2*Inputs!$B$3),0)</f>
        <v>0</v>
      </c>
      <c r="Q31" s="5" t="n">
        <f aca="false">IF(Q1=1,-(Inputs!$B$2+Inputs!$B$2*Inputs!$B$3),0)</f>
        <v>0</v>
      </c>
      <c r="R31" s="5" t="n">
        <f aca="false">IF(R1=1,-(Inputs!$B$2+Inputs!$B$2*Inputs!$B$3),0)</f>
        <v>0</v>
      </c>
      <c r="S31" s="5" t="n">
        <f aca="false">IF(S1=1,-(Inputs!$B$2+Inputs!$B$2*Inputs!$B$3),0)</f>
        <v>0</v>
      </c>
      <c r="T31" s="5" t="n">
        <f aca="false">IF(T1=1,-(Inputs!$B$2+Inputs!$B$2*Inputs!$B$3),0)</f>
        <v>0</v>
      </c>
      <c r="U31" s="5" t="n">
        <f aca="false">IF(U1=1,-(Inputs!$B$2+Inputs!$B$2*Inputs!$B$3),0)</f>
        <v>0</v>
      </c>
      <c r="V31" s="5" t="n">
        <f aca="false">IF(V1=1,-(Inputs!$B$2+Inputs!$B$2*Inputs!$B$3),0)</f>
        <v>0</v>
      </c>
      <c r="W31" s="5" t="n">
        <f aca="false">IF(W1=1,-(Inputs!$B$2+Inputs!$B$2*Inputs!$B$3),0)</f>
        <v>0</v>
      </c>
      <c r="X31" s="5" t="n">
        <f aca="false">IF(X1=1,-(Inputs!$B$2+Inputs!$B$2*Inputs!$B$3),0)</f>
        <v>0</v>
      </c>
      <c r="Y31" s="5" t="n">
        <f aca="false">IF(Y1=1,-(Inputs!$B$2+Inputs!$B$2*Inputs!$B$3),0)</f>
        <v>0</v>
      </c>
      <c r="Z31" s="5" t="n">
        <f aca="false">IF(Z1=1,-(Inputs!$B$2+Inputs!$B$2*Inputs!$B$3),0)</f>
        <v>0</v>
      </c>
      <c r="AA31" s="5" t="n">
        <f aca="false">IF(AA1=1,-(Inputs!$B$2+Inputs!$B$2*Inputs!$B$3),0)</f>
        <v>0</v>
      </c>
      <c r="AB31" s="5" t="n">
        <f aca="false">IF(AB1=1,-(Inputs!$B$2+Inputs!$B$2*Inputs!$B$3),0)</f>
        <v>0</v>
      </c>
      <c r="AC31" s="5" t="n">
        <f aca="false">IF(AC1=1,-(Inputs!$B$2+Inputs!$B$2*Inputs!$B$3),0)</f>
        <v>0</v>
      </c>
      <c r="AD31" s="5" t="n">
        <f aca="false">IF(AD1=1,-(Inputs!$B$2+Inputs!$B$2*Inputs!$B$3),0)</f>
        <v>0</v>
      </c>
      <c r="AE31" s="5" t="n">
        <f aca="false">IF(AE1=1,-(Inputs!$B$2+Inputs!$B$2*Inputs!$B$3),0)</f>
        <v>0</v>
      </c>
      <c r="AF31" s="5" t="n">
        <f aca="false">IF(AF1=1,-(Inputs!$B$2+Inputs!$B$2*Inputs!$B$3),0)</f>
        <v>0</v>
      </c>
      <c r="AG31" s="5" t="n">
        <f aca="false">IF(AG1=1,-(Inputs!$B$2+Inputs!$B$2*Inputs!$B$3),0)</f>
        <v>0</v>
      </c>
      <c r="AH31" s="5" t="n">
        <f aca="false">IF(AH1=1,-(Inputs!$B$2+Inputs!$B$2*Inputs!$B$3),0)</f>
        <v>0</v>
      </c>
      <c r="AI31" s="5" t="n">
        <f aca="false">IF(AI1=1,-(Inputs!$B$2+Inputs!$B$2*Inputs!$B$3),0)</f>
        <v>0</v>
      </c>
      <c r="AJ31" s="5" t="n">
        <f aca="false">IF(AJ1=1,-(Inputs!$B$2+Inputs!$B$2*Inputs!$B$3),0)</f>
        <v>0</v>
      </c>
      <c r="AK31" s="5" t="n">
        <f aca="false">IF(AK1=1,-(Inputs!$B$2+Inputs!$B$2*Inputs!$B$3),0)</f>
        <v>0</v>
      </c>
      <c r="AL31" s="5" t="n">
        <f aca="false">IF(AL1=1,-(Inputs!$B$2+Inputs!$B$2*Inputs!$B$3),0)</f>
        <v>0</v>
      </c>
      <c r="AM31" s="5" t="n">
        <f aca="false">IF(AM1=1,-(Inputs!$B$2+Inputs!$B$2*Inputs!$B$3),0)</f>
        <v>0</v>
      </c>
      <c r="AN31" s="5" t="n">
        <f aca="false">IF(AN1=1,-(Inputs!$B$2+Inputs!$B$2*Inputs!$B$3),0)</f>
        <v>0</v>
      </c>
      <c r="AO31" s="5" t="n">
        <f aca="false">IF(AO1=1,-(Inputs!$B$2+Inputs!$B$2*Inputs!$B$3),0)</f>
        <v>0</v>
      </c>
      <c r="AP31" s="5" t="n">
        <f aca="false">IF(AP1=1,-(Inputs!$B$2+Inputs!$B$2*Inputs!$B$3),0)</f>
        <v>0</v>
      </c>
      <c r="AQ31" s="5" t="n">
        <f aca="false">IF(AQ1=1,-(Inputs!$B$2+Inputs!$B$2*Inputs!$B$3),0)</f>
        <v>0</v>
      </c>
      <c r="AR31" s="5" t="n">
        <f aca="false">IF(AR1=1,-(Inputs!$B$2+Inputs!$B$2*Inputs!$B$3),0)</f>
        <v>0</v>
      </c>
      <c r="AS31" s="5" t="n">
        <f aca="false">IF(AS1=1,-(Inputs!$B$2+Inputs!$B$2*Inputs!$B$3),0)</f>
        <v>0</v>
      </c>
      <c r="AT31" s="5" t="n">
        <f aca="false">IF(AT1=1,-(Inputs!$B$2+Inputs!$B$2*Inputs!$B$3),0)</f>
        <v>0</v>
      </c>
      <c r="AU31" s="5" t="n">
        <f aca="false">IF(AU1=1,-(Inputs!$B$2+Inputs!$B$2*Inputs!$B$3),0)</f>
        <v>0</v>
      </c>
      <c r="AV31" s="5" t="n">
        <f aca="false">IF(AV1=1,-(Inputs!$B$2+Inputs!$B$2*Inputs!$B$3),0)</f>
        <v>0</v>
      </c>
      <c r="AW31" s="5" t="n">
        <f aca="false">IF(AW1=1,-(Inputs!$B$2+Inputs!$B$2*Inputs!$B$3),0)</f>
        <v>0</v>
      </c>
      <c r="AX31" s="5" t="n">
        <f aca="false">IF(AX1=1,-(Inputs!$B$2+Inputs!$B$2*Inputs!$B$3),0)</f>
        <v>0</v>
      </c>
      <c r="AY31" s="5" t="n">
        <f aca="false">IF(AY1=1,-(Inputs!$B$2+Inputs!$B$2*Inputs!$B$3),0)</f>
        <v>0</v>
      </c>
      <c r="AZ31" s="5" t="n">
        <f aca="false">IF(AZ1=1,-(Inputs!$B$2+Inputs!$B$2*Inputs!$B$3),0)</f>
        <v>0</v>
      </c>
      <c r="BA31" s="5" t="n">
        <f aca="false">IF(BA1=1,-(Inputs!$B$2+Inputs!$B$2*Inputs!$B$3),0)</f>
        <v>0</v>
      </c>
      <c r="BB31" s="5" t="n">
        <f aca="false">IF(BB1=1,-(Inputs!$B$2+Inputs!$B$2*Inputs!$B$3),0)</f>
        <v>0</v>
      </c>
      <c r="BC31" s="5" t="n">
        <f aca="false">IF(BC1=1,-(Inputs!$B$2+Inputs!$B$2*Inputs!$B$3),0)</f>
        <v>0</v>
      </c>
      <c r="BD31" s="5" t="n">
        <f aca="false">IF(BD1=1,-(Inputs!$B$2+Inputs!$B$2*Inputs!$B$3),0)</f>
        <v>0</v>
      </c>
      <c r="BE31" s="5" t="n">
        <f aca="false">IF(BE1=1,-(Inputs!$B$2+Inputs!$B$2*Inputs!$B$3),0)</f>
        <v>0</v>
      </c>
      <c r="BF31" s="5" t="n">
        <f aca="false">IF(BF1=1,-(Inputs!$B$2+Inputs!$B$2*Inputs!$B$3),0)</f>
        <v>0</v>
      </c>
      <c r="BG31" s="5" t="n">
        <f aca="false">IF(BG1=1,-(Inputs!$B$2+Inputs!$B$2*Inputs!$B$3),0)</f>
        <v>0</v>
      </c>
      <c r="BH31" s="5" t="n">
        <f aca="false">IF(BH1=1,-(Inputs!$B$2+Inputs!$B$2*Inputs!$B$3),0)</f>
        <v>0</v>
      </c>
      <c r="BI31" s="5" t="n">
        <f aca="false">IF(BI1=1,-(Inputs!$B$2+Inputs!$B$2*Inputs!$B$3),0)</f>
        <v>0</v>
      </c>
      <c r="BJ31" s="5" t="n">
        <f aca="false">IF(BJ1=1,-(Inputs!$B$2+Inputs!$B$2*Inputs!$B$3),0)</f>
        <v>0</v>
      </c>
      <c r="BK31" s="5" t="n">
        <f aca="false">IF(BK1=1,-(Inputs!$B$2+Inputs!$B$2*Inputs!$B$3),0)</f>
        <v>0</v>
      </c>
      <c r="BL31" s="5" t="n">
        <f aca="false">IF(BL1=1,-(Inputs!$B$2+Inputs!$B$2*Inputs!$B$3),0)</f>
        <v>0</v>
      </c>
      <c r="BM31" s="5" t="n">
        <f aca="false">IF(BM1=1,-(Inputs!$B$2+Inputs!$B$2*Inputs!$B$3),0)</f>
        <v>0</v>
      </c>
      <c r="BN31" s="5" t="n">
        <f aca="false">IF(BN1=1,-(Inputs!$B$2+Inputs!$B$2*Inputs!$B$3),0)</f>
        <v>0</v>
      </c>
      <c r="BO31" s="5" t="n">
        <f aca="false">IF(BO1=1,-(Inputs!$B$2+Inputs!$B$2*Inputs!$B$3),0)</f>
        <v>0</v>
      </c>
      <c r="BP31" s="5" t="n">
        <f aca="false">IF(BP1=1,-(Inputs!$B$2+Inputs!$B$2*Inputs!$B$3),0)</f>
        <v>0</v>
      </c>
      <c r="BQ31" s="5" t="n">
        <f aca="false">IF(BQ1=1,-(Inputs!$B$2+Inputs!$B$2*Inputs!$B$3),0)</f>
        <v>0</v>
      </c>
      <c r="BR31" s="5" t="n">
        <f aca="false">IF(BR1=1,-(Inputs!$B$2+Inputs!$B$2*Inputs!$B$3),0)</f>
        <v>0</v>
      </c>
      <c r="BS31" s="5" t="n">
        <f aca="false">IF(BS1=1,-(Inputs!$B$2+Inputs!$B$2*Inputs!$B$3),0)</f>
        <v>0</v>
      </c>
      <c r="BT31" s="5" t="n">
        <f aca="false">IF(BT1=1,-(Inputs!$B$2+Inputs!$B$2*Inputs!$B$3),0)</f>
        <v>0</v>
      </c>
      <c r="BU31" s="5" t="n">
        <f aca="false">IF(BU1=1,-(Inputs!$B$2+Inputs!$B$2*Inputs!$B$3),0)</f>
        <v>0</v>
      </c>
      <c r="BV31" s="5" t="n">
        <f aca="false">IF(BV1=1,-(Inputs!$B$2+Inputs!$B$2*Inputs!$B$3),0)</f>
        <v>0</v>
      </c>
      <c r="BW31" s="5" t="n">
        <f aca="false">IF(BW1=1,-(Inputs!$B$2+Inputs!$B$2*Inputs!$B$3),0)</f>
        <v>0</v>
      </c>
      <c r="BX31" s="5" t="n">
        <f aca="false">IF(BX1=1,-(Inputs!$B$2+Inputs!$B$2*Inputs!$B$3),0)</f>
        <v>0</v>
      </c>
      <c r="BY31" s="5" t="n">
        <f aca="false">IF(BY1=1,-(Inputs!$B$2+Inputs!$B$2*Inputs!$B$3),0)</f>
        <v>0</v>
      </c>
      <c r="BZ31" s="5" t="n">
        <f aca="false">IF(BZ1=1,-(Inputs!$B$2+Inputs!$B$2*Inputs!$B$3),0)</f>
        <v>0</v>
      </c>
      <c r="CA31" s="5" t="n">
        <f aca="false">IF(CA1=1,-(Inputs!$B$2+Inputs!$B$2*Inputs!$B$3),0)</f>
        <v>0</v>
      </c>
      <c r="CB31" s="5" t="n">
        <f aca="false">IF(CB1=1,-(Inputs!$B$2+Inputs!$B$2*Inputs!$B$3),0)</f>
        <v>0</v>
      </c>
      <c r="CC31" s="5" t="n">
        <f aca="false">IF(CC1=1,-(Inputs!$B$2+Inputs!$B$2*Inputs!$B$3),0)</f>
        <v>0</v>
      </c>
      <c r="CD31" s="5" t="n">
        <f aca="false">IF(CD1=1,-(Inputs!$B$2+Inputs!$B$2*Inputs!$B$3),0)</f>
        <v>0</v>
      </c>
      <c r="CE31" s="5" t="n">
        <f aca="false">IF(CE1=1,-(Inputs!$B$2+Inputs!$B$2*Inputs!$B$3),0)</f>
        <v>0</v>
      </c>
      <c r="CF31" s="5" t="n">
        <f aca="false">IF(CF1=1,-(Inputs!$B$2+Inputs!$B$2*Inputs!$B$3),0)</f>
        <v>0</v>
      </c>
      <c r="CG31" s="5" t="n">
        <f aca="false">IF(CG1=1,-(Inputs!$B$2+Inputs!$B$2*Inputs!$B$3),0)</f>
        <v>0</v>
      </c>
      <c r="CH31" s="5" t="n">
        <f aca="false">IF(CH1=1,-(Inputs!$B$2+Inputs!$B$2*Inputs!$B$3),0)</f>
        <v>0</v>
      </c>
      <c r="CI31" s="5" t="n">
        <f aca="false">IF(CI1=1,-(Inputs!$B$2+Inputs!$B$2*Inputs!$B$3),0)</f>
        <v>0</v>
      </c>
      <c r="CJ31" s="5" t="n">
        <f aca="false">IF(CJ1=1,-(Inputs!$B$2+Inputs!$B$2*Inputs!$B$3),0)</f>
        <v>0</v>
      </c>
      <c r="CK31" s="5" t="n">
        <f aca="false">IF(CK1=1,-(Inputs!$B$2+Inputs!$B$2*Inputs!$B$3),0)</f>
        <v>0</v>
      </c>
      <c r="CL31" s="5" t="n">
        <f aca="false">IF(CL1=1,-(Inputs!$B$2+Inputs!$B$2*Inputs!$B$3),0)</f>
        <v>0</v>
      </c>
      <c r="CM31" s="5" t="n">
        <f aca="false">IF(CM1=1,-(Inputs!$B$2+Inputs!$B$2*Inputs!$B$3),0)</f>
        <v>0</v>
      </c>
      <c r="CN31" s="5" t="n">
        <f aca="false">IF(CN1=1,-(Inputs!$B$2+Inputs!$B$2*Inputs!$B$3),0)</f>
        <v>0</v>
      </c>
      <c r="CO31" s="5" t="n">
        <f aca="false">IF(CO1=1,-(Inputs!$B$2+Inputs!$B$2*Inputs!$B$3),0)</f>
        <v>0</v>
      </c>
      <c r="CP31" s="5" t="n">
        <f aca="false">IF(CP1=1,-(Inputs!$B$2+Inputs!$B$2*Inputs!$B$3),0)</f>
        <v>0</v>
      </c>
      <c r="CQ31" s="5" t="n">
        <f aca="false">IF(CQ1=1,-(Inputs!$B$2+Inputs!$B$2*Inputs!$B$3),0)</f>
        <v>0</v>
      </c>
      <c r="CR31" s="5" t="n">
        <f aca="false">IF(CR1=1,-(Inputs!$B$2+Inputs!$B$2*Inputs!$B$3),0)</f>
        <v>0</v>
      </c>
      <c r="CS31" s="5" t="n">
        <f aca="false">IF(CS1=1,-(Inputs!$B$2+Inputs!$B$2*Inputs!$B$3),0)</f>
        <v>0</v>
      </c>
      <c r="CT31" s="5" t="n">
        <f aca="false">IF(CT1=1,-(Inputs!$B$2+Inputs!$B$2*Inputs!$B$3),0)</f>
        <v>0</v>
      </c>
    </row>
    <row r="32" customFormat="false" ht="15" hidden="false" customHeight="false" outlineLevel="0" collapsed="false">
      <c r="B32" s="26" t="s">
        <v>171</v>
      </c>
      <c r="C32" s="5" t="n">
        <f aca="false">-'Construction Budget'!F33</f>
        <v>-195800</v>
      </c>
      <c r="D32" s="5" t="n">
        <f aca="false">-'Construction Budget'!G33</f>
        <v>-986005.982457879</v>
      </c>
      <c r="E32" s="5" t="n">
        <f aca="false">-'Construction Budget'!H33</f>
        <v>-1252709.31968563</v>
      </c>
      <c r="F32" s="5" t="n">
        <f aca="false">-'Construction Budget'!I33</f>
        <v>-1556349.0178664</v>
      </c>
      <c r="G32" s="5" t="n">
        <f aca="false">-'Construction Budget'!J33</f>
        <v>-1888585.47650877</v>
      </c>
      <c r="H32" s="5" t="n">
        <f aca="false">-'Construction Budget'!K33</f>
        <v>-2236411.48401816</v>
      </c>
      <c r="I32" s="5" t="n">
        <f aca="false">-'Construction Budget'!L33</f>
        <v>-2582627.92185996</v>
      </c>
      <c r="J32" s="5" t="n">
        <f aca="false">-'Construction Budget'!M33</f>
        <v>-2907044.85539308</v>
      </c>
      <c r="K32" s="5" t="n">
        <f aca="false">-'Construction Budget'!N33</f>
        <v>-3188338.30204985</v>
      </c>
      <c r="L32" s="5" t="n">
        <f aca="false">-'Construction Budget'!O33</f>
        <v>-3406346.76305901</v>
      </c>
      <c r="M32" s="5" t="n">
        <f aca="false">-'Construction Budget'!P33</f>
        <v>-3544471.40636586</v>
      </c>
      <c r="N32" s="5" t="n">
        <f aca="false">-'Construction Budget'!Q33</f>
        <v>-3591784.20426299</v>
      </c>
      <c r="O32" s="5" t="n">
        <f aca="false">-'Construction Budget'!R33</f>
        <v>-3544471.40636586</v>
      </c>
      <c r="P32" s="5" t="n">
        <f aca="false">-'Construction Budget'!S33</f>
        <v>-3406346.76305901</v>
      </c>
      <c r="Q32" s="5" t="n">
        <f aca="false">-'Construction Budget'!T33</f>
        <v>-3188338.30204985</v>
      </c>
      <c r="R32" s="5" t="n">
        <f aca="false">-'Construction Budget'!U33</f>
        <v>-2907044.85539308</v>
      </c>
      <c r="S32" s="5" t="n">
        <f aca="false">-'Construction Budget'!V33</f>
        <v>-2582627.92185996</v>
      </c>
      <c r="T32" s="5" t="n">
        <f aca="false">-'Construction Budget'!W33</f>
        <v>-2236411.48401816</v>
      </c>
      <c r="U32" s="5" t="n">
        <f aca="false">-'Construction Budget'!X33</f>
        <v>-1888585.47650877</v>
      </c>
      <c r="V32" s="5" t="n">
        <f aca="false">-'Construction Budget'!Y33</f>
        <v>-1556349.0178664</v>
      </c>
      <c r="W32" s="5" t="n">
        <f aca="false">-'Construction Budget'!Z33</f>
        <v>-1252709.31968563</v>
      </c>
      <c r="X32" s="5" t="n">
        <f aca="false">-'Construction Budget'!AA33</f>
        <v>-0</v>
      </c>
      <c r="Y32" s="5" t="n">
        <f aca="false">-'Construction Budget'!AB33</f>
        <v>-0</v>
      </c>
      <c r="Z32" s="5" t="n">
        <f aca="false">-'Construction Budget'!AC33</f>
        <v>-0</v>
      </c>
      <c r="AA32" s="5" t="n">
        <f aca="false">-'Construction Budget'!AD33</f>
        <v>-0</v>
      </c>
      <c r="AB32" s="5" t="n">
        <f aca="false">-'Construction Budget'!AE33</f>
        <v>-0</v>
      </c>
      <c r="AC32" s="5" t="n">
        <f aca="false">-'Construction Budget'!AF33</f>
        <v>-0</v>
      </c>
      <c r="AD32" s="5" t="n">
        <f aca="false">-'Construction Budget'!AG33</f>
        <v>-0</v>
      </c>
      <c r="AE32" s="5" t="n">
        <f aca="false">-'Construction Budget'!AH33</f>
        <v>-0</v>
      </c>
      <c r="AF32" s="5" t="n">
        <f aca="false">-'Construction Budget'!AI33</f>
        <v>-0</v>
      </c>
      <c r="AG32" s="5" t="n">
        <f aca="false">-'Construction Budget'!AJ33</f>
        <v>-0</v>
      </c>
      <c r="AH32" s="5" t="n">
        <f aca="false">-'Construction Budget'!AK33</f>
        <v>-0</v>
      </c>
      <c r="AI32" s="5" t="n">
        <f aca="false">-'Construction Budget'!AL33</f>
        <v>-0</v>
      </c>
      <c r="AJ32" s="5" t="n">
        <f aca="false">-'Construction Budget'!AM33</f>
        <v>-0</v>
      </c>
      <c r="AK32" s="5" t="n">
        <f aca="false">-'Construction Budget'!AN33</f>
        <v>-0</v>
      </c>
      <c r="AL32" s="5" t="n">
        <f aca="false">-'Construction Budget'!AO33</f>
        <v>-0</v>
      </c>
      <c r="AM32" s="5" t="n">
        <f aca="false">-'Construction Budget'!AP33</f>
        <v>-0</v>
      </c>
      <c r="AN32" s="5" t="n">
        <f aca="false">-'Construction Budget'!AQ33</f>
        <v>-0</v>
      </c>
      <c r="AO32" s="5" t="n">
        <f aca="false">-'Construction Budget'!AR33</f>
        <v>-0</v>
      </c>
      <c r="AP32" s="5" t="n">
        <f aca="false">-'Construction Budget'!AS33</f>
        <v>-0</v>
      </c>
      <c r="AQ32" s="5" t="n">
        <f aca="false">-'Construction Budget'!AT33</f>
        <v>-0</v>
      </c>
      <c r="AR32" s="5" t="n">
        <f aca="false">-'Construction Budget'!AU33</f>
        <v>-0</v>
      </c>
      <c r="AS32" s="5" t="n">
        <f aca="false">-'Construction Budget'!AV33</f>
        <v>-0</v>
      </c>
      <c r="AT32" s="5" t="n">
        <f aca="false">-'Construction Budget'!AW33</f>
        <v>-0</v>
      </c>
      <c r="AU32" s="5" t="n">
        <f aca="false">-'Construction Budget'!AX33</f>
        <v>-0</v>
      </c>
      <c r="AV32" s="5" t="n">
        <f aca="false">-'Construction Budget'!AY33</f>
        <v>-0</v>
      </c>
      <c r="AW32" s="5" t="n">
        <f aca="false">-'Construction Budget'!AZ33</f>
        <v>-0</v>
      </c>
      <c r="AX32" s="5" t="n">
        <f aca="false">-'Construction Budget'!BA33</f>
        <v>-0</v>
      </c>
      <c r="AY32" s="5" t="n">
        <f aca="false">-'Construction Budget'!BB33</f>
        <v>-0</v>
      </c>
      <c r="AZ32" s="5" t="n">
        <f aca="false">-'Construction Budget'!BC33</f>
        <v>-0</v>
      </c>
      <c r="BA32" s="5" t="n">
        <f aca="false">-'Construction Budget'!BD33</f>
        <v>-0</v>
      </c>
      <c r="BB32" s="5" t="n">
        <f aca="false">-'Construction Budget'!BE33</f>
        <v>-0</v>
      </c>
      <c r="BC32" s="5" t="n">
        <f aca="false">-'Construction Budget'!BF33</f>
        <v>-0</v>
      </c>
      <c r="BD32" s="5" t="n">
        <f aca="false">-'Construction Budget'!BG33</f>
        <v>-0</v>
      </c>
      <c r="BE32" s="5" t="n">
        <f aca="false">-'Construction Budget'!BH33</f>
        <v>-0</v>
      </c>
      <c r="BF32" s="5" t="n">
        <f aca="false">-'Construction Budget'!BI33</f>
        <v>-0</v>
      </c>
      <c r="BG32" s="5" t="n">
        <f aca="false">-'Construction Budget'!BJ33</f>
        <v>-0</v>
      </c>
      <c r="BH32" s="5" t="n">
        <f aca="false">-'Construction Budget'!BK33</f>
        <v>-0</v>
      </c>
      <c r="BI32" s="5" t="n">
        <f aca="false">-'Construction Budget'!BL33</f>
        <v>-0</v>
      </c>
      <c r="BJ32" s="5" t="n">
        <f aca="false">-'Construction Budget'!BM33</f>
        <v>-0</v>
      </c>
      <c r="BK32" s="5" t="n">
        <f aca="false">-'Construction Budget'!BN33</f>
        <v>-0</v>
      </c>
      <c r="BL32" s="5" t="n">
        <f aca="false">-'Construction Budget'!BO33</f>
        <v>-0</v>
      </c>
      <c r="BM32" s="5" t="n">
        <f aca="false">-'Construction Budget'!BP33</f>
        <v>-0</v>
      </c>
      <c r="BN32" s="5" t="n">
        <f aca="false">-'Construction Budget'!BQ33</f>
        <v>-0</v>
      </c>
      <c r="BO32" s="5" t="n">
        <f aca="false">-'Construction Budget'!BR33</f>
        <v>-0</v>
      </c>
      <c r="BP32" s="5" t="n">
        <f aca="false">-'Construction Budget'!BS33</f>
        <v>-0</v>
      </c>
      <c r="BQ32" s="5" t="n">
        <f aca="false">-'Construction Budget'!BT33</f>
        <v>-0</v>
      </c>
      <c r="BR32" s="5" t="n">
        <f aca="false">-'Construction Budget'!BU33</f>
        <v>-0</v>
      </c>
      <c r="BS32" s="5" t="n">
        <f aca="false">-'Construction Budget'!BV33</f>
        <v>-0</v>
      </c>
      <c r="BT32" s="5" t="n">
        <f aca="false">-'Construction Budget'!BW33</f>
        <v>-0</v>
      </c>
      <c r="BU32" s="5" t="n">
        <f aca="false">-'Construction Budget'!BX33</f>
        <v>-0</v>
      </c>
      <c r="BV32" s="5" t="n">
        <f aca="false">-'Construction Budget'!BY33</f>
        <v>-0</v>
      </c>
      <c r="BW32" s="5" t="n">
        <f aca="false">-'Construction Budget'!BZ33</f>
        <v>-0</v>
      </c>
      <c r="BX32" s="5" t="n">
        <f aca="false">-'Construction Budget'!CA33</f>
        <v>-0</v>
      </c>
      <c r="BY32" s="5" t="n">
        <f aca="false">-'Construction Budget'!CB33</f>
        <v>-0</v>
      </c>
      <c r="BZ32" s="5" t="n">
        <f aca="false">-'Construction Budget'!CC33</f>
        <v>-0</v>
      </c>
      <c r="CA32" s="5" t="n">
        <f aca="false">-'Construction Budget'!CD33</f>
        <v>-0</v>
      </c>
      <c r="CB32" s="5" t="n">
        <f aca="false">-'Construction Budget'!CE33</f>
        <v>-0</v>
      </c>
      <c r="CC32" s="5" t="n">
        <f aca="false">-'Construction Budget'!CF33</f>
        <v>-0</v>
      </c>
      <c r="CD32" s="5" t="n">
        <f aca="false">-'Construction Budget'!CG33</f>
        <v>-0</v>
      </c>
      <c r="CE32" s="5" t="n">
        <f aca="false">-'Construction Budget'!CH33</f>
        <v>-0</v>
      </c>
      <c r="CF32" s="5" t="n">
        <f aca="false">-'Construction Budget'!CI33</f>
        <v>-0</v>
      </c>
      <c r="CG32" s="5" t="n">
        <f aca="false">-'Construction Budget'!CJ33</f>
        <v>-0</v>
      </c>
      <c r="CH32" s="5" t="n">
        <f aca="false">-'Construction Budget'!CK33</f>
        <v>-0</v>
      </c>
      <c r="CI32" s="5" t="n">
        <f aca="false">-'Construction Budget'!CL33</f>
        <v>-0</v>
      </c>
      <c r="CJ32" s="5" t="n">
        <f aca="false">-'Construction Budget'!CM33</f>
        <v>-0</v>
      </c>
      <c r="CK32" s="5" t="n">
        <f aca="false">-'Construction Budget'!CN33</f>
        <v>-0</v>
      </c>
      <c r="CL32" s="5" t="n">
        <f aca="false">-'Construction Budget'!CO33</f>
        <v>-0</v>
      </c>
      <c r="CM32" s="5" t="n">
        <f aca="false">-'Construction Budget'!CP33</f>
        <v>-0</v>
      </c>
      <c r="CN32" s="5" t="n">
        <f aca="false">-'Construction Budget'!CQ33</f>
        <v>-0</v>
      </c>
      <c r="CO32" s="5" t="n">
        <f aca="false">-'Construction Budget'!CR33</f>
        <v>-0</v>
      </c>
      <c r="CP32" s="5" t="n">
        <f aca="false">-'Construction Budget'!CS33</f>
        <v>-0</v>
      </c>
      <c r="CQ32" s="5" t="n">
        <f aca="false">-'Construction Budget'!CT33</f>
        <v>-0</v>
      </c>
      <c r="CR32" s="5" t="n">
        <f aca="false">-'Construction Budget'!CU33</f>
        <v>-0</v>
      </c>
      <c r="CS32" s="5" t="n">
        <f aca="false">-'Construction Budget'!CV33</f>
        <v>-0</v>
      </c>
      <c r="CT32" s="5" t="n">
        <f aca="false">-'Construction Budget'!CW33</f>
        <v>-0</v>
      </c>
    </row>
    <row r="33" customFormat="false" ht="15" hidden="false" customHeight="false" outlineLevel="0" collapsed="false">
      <c r="B33" s="26" t="s">
        <v>114</v>
      </c>
      <c r="C33" s="5" t="n">
        <f aca="false">IF(C1=1,-Inputs!$B$85,0)</f>
        <v>-235963.173700021</v>
      </c>
      <c r="D33" s="5" t="n">
        <f aca="false">IF(D1=1,-Inputs!$B$85,0)</f>
        <v>0</v>
      </c>
      <c r="E33" s="5" t="n">
        <f aca="false">IF(E1=1,-Inputs!$B$85,0)</f>
        <v>0</v>
      </c>
      <c r="F33" s="5" t="n">
        <f aca="false">IF(F1=1,-Inputs!$B$85,0)</f>
        <v>0</v>
      </c>
      <c r="G33" s="5" t="n">
        <f aca="false">IF(G1=1,-Inputs!$B$85,0)</f>
        <v>0</v>
      </c>
      <c r="H33" s="5" t="n">
        <f aca="false">IF(H1=1,-Inputs!$B$85,0)</f>
        <v>0</v>
      </c>
      <c r="I33" s="5" t="n">
        <f aca="false">IF(I1=1,-Inputs!$B$85,0)</f>
        <v>0</v>
      </c>
      <c r="J33" s="5" t="n">
        <f aca="false">IF(J1=1,-Inputs!$B$85,0)</f>
        <v>0</v>
      </c>
      <c r="K33" s="5" t="n">
        <f aca="false">IF(K1=1,-Inputs!$B$85,0)</f>
        <v>0</v>
      </c>
      <c r="L33" s="5" t="n">
        <f aca="false">IF(L1=1,-Inputs!$B$85,0)</f>
        <v>0</v>
      </c>
      <c r="M33" s="5" t="n">
        <f aca="false">IF(M1=1,-Inputs!$B$85,0)</f>
        <v>0</v>
      </c>
      <c r="N33" s="5" t="n">
        <f aca="false">IF(N1=1,-Inputs!$B$85,0)</f>
        <v>0</v>
      </c>
      <c r="O33" s="5" t="n">
        <f aca="false">IF(O1=1,-Inputs!$B$85,0)</f>
        <v>0</v>
      </c>
      <c r="P33" s="5" t="n">
        <f aca="false">IF(P1=1,-Inputs!$B$85,0)</f>
        <v>0</v>
      </c>
      <c r="Q33" s="5" t="n">
        <f aca="false">IF(Q1=1,-Inputs!$B$85,0)</f>
        <v>0</v>
      </c>
      <c r="R33" s="5" t="n">
        <f aca="false">IF(R1=1,-Inputs!$B$85,0)</f>
        <v>0</v>
      </c>
      <c r="S33" s="5" t="n">
        <f aca="false">IF(S1=1,-Inputs!$B$85,0)</f>
        <v>0</v>
      </c>
      <c r="T33" s="5" t="n">
        <f aca="false">IF(T1=1,-Inputs!$B$85,0)</f>
        <v>0</v>
      </c>
      <c r="U33" s="5" t="n">
        <f aca="false">IF(U1=1,-Inputs!$B$85,0)</f>
        <v>0</v>
      </c>
      <c r="V33" s="5" t="n">
        <f aca="false">IF(V1=1,-Inputs!$B$85,0)</f>
        <v>0</v>
      </c>
      <c r="W33" s="5" t="n">
        <f aca="false">IF(W1=1,-Inputs!$B$85,0)</f>
        <v>0</v>
      </c>
      <c r="X33" s="5" t="n">
        <f aca="false">IF(X1=1,-Inputs!$B$85,0)</f>
        <v>0</v>
      </c>
      <c r="Y33" s="5" t="n">
        <f aca="false">IF(Y1=1,-Inputs!$B$85,0)</f>
        <v>0</v>
      </c>
      <c r="Z33" s="5" t="n">
        <f aca="false">IF(Z1=1,-Inputs!$B$85,0)</f>
        <v>0</v>
      </c>
      <c r="AA33" s="5" t="n">
        <f aca="false">IF(AA1=1,-Inputs!$B$85,0)</f>
        <v>0</v>
      </c>
      <c r="AB33" s="5" t="n">
        <f aca="false">IF(AB1=1,-Inputs!$B$85,0)</f>
        <v>0</v>
      </c>
      <c r="AC33" s="5" t="n">
        <f aca="false">IF(AC1=1,-Inputs!$B$85,0)</f>
        <v>0</v>
      </c>
      <c r="AD33" s="5" t="n">
        <f aca="false">IF(AD1=1,-Inputs!$B$85,0)</f>
        <v>0</v>
      </c>
      <c r="AE33" s="5" t="n">
        <f aca="false">IF(AE1=1,-Inputs!$B$85,0)</f>
        <v>0</v>
      </c>
      <c r="AF33" s="5" t="n">
        <f aca="false">IF(AF1=1,-Inputs!$B$85,0)</f>
        <v>0</v>
      </c>
      <c r="AG33" s="5" t="n">
        <f aca="false">IF(AG1=1,-Inputs!$B$85,0)</f>
        <v>0</v>
      </c>
      <c r="AH33" s="5" t="n">
        <f aca="false">IF(AH1=1,-Inputs!$B$85,0)</f>
        <v>0</v>
      </c>
      <c r="AI33" s="5" t="n">
        <f aca="false">IF(AI1=1,-Inputs!$B$85,0)</f>
        <v>0</v>
      </c>
      <c r="AJ33" s="5" t="n">
        <f aca="false">IF(AJ1=1,-Inputs!$B$85,0)</f>
        <v>0</v>
      </c>
      <c r="AK33" s="5" t="n">
        <f aca="false">IF(AK1=1,-Inputs!$B$85,0)</f>
        <v>0</v>
      </c>
      <c r="AL33" s="5" t="n">
        <f aca="false">IF(AL1=1,-Inputs!$B$85,0)</f>
        <v>0</v>
      </c>
      <c r="AM33" s="5" t="n">
        <f aca="false">IF(AM1=1,-Inputs!$B$85,0)</f>
        <v>0</v>
      </c>
      <c r="AN33" s="5" t="n">
        <f aca="false">IF(AN1=1,-Inputs!$B$85,0)</f>
        <v>0</v>
      </c>
      <c r="AO33" s="5" t="n">
        <f aca="false">IF(AO1=1,-Inputs!$B$85,0)</f>
        <v>0</v>
      </c>
      <c r="AP33" s="5" t="n">
        <f aca="false">IF(AP1=1,-Inputs!$B$85,0)</f>
        <v>0</v>
      </c>
      <c r="AQ33" s="5" t="n">
        <f aca="false">IF(AQ1=1,-Inputs!$B$85,0)</f>
        <v>0</v>
      </c>
      <c r="AR33" s="5" t="n">
        <f aca="false">IF(AR1=1,-Inputs!$B$85,0)</f>
        <v>0</v>
      </c>
      <c r="AS33" s="5" t="n">
        <f aca="false">IF(AS1=1,-Inputs!$B$85,0)</f>
        <v>0</v>
      </c>
      <c r="AT33" s="5" t="n">
        <f aca="false">IF(AT1=1,-Inputs!$B$85,0)</f>
        <v>0</v>
      </c>
      <c r="AU33" s="5" t="n">
        <f aca="false">IF(AU1=1,-Inputs!$B$85,0)</f>
        <v>0</v>
      </c>
      <c r="AV33" s="5" t="n">
        <f aca="false">IF(AV1=1,-Inputs!$B$85,0)</f>
        <v>0</v>
      </c>
      <c r="AW33" s="5" t="n">
        <f aca="false">IF(AW1=1,-Inputs!$B$85,0)</f>
        <v>0</v>
      </c>
      <c r="AX33" s="5" t="n">
        <f aca="false">IF(AX1=1,-Inputs!$B$85,0)</f>
        <v>0</v>
      </c>
      <c r="AY33" s="5" t="n">
        <f aca="false">IF(AY1=1,-Inputs!$B$85,0)</f>
        <v>0</v>
      </c>
      <c r="AZ33" s="5" t="n">
        <f aca="false">IF(AZ1=1,-Inputs!$B$85,0)</f>
        <v>0</v>
      </c>
      <c r="BA33" s="5" t="n">
        <f aca="false">IF(BA1=1,-Inputs!$B$85,0)</f>
        <v>0</v>
      </c>
      <c r="BB33" s="5" t="n">
        <f aca="false">IF(BB1=1,-Inputs!$B$85,0)</f>
        <v>0</v>
      </c>
      <c r="BC33" s="5" t="n">
        <f aca="false">IF(BC1=1,-Inputs!$B$85,0)</f>
        <v>0</v>
      </c>
      <c r="BD33" s="5" t="n">
        <f aca="false">IF(BD1=1,-Inputs!$B$85,0)</f>
        <v>0</v>
      </c>
      <c r="BE33" s="5" t="n">
        <f aca="false">IF(BE1=1,-Inputs!$B$85,0)</f>
        <v>0</v>
      </c>
      <c r="BF33" s="5" t="n">
        <f aca="false">IF(BF1=1,-Inputs!$B$85,0)</f>
        <v>0</v>
      </c>
      <c r="BG33" s="5" t="n">
        <f aca="false">IF(BG1=1,-Inputs!$B$85,0)</f>
        <v>0</v>
      </c>
      <c r="BH33" s="5" t="n">
        <f aca="false">IF(BH1=1,-Inputs!$B$85,0)</f>
        <v>0</v>
      </c>
      <c r="BI33" s="5" t="n">
        <f aca="false">IF(BI1=1,-Inputs!$B$85,0)</f>
        <v>0</v>
      </c>
      <c r="BJ33" s="5" t="n">
        <f aca="false">IF(BJ1=1,-Inputs!$B$85,0)</f>
        <v>0</v>
      </c>
      <c r="BK33" s="5" t="n">
        <f aca="false">IF(BK1=1,-Inputs!$B$85,0)</f>
        <v>0</v>
      </c>
      <c r="BL33" s="5" t="n">
        <f aca="false">IF(BL1=1,-Inputs!$B$85,0)</f>
        <v>0</v>
      </c>
      <c r="BM33" s="5" t="n">
        <f aca="false">IF(BM1=1,-Inputs!$B$85,0)</f>
        <v>0</v>
      </c>
      <c r="BN33" s="5" t="n">
        <f aca="false">IF(BN1=1,-Inputs!$B$85,0)</f>
        <v>0</v>
      </c>
      <c r="BO33" s="5" t="n">
        <f aca="false">IF(BO1=1,-Inputs!$B$85,0)</f>
        <v>0</v>
      </c>
      <c r="BP33" s="5" t="n">
        <f aca="false">IF(BP1=1,-Inputs!$B$85,0)</f>
        <v>0</v>
      </c>
      <c r="BQ33" s="5" t="n">
        <f aca="false">IF(BQ1=1,-Inputs!$B$85,0)</f>
        <v>0</v>
      </c>
      <c r="BR33" s="5" t="n">
        <f aca="false">IF(BR1=1,-Inputs!$B$85,0)</f>
        <v>0</v>
      </c>
      <c r="BS33" s="5" t="n">
        <f aca="false">IF(BS1=1,-Inputs!$B$85,0)</f>
        <v>0</v>
      </c>
      <c r="BT33" s="5" t="n">
        <f aca="false">IF(BT1=1,-Inputs!$B$85,0)</f>
        <v>0</v>
      </c>
      <c r="BU33" s="5" t="n">
        <f aca="false">IF(BU1=1,-Inputs!$B$85,0)</f>
        <v>0</v>
      </c>
      <c r="BV33" s="5" t="n">
        <f aca="false">IF(BV1=1,-Inputs!$B$85,0)</f>
        <v>0</v>
      </c>
      <c r="BW33" s="5" t="n">
        <f aca="false">IF(BW1=1,-Inputs!$B$85,0)</f>
        <v>0</v>
      </c>
      <c r="BX33" s="5" t="n">
        <f aca="false">IF(BX1=1,-Inputs!$B$85,0)</f>
        <v>0</v>
      </c>
      <c r="BY33" s="5" t="n">
        <f aca="false">IF(BY1=1,-Inputs!$B$85,0)</f>
        <v>0</v>
      </c>
      <c r="BZ33" s="5" t="n">
        <f aca="false">IF(BZ1=1,-Inputs!$B$85,0)</f>
        <v>0</v>
      </c>
      <c r="CA33" s="5" t="n">
        <f aca="false">IF(CA1=1,-Inputs!$B$85,0)</f>
        <v>0</v>
      </c>
      <c r="CB33" s="5" t="n">
        <f aca="false">IF(CB1=1,-Inputs!$B$85,0)</f>
        <v>0</v>
      </c>
      <c r="CC33" s="5" t="n">
        <f aca="false">IF(CC1=1,-Inputs!$B$85,0)</f>
        <v>0</v>
      </c>
      <c r="CD33" s="5" t="n">
        <f aca="false">IF(CD1=1,-Inputs!$B$85,0)</f>
        <v>0</v>
      </c>
      <c r="CE33" s="5" t="n">
        <f aca="false">IF(CE1=1,-Inputs!$B$85,0)</f>
        <v>0</v>
      </c>
      <c r="CF33" s="5" t="n">
        <f aca="false">IF(CF1=1,-Inputs!$B$85,0)</f>
        <v>0</v>
      </c>
      <c r="CG33" s="5" t="n">
        <f aca="false">IF(CG1=1,-Inputs!$B$85,0)</f>
        <v>0</v>
      </c>
      <c r="CH33" s="5" t="n">
        <f aca="false">IF(CH1=1,-Inputs!$B$85,0)</f>
        <v>0</v>
      </c>
      <c r="CI33" s="5" t="n">
        <f aca="false">IF(CI1=1,-Inputs!$B$85,0)</f>
        <v>0</v>
      </c>
      <c r="CJ33" s="5" t="n">
        <f aca="false">IF(CJ1=1,-Inputs!$B$85,0)</f>
        <v>0</v>
      </c>
      <c r="CK33" s="5" t="n">
        <f aca="false">IF(CK1=1,-Inputs!$B$85,0)</f>
        <v>0</v>
      </c>
      <c r="CL33" s="5" t="n">
        <f aca="false">IF(CL1=1,-Inputs!$B$85,0)</f>
        <v>0</v>
      </c>
      <c r="CM33" s="5" t="n">
        <f aca="false">IF(CM1=1,-Inputs!$B$85,0)</f>
        <v>0</v>
      </c>
      <c r="CN33" s="5" t="n">
        <f aca="false">IF(CN1=1,-Inputs!$B$85,0)</f>
        <v>0</v>
      </c>
      <c r="CO33" s="5" t="n">
        <f aca="false">IF(CO1=1,-Inputs!$B$85,0)</f>
        <v>0</v>
      </c>
      <c r="CP33" s="5" t="n">
        <f aca="false">IF(CP1=1,-Inputs!$B$85,0)</f>
        <v>0</v>
      </c>
      <c r="CQ33" s="5" t="n">
        <f aca="false">IF(CQ1=1,-Inputs!$B$85,0)</f>
        <v>0</v>
      </c>
      <c r="CR33" s="5" t="n">
        <f aca="false">IF(CR1=1,-Inputs!$B$85,0)</f>
        <v>0</v>
      </c>
      <c r="CS33" s="5" t="n">
        <f aca="false">IF(CS1=1,-Inputs!$B$85,0)</f>
        <v>0</v>
      </c>
      <c r="CT33" s="5" t="n">
        <f aca="false">IF(CT1=1,-Inputs!$B$85,0)</f>
        <v>0</v>
      </c>
    </row>
    <row r="34" customFormat="false" ht="15" hidden="false" customHeight="false" outlineLevel="0" collapsed="false">
      <c r="B34" s="2" t="s">
        <v>172</v>
      </c>
      <c r="C34" s="5" t="n">
        <f aca="false">SUM(C31:C33)</f>
        <v>-7232388.17370002</v>
      </c>
      <c r="D34" s="5" t="n">
        <f aca="false">SUM(D31:D33)</f>
        <v>-986005.982457879</v>
      </c>
      <c r="E34" s="5" t="n">
        <f aca="false">SUM(E31:E33)</f>
        <v>-1252709.31968563</v>
      </c>
      <c r="F34" s="5" t="n">
        <f aca="false">SUM(F31:F33)</f>
        <v>-1556349.0178664</v>
      </c>
      <c r="G34" s="5" t="n">
        <f aca="false">SUM(G31:G33)</f>
        <v>-1888585.47650877</v>
      </c>
      <c r="H34" s="5" t="n">
        <f aca="false">SUM(H31:H33)</f>
        <v>-2236411.48401816</v>
      </c>
      <c r="I34" s="5" t="n">
        <f aca="false">SUM(I31:I33)</f>
        <v>-2582627.92185996</v>
      </c>
      <c r="J34" s="5" t="n">
        <f aca="false">SUM(J31:J33)</f>
        <v>-2907044.85539308</v>
      </c>
      <c r="K34" s="5" t="n">
        <f aca="false">SUM(K31:K33)</f>
        <v>-3188338.30204985</v>
      </c>
      <c r="L34" s="5" t="n">
        <f aca="false">SUM(L31:L33)</f>
        <v>-3406346.76305901</v>
      </c>
      <c r="M34" s="5" t="n">
        <f aca="false">SUM(M31:M33)</f>
        <v>-3544471.40636586</v>
      </c>
      <c r="N34" s="5" t="n">
        <f aca="false">SUM(N31:N33)</f>
        <v>-3591784.20426299</v>
      </c>
      <c r="O34" s="5" t="n">
        <f aca="false">SUM(O31:O33)</f>
        <v>-3544471.40636586</v>
      </c>
      <c r="P34" s="5" t="n">
        <f aca="false">SUM(P31:P33)</f>
        <v>-3406346.76305901</v>
      </c>
      <c r="Q34" s="5" t="n">
        <f aca="false">SUM(Q31:Q33)</f>
        <v>-3188338.30204985</v>
      </c>
      <c r="R34" s="5" t="n">
        <f aca="false">SUM(R31:R33)</f>
        <v>-2907044.85539308</v>
      </c>
      <c r="S34" s="5" t="n">
        <f aca="false">SUM(S31:S33)</f>
        <v>-2582627.92185996</v>
      </c>
      <c r="T34" s="5" t="n">
        <f aca="false">SUM(T31:T33)</f>
        <v>-2236411.48401816</v>
      </c>
      <c r="U34" s="5" t="n">
        <f aca="false">SUM(U31:U33)</f>
        <v>-1888585.47650877</v>
      </c>
      <c r="V34" s="5" t="n">
        <f aca="false">SUM(V31:V33)</f>
        <v>-1556349.0178664</v>
      </c>
      <c r="W34" s="5" t="n">
        <f aca="false">SUM(W31:W33)</f>
        <v>-1252709.31968563</v>
      </c>
      <c r="X34" s="5" t="n">
        <f aca="false">SUM(X31:X33)</f>
        <v>0</v>
      </c>
      <c r="Y34" s="5" t="n">
        <f aca="false">SUM(Y31:Y33)</f>
        <v>0</v>
      </c>
      <c r="Z34" s="5" t="n">
        <f aca="false">SUM(Z31:Z33)</f>
        <v>0</v>
      </c>
      <c r="AA34" s="5" t="n">
        <f aca="false">SUM(AA31:AA33)</f>
        <v>0</v>
      </c>
      <c r="AB34" s="5" t="n">
        <f aca="false">SUM(AB31:AB33)</f>
        <v>0</v>
      </c>
      <c r="AC34" s="5" t="n">
        <f aca="false">SUM(AC31:AC33)</f>
        <v>0</v>
      </c>
      <c r="AD34" s="5" t="n">
        <f aca="false">SUM(AD31:AD33)</f>
        <v>0</v>
      </c>
      <c r="AE34" s="5" t="n">
        <f aca="false">SUM(AE31:AE33)</f>
        <v>0</v>
      </c>
      <c r="AF34" s="5" t="n">
        <f aca="false">SUM(AF31:AF33)</f>
        <v>0</v>
      </c>
      <c r="AG34" s="5" t="n">
        <f aca="false">SUM(AG31:AG33)</f>
        <v>0</v>
      </c>
      <c r="AH34" s="5" t="n">
        <f aca="false">SUM(AH31:AH33)</f>
        <v>0</v>
      </c>
      <c r="AI34" s="5" t="n">
        <f aca="false">SUM(AI31:AI33)</f>
        <v>0</v>
      </c>
      <c r="AJ34" s="5" t="n">
        <f aca="false">SUM(AJ31:AJ33)</f>
        <v>0</v>
      </c>
      <c r="AK34" s="5" t="n">
        <f aca="false">SUM(AK31:AK33)</f>
        <v>0</v>
      </c>
      <c r="AL34" s="5" t="n">
        <f aca="false">SUM(AL31:AL33)</f>
        <v>0</v>
      </c>
      <c r="AM34" s="5" t="n">
        <f aca="false">SUM(AM31:AM33)</f>
        <v>0</v>
      </c>
      <c r="AN34" s="5" t="n">
        <f aca="false">SUM(AN31:AN33)</f>
        <v>0</v>
      </c>
      <c r="AO34" s="5" t="n">
        <f aca="false">SUM(AO31:AO33)</f>
        <v>0</v>
      </c>
      <c r="AP34" s="5" t="n">
        <f aca="false">SUM(AP31:AP33)</f>
        <v>0</v>
      </c>
      <c r="AQ34" s="5" t="n">
        <f aca="false">SUM(AQ31:AQ33)</f>
        <v>0</v>
      </c>
      <c r="AR34" s="5" t="n">
        <f aca="false">SUM(AR31:AR33)</f>
        <v>0</v>
      </c>
      <c r="AS34" s="5" t="n">
        <f aca="false">SUM(AS31:AS33)</f>
        <v>0</v>
      </c>
      <c r="AT34" s="5" t="n">
        <f aca="false">SUM(AT31:AT33)</f>
        <v>0</v>
      </c>
      <c r="AU34" s="5" t="n">
        <f aca="false">SUM(AU31:AU33)</f>
        <v>0</v>
      </c>
      <c r="AV34" s="5" t="n">
        <f aca="false">SUM(AV31:AV33)</f>
        <v>0</v>
      </c>
      <c r="AW34" s="5" t="n">
        <f aca="false">SUM(AW31:AW33)</f>
        <v>0</v>
      </c>
      <c r="AX34" s="5" t="n">
        <f aca="false">SUM(AX31:AX33)</f>
        <v>0</v>
      </c>
      <c r="AY34" s="5" t="n">
        <f aca="false">SUM(AY31:AY33)</f>
        <v>0</v>
      </c>
      <c r="AZ34" s="5" t="n">
        <f aca="false">SUM(AZ31:AZ33)</f>
        <v>0</v>
      </c>
      <c r="BA34" s="5" t="n">
        <f aca="false">SUM(BA31:BA33)</f>
        <v>0</v>
      </c>
      <c r="BB34" s="5" t="n">
        <f aca="false">SUM(BB31:BB33)</f>
        <v>0</v>
      </c>
      <c r="BC34" s="5" t="n">
        <f aca="false">SUM(BC31:BC33)</f>
        <v>0</v>
      </c>
      <c r="BD34" s="5" t="n">
        <f aca="false">SUM(BD31:BD33)</f>
        <v>0</v>
      </c>
      <c r="BE34" s="5" t="n">
        <f aca="false">SUM(BE31:BE33)</f>
        <v>0</v>
      </c>
      <c r="BF34" s="5" t="n">
        <f aca="false">SUM(BF31:BF33)</f>
        <v>0</v>
      </c>
      <c r="BG34" s="5" t="n">
        <f aca="false">SUM(BG31:BG33)</f>
        <v>0</v>
      </c>
      <c r="BH34" s="5" t="n">
        <f aca="false">SUM(BH31:BH33)</f>
        <v>0</v>
      </c>
      <c r="BI34" s="5" t="n">
        <f aca="false">SUM(BI31:BI33)</f>
        <v>0</v>
      </c>
      <c r="BJ34" s="5" t="n">
        <f aca="false">SUM(BJ31:BJ33)</f>
        <v>0</v>
      </c>
      <c r="BK34" s="5" t="n">
        <f aca="false">SUM(BK31:BK33)</f>
        <v>0</v>
      </c>
      <c r="BL34" s="5" t="n">
        <f aca="false">SUM(BL31:BL33)</f>
        <v>0</v>
      </c>
      <c r="BM34" s="5" t="n">
        <f aca="false">SUM(BM31:BM33)</f>
        <v>0</v>
      </c>
      <c r="BN34" s="5" t="n">
        <f aca="false">SUM(BN31:BN33)</f>
        <v>0</v>
      </c>
      <c r="BO34" s="5" t="n">
        <f aca="false">SUM(BO31:BO33)</f>
        <v>0</v>
      </c>
      <c r="BP34" s="5" t="n">
        <f aca="false">SUM(BP31:BP33)</f>
        <v>0</v>
      </c>
      <c r="BQ34" s="5" t="n">
        <f aca="false">SUM(BQ31:BQ33)</f>
        <v>0</v>
      </c>
      <c r="BR34" s="5" t="n">
        <f aca="false">SUM(BR31:BR33)</f>
        <v>0</v>
      </c>
      <c r="BS34" s="5" t="n">
        <f aca="false">SUM(BS31:BS33)</f>
        <v>0</v>
      </c>
      <c r="BT34" s="5" t="n">
        <f aca="false">SUM(BT31:BT33)</f>
        <v>0</v>
      </c>
      <c r="BU34" s="5" t="n">
        <f aca="false">SUM(BU31:BU33)</f>
        <v>0</v>
      </c>
      <c r="BV34" s="5" t="n">
        <f aca="false">SUM(BV31:BV33)</f>
        <v>0</v>
      </c>
      <c r="BW34" s="5" t="n">
        <f aca="false">SUM(BW31:BW33)</f>
        <v>0</v>
      </c>
      <c r="BX34" s="5" t="n">
        <f aca="false">SUM(BX31:BX33)</f>
        <v>0</v>
      </c>
      <c r="BY34" s="5" t="n">
        <f aca="false">SUM(BY31:BY33)</f>
        <v>0</v>
      </c>
      <c r="BZ34" s="5" t="n">
        <f aca="false">SUM(BZ31:BZ33)</f>
        <v>0</v>
      </c>
      <c r="CA34" s="5" t="n">
        <f aca="false">SUM(CA31:CA33)</f>
        <v>0</v>
      </c>
      <c r="CB34" s="5" t="n">
        <f aca="false">SUM(CB31:CB33)</f>
        <v>0</v>
      </c>
      <c r="CC34" s="5" t="n">
        <f aca="false">SUM(CC31:CC33)</f>
        <v>0</v>
      </c>
      <c r="CD34" s="5" t="n">
        <f aca="false">SUM(CD31:CD33)</f>
        <v>0</v>
      </c>
      <c r="CE34" s="5" t="n">
        <f aca="false">SUM(CE31:CE33)</f>
        <v>0</v>
      </c>
      <c r="CF34" s="5" t="n">
        <f aca="false">SUM(CF31:CF33)</f>
        <v>0</v>
      </c>
      <c r="CG34" s="5" t="n">
        <f aca="false">SUM(CG31:CG33)</f>
        <v>0</v>
      </c>
      <c r="CH34" s="5" t="n">
        <f aca="false">SUM(CH31:CH33)</f>
        <v>0</v>
      </c>
      <c r="CI34" s="5" t="n">
        <f aca="false">SUM(CI31:CI33)</f>
        <v>0</v>
      </c>
      <c r="CJ34" s="5" t="n">
        <f aca="false">SUM(CJ31:CJ33)</f>
        <v>0</v>
      </c>
      <c r="CK34" s="5" t="n">
        <f aca="false">SUM(CK31:CK33)</f>
        <v>0</v>
      </c>
      <c r="CL34" s="5" t="n">
        <f aca="false">SUM(CL31:CL33)</f>
        <v>0</v>
      </c>
      <c r="CM34" s="5" t="n">
        <f aca="false">SUM(CM31:CM33)</f>
        <v>0</v>
      </c>
      <c r="CN34" s="5" t="n">
        <f aca="false">SUM(CN31:CN33)</f>
        <v>0</v>
      </c>
      <c r="CO34" s="5" t="n">
        <f aca="false">SUM(CO31:CO33)</f>
        <v>0</v>
      </c>
      <c r="CP34" s="5" t="n">
        <f aca="false">SUM(CP31:CP33)</f>
        <v>0</v>
      </c>
      <c r="CQ34" s="5" t="n">
        <f aca="false">SUM(CQ31:CQ33)</f>
        <v>0</v>
      </c>
      <c r="CR34" s="5" t="n">
        <f aca="false">SUM(CR31:CR33)</f>
        <v>0</v>
      </c>
      <c r="CS34" s="5" t="n">
        <f aca="false">SUM(CS31:CS33)</f>
        <v>0</v>
      </c>
      <c r="CT34" s="5" t="n">
        <f aca="false">SUM(CT31:CT33)</f>
        <v>0</v>
      </c>
    </row>
    <row r="36" customFormat="false" ht="15" hidden="false" customHeight="false" outlineLevel="0" collapsed="false">
      <c r="B36" s="26" t="s">
        <v>173</v>
      </c>
      <c r="C36" s="5" t="n">
        <f aca="false">IF(C1&lt;Inputs!$B$58,-C34+MAX(0,-C29),0)</f>
        <v>7234888.17370002</v>
      </c>
      <c r="D36" s="5" t="n">
        <f aca="false">IF(D1&lt;Inputs!$B$58,-D34+MAX(0,-D29),0)</f>
        <v>988505.982457879</v>
      </c>
      <c r="E36" s="5" t="n">
        <f aca="false">IF(E1&lt;Inputs!$B$58,-E34+MAX(0,-E29),0)</f>
        <v>1255209.31968563</v>
      </c>
      <c r="F36" s="5" t="n">
        <f aca="false">IF(F1&lt;Inputs!$B$58,-F34+MAX(0,-F29),0)</f>
        <v>1558849.0178664</v>
      </c>
      <c r="G36" s="5" t="n">
        <f aca="false">IF(G1&lt;Inputs!$B$58,-G34+MAX(0,-G29),0)</f>
        <v>1891085.47650877</v>
      </c>
      <c r="H36" s="5" t="n">
        <f aca="false">IF(H1&lt;Inputs!$B$58,-H34+MAX(0,-H29),0)</f>
        <v>2238911.48401816</v>
      </c>
      <c r="I36" s="5" t="n">
        <f aca="false">IF(I1&lt;Inputs!$B$58,-I34+MAX(0,-I29),0)</f>
        <v>2585127.92185996</v>
      </c>
      <c r="J36" s="5" t="n">
        <f aca="false">IF(J1&lt;Inputs!$B$58,-J34+MAX(0,-J29),0)</f>
        <v>2909544.85539308</v>
      </c>
      <c r="K36" s="5" t="n">
        <f aca="false">IF(K1&lt;Inputs!$B$58,-K34+MAX(0,-K29),0)</f>
        <v>3190838.30204985</v>
      </c>
      <c r="L36" s="5" t="n">
        <f aca="false">IF(L1&lt;Inputs!$B$58,-L34+MAX(0,-L29),0)</f>
        <v>3519486.76305901</v>
      </c>
      <c r="M36" s="5" t="n">
        <f aca="false">IF(M1&lt;Inputs!$B$58,-M34+MAX(0,-M29),0)</f>
        <v>3669143.40636586</v>
      </c>
      <c r="N36" s="5" t="n">
        <f aca="false">IF(N1&lt;Inputs!$B$58,-N34+MAX(0,-N29),0)</f>
        <v>3716456.20426299</v>
      </c>
      <c r="O36" s="5" t="n">
        <f aca="false">IF(O1&lt;Inputs!$B$58,-O34+MAX(0,-O29),0)</f>
        <v>3672197.70636586</v>
      </c>
      <c r="P36" s="5" t="n">
        <f aca="false">IF(P1&lt;Inputs!$B$58,-P34+MAX(0,-P29),0)</f>
        <v>3496243.7327315</v>
      </c>
      <c r="Q36" s="5" t="n">
        <f aca="false">IF(Q1&lt;Inputs!$B$58,-Q34+MAX(0,-Q29),0)</f>
        <v>3240405.94139483</v>
      </c>
      <c r="R36" s="5" t="n">
        <f aca="false">IF(R1&lt;Inputs!$B$58,-R34+MAX(0,-R29),0)</f>
        <v>2921283.16441055</v>
      </c>
      <c r="S36" s="5" t="n">
        <f aca="false">IF(S1&lt;Inputs!$B$58,-S34+MAX(0,-S29),0)</f>
        <v>2582627.92185996</v>
      </c>
      <c r="T36" s="5" t="n">
        <f aca="false">IF(T1&lt;Inputs!$B$58,-T34+MAX(0,-T29),0)</f>
        <v>2236411.48401816</v>
      </c>
      <c r="U36" s="5" t="n">
        <f aca="false">IF(U1&lt;Inputs!$B$58,-U34+MAX(0,-U29),0)</f>
        <v>1888585.47650877</v>
      </c>
      <c r="V36" s="5" t="n">
        <f aca="false">IF(V1&lt;Inputs!$B$58,-V34+MAX(0,-V29),0)</f>
        <v>1556349.0178664</v>
      </c>
      <c r="W36" s="5" t="n">
        <f aca="false">IF(W1&lt;Inputs!$B$58,-W34+MAX(0,-W29),0)</f>
        <v>1252709.31968563</v>
      </c>
      <c r="X36" s="5" t="n">
        <f aca="false">IF(X1&lt;Inputs!$B$58,-X34+MAX(0,-X29),0)</f>
        <v>0</v>
      </c>
      <c r="Y36" s="5" t="n">
        <f aca="false">IF(Y1&lt;Inputs!$B$58,-Y34+MAX(0,-Y29),0)</f>
        <v>0</v>
      </c>
      <c r="Z36" s="5" t="n">
        <f aca="false">IF(Z1&lt;Inputs!$B$58,-Z34+MAX(0,-Z29),0)</f>
        <v>0</v>
      </c>
      <c r="AA36" s="5" t="n">
        <f aca="false">IF(AA1&lt;Inputs!$B$58,-AA34+MAX(0,-AA29),0)</f>
        <v>0</v>
      </c>
      <c r="AB36" s="5" t="n">
        <f aca="false">IF(AB1&lt;Inputs!$B$58,-AB34+MAX(0,-AB29),0)</f>
        <v>0</v>
      </c>
      <c r="AC36" s="5" t="n">
        <f aca="false">IF(AC1&lt;Inputs!$B$58,-AC34+MAX(0,-AC29),0)</f>
        <v>0</v>
      </c>
      <c r="AD36" s="5" t="n">
        <f aca="false">IF(AD1&lt;Inputs!$B$58,-AD34+MAX(0,-AD29),0)</f>
        <v>0</v>
      </c>
      <c r="AE36" s="5" t="n">
        <f aca="false">IF(AE1&lt;Inputs!$B$58,-AE34+MAX(0,-AE29),0)</f>
        <v>0</v>
      </c>
      <c r="AF36" s="5" t="n">
        <f aca="false">IF(AF1&lt;Inputs!$B$58,-AF34+MAX(0,-AF29),0)</f>
        <v>0</v>
      </c>
      <c r="AG36" s="5" t="n">
        <f aca="false">IF(AG1&lt;Inputs!$B$58,-AG34+MAX(0,-AG29),0)</f>
        <v>0</v>
      </c>
      <c r="AH36" s="5" t="n">
        <f aca="false">IF(AH1&lt;Inputs!$B$58,-AH34+MAX(0,-AH29),0)</f>
        <v>0</v>
      </c>
      <c r="AI36" s="5" t="n">
        <f aca="false">IF(AI1&lt;Inputs!$B$58,-AI34+MAX(0,-AI29),0)</f>
        <v>0</v>
      </c>
      <c r="AJ36" s="5" t="n">
        <f aca="false">IF(AJ1&lt;Inputs!$B$58,-AJ34+MAX(0,-AJ29),0)</f>
        <v>0</v>
      </c>
      <c r="AK36" s="5" t="n">
        <f aca="false">IF(AK1&lt;Inputs!$B$58,-AK34+MAX(0,-AK29),0)</f>
        <v>0</v>
      </c>
      <c r="AL36" s="5" t="n">
        <f aca="false">IF(AL1&lt;Inputs!$B$58,-AL34+MAX(0,-AL29),0)</f>
        <v>0</v>
      </c>
      <c r="AM36" s="5" t="n">
        <f aca="false">IF(AM1&lt;Inputs!$B$58,-AM34+MAX(0,-AM29),0)</f>
        <v>0</v>
      </c>
      <c r="AN36" s="5" t="n">
        <f aca="false">IF(AN1&lt;Inputs!$B$58,-AN34+MAX(0,-AN29),0)</f>
        <v>0</v>
      </c>
      <c r="AO36" s="5" t="n">
        <f aca="false">IF(AO1&lt;Inputs!$B$58,-AO34+MAX(0,-AO29),0)</f>
        <v>0</v>
      </c>
      <c r="AP36" s="5" t="n">
        <f aca="false">IF(AP1&lt;Inputs!$B$58,-AP34+MAX(0,-AP29),0)</f>
        <v>0</v>
      </c>
      <c r="AQ36" s="5" t="n">
        <f aca="false">IF(AQ1&lt;Inputs!$B$58,-AQ34+MAX(0,-AQ29),0)</f>
        <v>0</v>
      </c>
      <c r="AR36" s="5" t="n">
        <f aca="false">IF(AR1&lt;Inputs!$B$58,-AR34+MAX(0,-AR29),0)</f>
        <v>0</v>
      </c>
      <c r="AS36" s="5" t="n">
        <f aca="false">IF(AS1&lt;Inputs!$B$58,-AS34+MAX(0,-AS29),0)</f>
        <v>0</v>
      </c>
      <c r="AT36" s="5" t="n">
        <f aca="false">IF(AT1&lt;Inputs!$B$58,-AT34+MAX(0,-AT29),0)</f>
        <v>0</v>
      </c>
      <c r="AU36" s="5" t="n">
        <f aca="false">IF(AU1&lt;Inputs!$B$58,-AU34+MAX(0,-AU29),0)</f>
        <v>0</v>
      </c>
      <c r="AV36" s="5" t="n">
        <f aca="false">IF(AV1&lt;Inputs!$B$58,-AV34+MAX(0,-AV29),0)</f>
        <v>0</v>
      </c>
      <c r="AW36" s="5" t="n">
        <f aca="false">IF(AW1&lt;Inputs!$B$58,-AW34+MAX(0,-AW29),0)</f>
        <v>0</v>
      </c>
      <c r="AX36" s="5" t="n">
        <f aca="false">IF(AX1&lt;Inputs!$B$58,-AX34+MAX(0,-AX29),0)</f>
        <v>0</v>
      </c>
      <c r="AY36" s="5" t="n">
        <f aca="false">IF(AY1&lt;Inputs!$B$58,-AY34+MAX(0,-AY29),0)</f>
        <v>0</v>
      </c>
      <c r="AZ36" s="5" t="n">
        <f aca="false">IF(AZ1&lt;Inputs!$B$58,-AZ34+MAX(0,-AZ29),0)</f>
        <v>0</v>
      </c>
      <c r="BA36" s="5" t="n">
        <f aca="false">IF(BA1&lt;Inputs!$B$58,-BA34+MAX(0,-BA29),0)</f>
        <v>0</v>
      </c>
      <c r="BB36" s="5" t="n">
        <f aca="false">IF(BB1&lt;Inputs!$B$58,-BB34+MAX(0,-BB29),0)</f>
        <v>0</v>
      </c>
      <c r="BC36" s="5" t="n">
        <f aca="false">IF(BC1&lt;Inputs!$B$58,-BC34+MAX(0,-BC29),0)</f>
        <v>0</v>
      </c>
      <c r="BD36" s="5" t="n">
        <f aca="false">IF(BD1&lt;Inputs!$B$58,-BD34+MAX(0,-BD29),0)</f>
        <v>0</v>
      </c>
      <c r="BE36" s="5" t="n">
        <f aca="false">IF(BE1&lt;Inputs!$B$58,-BE34+MAX(0,-BE29),0)</f>
        <v>0</v>
      </c>
      <c r="BF36" s="5" t="n">
        <f aca="false">IF(BF1&lt;Inputs!$B$58,-BF34+MAX(0,-BF29),0)</f>
        <v>0</v>
      </c>
      <c r="BG36" s="5" t="n">
        <f aca="false">IF(BG1&lt;Inputs!$B$58,-BG34+MAX(0,-BG29),0)</f>
        <v>0</v>
      </c>
      <c r="BH36" s="5" t="n">
        <f aca="false">IF(BH1&lt;Inputs!$B$58,-BH34+MAX(0,-BH29),0)</f>
        <v>0</v>
      </c>
      <c r="BI36" s="5" t="n">
        <f aca="false">IF(BI1&lt;Inputs!$B$58,-BI34+MAX(0,-BI29),0)</f>
        <v>0</v>
      </c>
      <c r="BJ36" s="5" t="n">
        <f aca="false">IF(BJ1&lt;Inputs!$B$58,-BJ34+MAX(0,-BJ29),0)</f>
        <v>0</v>
      </c>
      <c r="BK36" s="5" t="n">
        <f aca="false">IF(BK1&lt;Inputs!$B$58,-BK34+MAX(0,-BK29),0)</f>
        <v>0</v>
      </c>
      <c r="BL36" s="5" t="n">
        <f aca="false">IF(BL1&lt;Inputs!$B$58,-BL34+MAX(0,-BL29),0)</f>
        <v>0</v>
      </c>
      <c r="BM36" s="5" t="n">
        <f aca="false">IF(BM1&lt;Inputs!$B$58,-BM34+MAX(0,-BM29),0)</f>
        <v>0</v>
      </c>
      <c r="BN36" s="5" t="n">
        <f aca="false">IF(BN1&lt;Inputs!$B$58,-BN34+MAX(0,-BN29),0)</f>
        <v>0</v>
      </c>
      <c r="BO36" s="5" t="n">
        <f aca="false">IF(BO1&lt;Inputs!$B$58,-BO34+MAX(0,-BO29),0)</f>
        <v>0</v>
      </c>
      <c r="BP36" s="5" t="n">
        <f aca="false">IF(BP1&lt;Inputs!$B$58,-BP34+MAX(0,-BP29),0)</f>
        <v>0</v>
      </c>
      <c r="BQ36" s="5" t="n">
        <f aca="false">IF(BQ1&lt;Inputs!$B$58,-BQ34+MAX(0,-BQ29),0)</f>
        <v>0</v>
      </c>
      <c r="BR36" s="5" t="n">
        <f aca="false">IF(BR1&lt;Inputs!$B$58,-BR34+MAX(0,-BR29),0)</f>
        <v>0</v>
      </c>
      <c r="BS36" s="5" t="n">
        <f aca="false">IF(BS1&lt;Inputs!$B$58,-BS34+MAX(0,-BS29),0)</f>
        <v>0</v>
      </c>
      <c r="BT36" s="5" t="n">
        <f aca="false">IF(BT1&lt;Inputs!$B$58,-BT34+MAX(0,-BT29),0)</f>
        <v>0</v>
      </c>
      <c r="BU36" s="5" t="n">
        <f aca="false">IF(BU1&lt;Inputs!$B$58,-BU34+MAX(0,-BU29),0)</f>
        <v>0</v>
      </c>
      <c r="BV36" s="5" t="n">
        <f aca="false">IF(BV1&lt;Inputs!$B$58,-BV34+MAX(0,-BV29),0)</f>
        <v>0</v>
      </c>
      <c r="BW36" s="5" t="n">
        <f aca="false">IF(BW1&lt;Inputs!$B$58,-BW34+MAX(0,-BW29),0)</f>
        <v>0</v>
      </c>
      <c r="BX36" s="5" t="n">
        <f aca="false">IF(BX1&lt;Inputs!$B$58,-BX34+MAX(0,-BX29),0)</f>
        <v>0</v>
      </c>
      <c r="BY36" s="5" t="n">
        <f aca="false">IF(BY1&lt;Inputs!$B$58,-BY34+MAX(0,-BY29),0)</f>
        <v>0</v>
      </c>
      <c r="BZ36" s="5" t="n">
        <f aca="false">IF(BZ1&lt;Inputs!$B$58,-BZ34+MAX(0,-BZ29),0)</f>
        <v>0</v>
      </c>
      <c r="CA36" s="5" t="n">
        <f aca="false">IF(CA1&lt;Inputs!$B$58,-CA34+MAX(0,-CA29),0)</f>
        <v>0</v>
      </c>
      <c r="CB36" s="5" t="n">
        <f aca="false">IF(CB1&lt;Inputs!$B$58,-CB34+MAX(0,-CB29),0)</f>
        <v>0</v>
      </c>
      <c r="CC36" s="5" t="n">
        <f aca="false">IF(CC1&lt;Inputs!$B$58,-CC34+MAX(0,-CC29),0)</f>
        <v>0</v>
      </c>
      <c r="CD36" s="5" t="n">
        <f aca="false">IF(CD1&lt;Inputs!$B$58,-CD34+MAX(0,-CD29),0)</f>
        <v>0</v>
      </c>
      <c r="CE36" s="5" t="n">
        <f aca="false">IF(CE1&lt;Inputs!$B$58,-CE34+MAX(0,-CE29),0)</f>
        <v>0</v>
      </c>
      <c r="CF36" s="5" t="n">
        <f aca="false">IF(CF1&lt;Inputs!$B$58,-CF34+MAX(0,-CF29),0)</f>
        <v>0</v>
      </c>
      <c r="CG36" s="5" t="n">
        <f aca="false">IF(CG1&lt;Inputs!$B$58,-CG34+MAX(0,-CG29),0)</f>
        <v>0</v>
      </c>
      <c r="CH36" s="5" t="n">
        <f aca="false">IF(CH1&lt;Inputs!$B$58,-CH34+MAX(0,-CH29),0)</f>
        <v>0</v>
      </c>
      <c r="CI36" s="5" t="n">
        <f aca="false">IF(CI1&lt;Inputs!$B$58,-CI34+MAX(0,-CI29),0)</f>
        <v>0</v>
      </c>
      <c r="CJ36" s="5" t="n">
        <f aca="false">IF(CJ1&lt;Inputs!$B$58,-CJ34+MAX(0,-CJ29),0)</f>
        <v>0</v>
      </c>
      <c r="CK36" s="5" t="n">
        <f aca="false">IF(CK1&lt;Inputs!$B$58,-CK34+MAX(0,-CK29),0)</f>
        <v>0</v>
      </c>
      <c r="CL36" s="5" t="n">
        <f aca="false">IF(CL1&lt;Inputs!$B$58,-CL34+MAX(0,-CL29),0)</f>
        <v>0</v>
      </c>
      <c r="CM36" s="5" t="n">
        <f aca="false">IF(CM1&lt;Inputs!$B$58,-CM34+MAX(0,-CM29),0)</f>
        <v>0</v>
      </c>
      <c r="CN36" s="5" t="n">
        <f aca="false">IF(CN1&lt;Inputs!$B$58,-CN34+MAX(0,-CN29),0)</f>
        <v>0</v>
      </c>
      <c r="CO36" s="5" t="n">
        <f aca="false">IF(CO1&lt;Inputs!$B$58,-CO34+MAX(0,-CO29),0)</f>
        <v>0</v>
      </c>
      <c r="CP36" s="5" t="n">
        <f aca="false">IF(CP1&lt;Inputs!$B$58,-CP34+MAX(0,-CP29),0)</f>
        <v>0</v>
      </c>
      <c r="CQ36" s="5" t="n">
        <f aca="false">IF(CQ1&lt;Inputs!$B$58,-CQ34+MAX(0,-CQ29),0)</f>
        <v>0</v>
      </c>
      <c r="CR36" s="5" t="n">
        <f aca="false">IF(CR1&lt;Inputs!$B$58,-CR34+MAX(0,-CR29),0)</f>
        <v>0</v>
      </c>
      <c r="CS36" s="5" t="n">
        <f aca="false">IF(CS1&lt;Inputs!$B$58,-CS34+MAX(0,-CS29),0)</f>
        <v>0</v>
      </c>
      <c r="CT36" s="5" t="n">
        <f aca="false">IF(CT1&lt;Inputs!$B$58,-CT34+MAX(0,-CT29),0)</f>
        <v>0</v>
      </c>
    </row>
    <row r="37" customFormat="false" ht="15" hidden="false" customHeight="false" outlineLevel="0" collapsed="false">
      <c r="B37" s="26" t="s">
        <v>174</v>
      </c>
      <c r="C37" s="5" t="n">
        <f aca="false">IF(C1=1,Inputs!$B$87,0)</f>
        <v>14174996.0700836</v>
      </c>
      <c r="D37" s="5" t="n">
        <f aca="false">IF(D1=1,Inputs!$B$87,C39)</f>
        <v>6940107.89638355</v>
      </c>
      <c r="E37" s="5" t="n">
        <f aca="false">IF(E1=1,Inputs!$B$87,D39)</f>
        <v>5951601.91392567</v>
      </c>
      <c r="F37" s="5" t="n">
        <f aca="false">IF(F1=1,Inputs!$B$87,E39)</f>
        <v>4696392.59424005</v>
      </c>
      <c r="G37" s="5" t="n">
        <f aca="false">IF(G1=1,Inputs!$B$87,F39)</f>
        <v>3137543.57637365</v>
      </c>
      <c r="H37" s="5" t="n">
        <f aca="false">IF(H1=1,Inputs!$B$87,G39)</f>
        <v>1246458.09986488</v>
      </c>
      <c r="I37" s="5" t="n">
        <f aca="false">IF(I1=1,Inputs!$B$87,H39)</f>
        <v>0</v>
      </c>
      <c r="J37" s="5" t="n">
        <f aca="false">IF(J1=1,Inputs!$B$87,I39)</f>
        <v>0</v>
      </c>
      <c r="K37" s="5" t="n">
        <f aca="false">IF(K1=1,Inputs!$B$87,J39)</f>
        <v>0</v>
      </c>
      <c r="L37" s="5" t="n">
        <f aca="false">IF(L1=1,Inputs!$B$87,K39)</f>
        <v>0</v>
      </c>
      <c r="M37" s="5" t="n">
        <f aca="false">IF(M1=1,Inputs!$B$87,L39)</f>
        <v>0</v>
      </c>
      <c r="N37" s="5" t="n">
        <f aca="false">IF(N1=1,Inputs!$B$87,M39)</f>
        <v>0</v>
      </c>
      <c r="O37" s="5" t="n">
        <f aca="false">IF(O1=1,Inputs!$B$87,N39)</f>
        <v>0</v>
      </c>
      <c r="P37" s="5" t="n">
        <f aca="false">IF(P1=1,Inputs!$B$87,O39)</f>
        <v>0</v>
      </c>
      <c r="Q37" s="5" t="n">
        <f aca="false">IF(Q1=1,Inputs!$B$87,P39)</f>
        <v>0</v>
      </c>
      <c r="R37" s="5" t="n">
        <f aca="false">IF(R1=1,Inputs!$B$87,Q39)</f>
        <v>0</v>
      </c>
      <c r="S37" s="5" t="n">
        <f aca="false">IF(S1=1,Inputs!$B$87,R39)</f>
        <v>0</v>
      </c>
      <c r="T37" s="5" t="n">
        <f aca="false">IF(T1=1,Inputs!$B$87,S39)</f>
        <v>0</v>
      </c>
      <c r="U37" s="5" t="n">
        <f aca="false">IF(U1=1,Inputs!$B$87,T39)</f>
        <v>0</v>
      </c>
      <c r="V37" s="5" t="n">
        <f aca="false">IF(V1=1,Inputs!$B$87,U39)</f>
        <v>0</v>
      </c>
      <c r="W37" s="5" t="n">
        <f aca="false">IF(W1=1,Inputs!$B$87,V39)</f>
        <v>0</v>
      </c>
      <c r="X37" s="5" t="n">
        <f aca="false">IF(X1=1,Inputs!$B$87,W39)</f>
        <v>0</v>
      </c>
      <c r="Y37" s="5" t="n">
        <f aca="false">IF(Y1=1,Inputs!$B$87,X39)</f>
        <v>0</v>
      </c>
      <c r="Z37" s="5" t="n">
        <f aca="false">IF(Z1=1,Inputs!$B$87,Y39)</f>
        <v>0</v>
      </c>
      <c r="AA37" s="5" t="n">
        <f aca="false">IF(AA1=1,Inputs!$B$87,Z39)</f>
        <v>0</v>
      </c>
      <c r="AB37" s="5" t="n">
        <f aca="false">IF(AB1=1,Inputs!$B$87,AA39)</f>
        <v>0</v>
      </c>
      <c r="AC37" s="5" t="n">
        <f aca="false">IF(AC1=1,Inputs!$B$87,AB39)</f>
        <v>0</v>
      </c>
      <c r="AD37" s="5" t="n">
        <f aca="false">IF(AD1=1,Inputs!$B$87,AC39)</f>
        <v>0</v>
      </c>
      <c r="AE37" s="5" t="n">
        <f aca="false">IF(AE1=1,Inputs!$B$87,AD39)</f>
        <v>0</v>
      </c>
      <c r="AF37" s="5" t="n">
        <f aca="false">IF(AF1=1,Inputs!$B$87,AE39)</f>
        <v>0</v>
      </c>
      <c r="AG37" s="5" t="n">
        <f aca="false">IF(AG1=1,Inputs!$B$87,AF39)</f>
        <v>0</v>
      </c>
      <c r="AH37" s="5" t="n">
        <f aca="false">IF(AH1=1,Inputs!$B$87,AG39)</f>
        <v>0</v>
      </c>
      <c r="AI37" s="5" t="n">
        <f aca="false">IF(AI1=1,Inputs!$B$87,AH39)</f>
        <v>0</v>
      </c>
      <c r="AJ37" s="5" t="n">
        <f aca="false">IF(AJ1=1,Inputs!$B$87,AI39)</f>
        <v>0</v>
      </c>
      <c r="AK37" s="5" t="n">
        <f aca="false">IF(AK1=1,Inputs!$B$87,AJ39)</f>
        <v>0</v>
      </c>
      <c r="AL37" s="5" t="n">
        <f aca="false">IF(AL1=1,Inputs!$B$87,AK39)</f>
        <v>0</v>
      </c>
      <c r="AM37" s="5" t="n">
        <f aca="false">IF(AM1=1,Inputs!$B$87,AL39)</f>
        <v>0</v>
      </c>
      <c r="AN37" s="5" t="n">
        <f aca="false">IF(AN1=1,Inputs!$B$87,AM39)</f>
        <v>0</v>
      </c>
      <c r="AO37" s="5" t="n">
        <f aca="false">IF(AO1=1,Inputs!$B$87,AN39)</f>
        <v>0</v>
      </c>
      <c r="AP37" s="5" t="n">
        <f aca="false">IF(AP1=1,Inputs!$B$87,AO39)</f>
        <v>0</v>
      </c>
      <c r="AQ37" s="5" t="n">
        <f aca="false">IF(AQ1=1,Inputs!$B$87,AP39)</f>
        <v>0</v>
      </c>
      <c r="AR37" s="5" t="n">
        <f aca="false">IF(AR1=1,Inputs!$B$87,AQ39)</f>
        <v>0</v>
      </c>
      <c r="AS37" s="5" t="n">
        <f aca="false">IF(AS1=1,Inputs!$B$87,AR39)</f>
        <v>0</v>
      </c>
      <c r="AT37" s="5" t="n">
        <f aca="false">IF(AT1=1,Inputs!$B$87,AS39)</f>
        <v>0</v>
      </c>
      <c r="AU37" s="5" t="n">
        <f aca="false">IF(AU1=1,Inputs!$B$87,AT39)</f>
        <v>0</v>
      </c>
      <c r="AV37" s="5" t="n">
        <f aca="false">IF(AV1=1,Inputs!$B$87,AU39)</f>
        <v>0</v>
      </c>
      <c r="AW37" s="5" t="n">
        <f aca="false">IF(AW1=1,Inputs!$B$87,AV39)</f>
        <v>0</v>
      </c>
      <c r="AX37" s="5" t="n">
        <f aca="false">IF(AX1=1,Inputs!$B$87,AW39)</f>
        <v>0</v>
      </c>
      <c r="AY37" s="5" t="n">
        <f aca="false">IF(AY1=1,Inputs!$B$87,AX39)</f>
        <v>0</v>
      </c>
      <c r="AZ37" s="5" t="n">
        <f aca="false">IF(AZ1=1,Inputs!$B$87,AY39)</f>
        <v>0</v>
      </c>
      <c r="BA37" s="5" t="n">
        <f aca="false">IF(BA1=1,Inputs!$B$87,AZ39)</f>
        <v>0</v>
      </c>
      <c r="BB37" s="5" t="n">
        <f aca="false">IF(BB1=1,Inputs!$B$87,BA39)</f>
        <v>0</v>
      </c>
      <c r="BC37" s="5" t="n">
        <f aca="false">IF(BC1=1,Inputs!$B$87,BB39)</f>
        <v>0</v>
      </c>
      <c r="BD37" s="5" t="n">
        <f aca="false">IF(BD1=1,Inputs!$B$87,BC39)</f>
        <v>0</v>
      </c>
      <c r="BE37" s="5" t="n">
        <f aca="false">IF(BE1=1,Inputs!$B$87,BD39)</f>
        <v>0</v>
      </c>
      <c r="BF37" s="5" t="n">
        <f aca="false">IF(BF1=1,Inputs!$B$87,BE39)</f>
        <v>0</v>
      </c>
      <c r="BG37" s="5" t="n">
        <f aca="false">IF(BG1=1,Inputs!$B$87,BF39)</f>
        <v>0</v>
      </c>
      <c r="BH37" s="5" t="n">
        <f aca="false">IF(BH1=1,Inputs!$B$87,BG39)</f>
        <v>0</v>
      </c>
      <c r="BI37" s="5" t="n">
        <f aca="false">IF(BI1=1,Inputs!$B$87,BH39)</f>
        <v>0</v>
      </c>
      <c r="BJ37" s="5" t="n">
        <f aca="false">IF(BJ1=1,Inputs!$B$87,BI39)</f>
        <v>0</v>
      </c>
      <c r="BK37" s="5" t="n">
        <f aca="false">IF(BK1=1,Inputs!$B$87,BJ39)</f>
        <v>0</v>
      </c>
      <c r="BL37" s="5" t="n">
        <f aca="false">IF(BL1=1,Inputs!$B$87,BK39)</f>
        <v>0</v>
      </c>
      <c r="BM37" s="5" t="n">
        <f aca="false">IF(BM1=1,Inputs!$B$87,BL39)</f>
        <v>0</v>
      </c>
      <c r="BN37" s="5" t="n">
        <f aca="false">IF(BN1=1,Inputs!$B$87,BM39)</f>
        <v>0</v>
      </c>
      <c r="BO37" s="5" t="n">
        <f aca="false">IF(BO1=1,Inputs!$B$87,BN39)</f>
        <v>0</v>
      </c>
      <c r="BP37" s="5" t="n">
        <f aca="false">IF(BP1=1,Inputs!$B$87,BO39)</f>
        <v>0</v>
      </c>
      <c r="BQ37" s="5" t="n">
        <f aca="false">IF(BQ1=1,Inputs!$B$87,BP39)</f>
        <v>0</v>
      </c>
      <c r="BR37" s="5" t="n">
        <f aca="false">IF(BR1=1,Inputs!$B$87,BQ39)</f>
        <v>0</v>
      </c>
      <c r="BS37" s="5" t="n">
        <f aca="false">IF(BS1=1,Inputs!$B$87,BR39)</f>
        <v>0</v>
      </c>
      <c r="BT37" s="5" t="n">
        <f aca="false">IF(BT1=1,Inputs!$B$87,BS39)</f>
        <v>0</v>
      </c>
      <c r="BU37" s="5" t="n">
        <f aca="false">IF(BU1=1,Inputs!$B$87,BT39)</f>
        <v>0</v>
      </c>
      <c r="BV37" s="5" t="n">
        <f aca="false">IF(BV1=1,Inputs!$B$87,BU39)</f>
        <v>0</v>
      </c>
      <c r="BW37" s="5" t="n">
        <f aca="false">IF(BW1=1,Inputs!$B$87,BV39)</f>
        <v>0</v>
      </c>
      <c r="BX37" s="5" t="n">
        <f aca="false">IF(BX1=1,Inputs!$B$87,BW39)</f>
        <v>0</v>
      </c>
      <c r="BY37" s="5" t="n">
        <f aca="false">IF(BY1=1,Inputs!$B$87,BX39)</f>
        <v>0</v>
      </c>
      <c r="BZ37" s="5" t="n">
        <f aca="false">IF(BZ1=1,Inputs!$B$87,BY39)</f>
        <v>0</v>
      </c>
      <c r="CA37" s="5" t="n">
        <f aca="false">IF(CA1=1,Inputs!$B$87,BZ39)</f>
        <v>0</v>
      </c>
      <c r="CB37" s="5" t="n">
        <f aca="false">IF(CB1=1,Inputs!$B$87,CA39)</f>
        <v>0</v>
      </c>
      <c r="CC37" s="5" t="n">
        <f aca="false">IF(CC1=1,Inputs!$B$87,CB39)</f>
        <v>0</v>
      </c>
      <c r="CD37" s="5" t="n">
        <f aca="false">IF(CD1=1,Inputs!$B$87,CC39)</f>
        <v>0</v>
      </c>
      <c r="CE37" s="5" t="n">
        <f aca="false">IF(CE1=1,Inputs!$B$87,CD39)</f>
        <v>0</v>
      </c>
      <c r="CF37" s="5" t="n">
        <f aca="false">IF(CF1=1,Inputs!$B$87,CE39)</f>
        <v>0</v>
      </c>
      <c r="CG37" s="5" t="n">
        <f aca="false">IF(CG1=1,Inputs!$B$87,CF39)</f>
        <v>0</v>
      </c>
      <c r="CH37" s="5" t="n">
        <f aca="false">IF(CH1=1,Inputs!$B$87,CG39)</f>
        <v>0</v>
      </c>
      <c r="CI37" s="5" t="n">
        <f aca="false">IF(CI1=1,Inputs!$B$87,CH39)</f>
        <v>0</v>
      </c>
      <c r="CJ37" s="5" t="n">
        <f aca="false">IF(CJ1=1,Inputs!$B$87,CI39)</f>
        <v>0</v>
      </c>
      <c r="CK37" s="5" t="n">
        <f aca="false">IF(CK1=1,Inputs!$B$87,CJ39)</f>
        <v>0</v>
      </c>
      <c r="CL37" s="5" t="n">
        <f aca="false">IF(CL1=1,Inputs!$B$87,CK39)</f>
        <v>0</v>
      </c>
      <c r="CM37" s="5" t="n">
        <f aca="false">IF(CM1=1,Inputs!$B$87,CL39)</f>
        <v>0</v>
      </c>
      <c r="CN37" s="5" t="n">
        <f aca="false">IF(CN1=1,Inputs!$B$87,CM39)</f>
        <v>0</v>
      </c>
      <c r="CO37" s="5" t="n">
        <f aca="false">IF(CO1=1,Inputs!$B$87,CN39)</f>
        <v>0</v>
      </c>
      <c r="CP37" s="5" t="n">
        <f aca="false">IF(CP1=1,Inputs!$B$87,CO39)</f>
        <v>0</v>
      </c>
      <c r="CQ37" s="5" t="n">
        <f aca="false">IF(CQ1=1,Inputs!$B$87,CP39)</f>
        <v>0</v>
      </c>
      <c r="CR37" s="5" t="n">
        <f aca="false">IF(CR1=1,Inputs!$B$87,CQ39)</f>
        <v>0</v>
      </c>
      <c r="CS37" s="5" t="n">
        <f aca="false">IF(CS1=1,Inputs!$B$87,CR39)</f>
        <v>0</v>
      </c>
      <c r="CT37" s="5" t="n">
        <f aca="false">IF(CT1=1,Inputs!$B$87,CS39)</f>
        <v>0</v>
      </c>
    </row>
    <row r="38" customFormat="false" ht="15" hidden="false" customHeight="false" outlineLevel="0" collapsed="false">
      <c r="B38" s="26" t="s">
        <v>175</v>
      </c>
      <c r="C38" s="5" t="n">
        <f aca="false">MIN(C37,C36)</f>
        <v>7234888.17370002</v>
      </c>
      <c r="D38" s="5" t="n">
        <f aca="false">MIN(D37,D36)</f>
        <v>988505.982457879</v>
      </c>
      <c r="E38" s="5" t="n">
        <f aca="false">MIN(E37,E36)</f>
        <v>1255209.31968563</v>
      </c>
      <c r="F38" s="5" t="n">
        <f aca="false">MIN(F37,F36)</f>
        <v>1558849.0178664</v>
      </c>
      <c r="G38" s="5" t="n">
        <f aca="false">MIN(G37,G36)</f>
        <v>1891085.47650877</v>
      </c>
      <c r="H38" s="5" t="n">
        <f aca="false">MIN(H37,H36)</f>
        <v>1246458.09986488</v>
      </c>
      <c r="I38" s="5" t="n">
        <f aca="false">MIN(I37,I36)</f>
        <v>0</v>
      </c>
      <c r="J38" s="5" t="n">
        <f aca="false">MIN(J37,J36)</f>
        <v>0</v>
      </c>
      <c r="K38" s="5" t="n">
        <f aca="false">MIN(K37,K36)</f>
        <v>0</v>
      </c>
      <c r="L38" s="5" t="n">
        <f aca="false">MIN(L37,L36)</f>
        <v>0</v>
      </c>
      <c r="M38" s="5" t="n">
        <f aca="false">MIN(M37,M36)</f>
        <v>0</v>
      </c>
      <c r="N38" s="5" t="n">
        <f aca="false">MIN(N37,N36)</f>
        <v>0</v>
      </c>
      <c r="O38" s="5" t="n">
        <f aca="false">MIN(O37,O36)</f>
        <v>0</v>
      </c>
      <c r="P38" s="5" t="n">
        <f aca="false">MIN(P37,P36)</f>
        <v>0</v>
      </c>
      <c r="Q38" s="5" t="n">
        <f aca="false">MIN(Q37,Q36)</f>
        <v>0</v>
      </c>
      <c r="R38" s="5" t="n">
        <f aca="false">MIN(R37,R36)</f>
        <v>0</v>
      </c>
      <c r="S38" s="5" t="n">
        <f aca="false">MIN(S37,S36)</f>
        <v>0</v>
      </c>
      <c r="T38" s="5" t="n">
        <f aca="false">MIN(T37,T36)</f>
        <v>0</v>
      </c>
      <c r="U38" s="5" t="n">
        <f aca="false">MIN(U37,U36)</f>
        <v>0</v>
      </c>
      <c r="V38" s="5" t="n">
        <f aca="false">MIN(V37,V36)</f>
        <v>0</v>
      </c>
      <c r="W38" s="5" t="n">
        <f aca="false">MIN(W37,W36)</f>
        <v>0</v>
      </c>
      <c r="X38" s="5" t="n">
        <f aca="false">MIN(X37,X36)</f>
        <v>0</v>
      </c>
      <c r="Y38" s="5" t="n">
        <f aca="false">MIN(Y37,Y36)</f>
        <v>0</v>
      </c>
      <c r="Z38" s="5" t="n">
        <f aca="false">MIN(Z37,Z36)</f>
        <v>0</v>
      </c>
      <c r="AA38" s="5" t="n">
        <f aca="false">MIN(AA37,AA36)</f>
        <v>0</v>
      </c>
      <c r="AB38" s="5" t="n">
        <f aca="false">MIN(AB37,AB36)</f>
        <v>0</v>
      </c>
      <c r="AC38" s="5" t="n">
        <f aca="false">MIN(AC37,AC36)</f>
        <v>0</v>
      </c>
      <c r="AD38" s="5" t="n">
        <f aca="false">MIN(AD37,AD36)</f>
        <v>0</v>
      </c>
      <c r="AE38" s="5" t="n">
        <f aca="false">MIN(AE37,AE36)</f>
        <v>0</v>
      </c>
      <c r="AF38" s="5" t="n">
        <f aca="false">MIN(AF37,AF36)</f>
        <v>0</v>
      </c>
      <c r="AG38" s="5" t="n">
        <f aca="false">MIN(AG37,AG36)</f>
        <v>0</v>
      </c>
      <c r="AH38" s="5" t="n">
        <f aca="false">MIN(AH37,AH36)</f>
        <v>0</v>
      </c>
      <c r="AI38" s="5" t="n">
        <f aca="false">MIN(AI37,AI36)</f>
        <v>0</v>
      </c>
      <c r="AJ38" s="5" t="n">
        <f aca="false">MIN(AJ37,AJ36)</f>
        <v>0</v>
      </c>
      <c r="AK38" s="5" t="n">
        <f aca="false">MIN(AK37,AK36)</f>
        <v>0</v>
      </c>
      <c r="AL38" s="5" t="n">
        <f aca="false">MIN(AL37,AL36)</f>
        <v>0</v>
      </c>
      <c r="AM38" s="5" t="n">
        <f aca="false">MIN(AM37,AM36)</f>
        <v>0</v>
      </c>
      <c r="AN38" s="5" t="n">
        <f aca="false">MIN(AN37,AN36)</f>
        <v>0</v>
      </c>
      <c r="AO38" s="5" t="n">
        <f aca="false">MIN(AO37,AO36)</f>
        <v>0</v>
      </c>
      <c r="AP38" s="5" t="n">
        <f aca="false">MIN(AP37,AP36)</f>
        <v>0</v>
      </c>
      <c r="AQ38" s="5" t="n">
        <f aca="false">MIN(AQ37,AQ36)</f>
        <v>0</v>
      </c>
      <c r="AR38" s="5" t="n">
        <f aca="false">MIN(AR37,AR36)</f>
        <v>0</v>
      </c>
      <c r="AS38" s="5" t="n">
        <f aca="false">MIN(AS37,AS36)</f>
        <v>0</v>
      </c>
      <c r="AT38" s="5" t="n">
        <f aca="false">MIN(AT37,AT36)</f>
        <v>0</v>
      </c>
      <c r="AU38" s="5" t="n">
        <f aca="false">MIN(AU37,AU36)</f>
        <v>0</v>
      </c>
      <c r="AV38" s="5" t="n">
        <f aca="false">MIN(AV37,AV36)</f>
        <v>0</v>
      </c>
      <c r="AW38" s="5" t="n">
        <f aca="false">MIN(AW37,AW36)</f>
        <v>0</v>
      </c>
      <c r="AX38" s="5" t="n">
        <f aca="false">MIN(AX37,AX36)</f>
        <v>0</v>
      </c>
      <c r="AY38" s="5" t="n">
        <f aca="false">MIN(AY37,AY36)</f>
        <v>0</v>
      </c>
      <c r="AZ38" s="5" t="n">
        <f aca="false">MIN(AZ37,AZ36)</f>
        <v>0</v>
      </c>
      <c r="BA38" s="5" t="n">
        <f aca="false">MIN(BA37,BA36)</f>
        <v>0</v>
      </c>
      <c r="BB38" s="5" t="n">
        <f aca="false">MIN(BB37,BB36)</f>
        <v>0</v>
      </c>
      <c r="BC38" s="5" t="n">
        <f aca="false">MIN(BC37,BC36)</f>
        <v>0</v>
      </c>
      <c r="BD38" s="5" t="n">
        <f aca="false">MIN(BD37,BD36)</f>
        <v>0</v>
      </c>
      <c r="BE38" s="5" t="n">
        <f aca="false">MIN(BE37,BE36)</f>
        <v>0</v>
      </c>
      <c r="BF38" s="5" t="n">
        <f aca="false">MIN(BF37,BF36)</f>
        <v>0</v>
      </c>
      <c r="BG38" s="5" t="n">
        <f aca="false">MIN(BG37,BG36)</f>
        <v>0</v>
      </c>
      <c r="BH38" s="5" t="n">
        <f aca="false">MIN(BH37,BH36)</f>
        <v>0</v>
      </c>
      <c r="BI38" s="5" t="n">
        <f aca="false">MIN(BI37,BI36)</f>
        <v>0</v>
      </c>
      <c r="BJ38" s="5" t="n">
        <f aca="false">MIN(BJ37,BJ36)</f>
        <v>0</v>
      </c>
      <c r="BK38" s="5" t="n">
        <f aca="false">MIN(BK37,BK36)</f>
        <v>0</v>
      </c>
      <c r="BL38" s="5" t="n">
        <f aca="false">MIN(BL37,BL36)</f>
        <v>0</v>
      </c>
      <c r="BM38" s="5" t="n">
        <f aca="false">MIN(BM37,BM36)</f>
        <v>0</v>
      </c>
      <c r="BN38" s="5" t="n">
        <f aca="false">MIN(BN37,BN36)</f>
        <v>0</v>
      </c>
      <c r="BO38" s="5" t="n">
        <f aca="false">MIN(BO37,BO36)</f>
        <v>0</v>
      </c>
      <c r="BP38" s="5" t="n">
        <f aca="false">MIN(BP37,BP36)</f>
        <v>0</v>
      </c>
      <c r="BQ38" s="5" t="n">
        <f aca="false">MIN(BQ37,BQ36)</f>
        <v>0</v>
      </c>
      <c r="BR38" s="5" t="n">
        <f aca="false">MIN(BR37,BR36)</f>
        <v>0</v>
      </c>
      <c r="BS38" s="5" t="n">
        <f aca="false">MIN(BS37,BS36)</f>
        <v>0</v>
      </c>
      <c r="BT38" s="5" t="n">
        <f aca="false">MIN(BT37,BT36)</f>
        <v>0</v>
      </c>
      <c r="BU38" s="5" t="n">
        <f aca="false">MIN(BU37,BU36)</f>
        <v>0</v>
      </c>
      <c r="BV38" s="5" t="n">
        <f aca="false">MIN(BV37,BV36)</f>
        <v>0</v>
      </c>
      <c r="BW38" s="5" t="n">
        <f aca="false">MIN(BW37,BW36)</f>
        <v>0</v>
      </c>
      <c r="BX38" s="5" t="n">
        <f aca="false">MIN(BX37,BX36)</f>
        <v>0</v>
      </c>
      <c r="BY38" s="5" t="n">
        <f aca="false">MIN(BY37,BY36)</f>
        <v>0</v>
      </c>
      <c r="BZ38" s="5" t="n">
        <f aca="false">MIN(BZ37,BZ36)</f>
        <v>0</v>
      </c>
      <c r="CA38" s="5" t="n">
        <f aca="false">MIN(CA37,CA36)</f>
        <v>0</v>
      </c>
      <c r="CB38" s="5" t="n">
        <f aca="false">MIN(CB37,CB36)</f>
        <v>0</v>
      </c>
      <c r="CC38" s="5" t="n">
        <f aca="false">MIN(CC37,CC36)</f>
        <v>0</v>
      </c>
      <c r="CD38" s="5" t="n">
        <f aca="false">MIN(CD37,CD36)</f>
        <v>0</v>
      </c>
      <c r="CE38" s="5" t="n">
        <f aca="false">MIN(CE37,CE36)</f>
        <v>0</v>
      </c>
      <c r="CF38" s="5" t="n">
        <f aca="false">MIN(CF37,CF36)</f>
        <v>0</v>
      </c>
      <c r="CG38" s="5" t="n">
        <f aca="false">MIN(CG37,CG36)</f>
        <v>0</v>
      </c>
      <c r="CH38" s="5" t="n">
        <f aca="false">MIN(CH37,CH36)</f>
        <v>0</v>
      </c>
      <c r="CI38" s="5" t="n">
        <f aca="false">MIN(CI37,CI36)</f>
        <v>0</v>
      </c>
      <c r="CJ38" s="5" t="n">
        <f aca="false">MIN(CJ37,CJ36)</f>
        <v>0</v>
      </c>
      <c r="CK38" s="5" t="n">
        <f aca="false">MIN(CK37,CK36)</f>
        <v>0</v>
      </c>
      <c r="CL38" s="5" t="n">
        <f aca="false">MIN(CL37,CL36)</f>
        <v>0</v>
      </c>
      <c r="CM38" s="5" t="n">
        <f aca="false">MIN(CM37,CM36)</f>
        <v>0</v>
      </c>
      <c r="CN38" s="5" t="n">
        <f aca="false">MIN(CN37,CN36)</f>
        <v>0</v>
      </c>
      <c r="CO38" s="5" t="n">
        <f aca="false">MIN(CO37,CO36)</f>
        <v>0</v>
      </c>
      <c r="CP38" s="5" t="n">
        <f aca="false">MIN(CP37,CP36)</f>
        <v>0</v>
      </c>
      <c r="CQ38" s="5" t="n">
        <f aca="false">MIN(CQ37,CQ36)</f>
        <v>0</v>
      </c>
      <c r="CR38" s="5" t="n">
        <f aca="false">MIN(CR37,CR36)</f>
        <v>0</v>
      </c>
      <c r="CS38" s="5" t="n">
        <f aca="false">MIN(CS37,CS36)</f>
        <v>0</v>
      </c>
      <c r="CT38" s="5" t="n">
        <f aca="false">MIN(CT37,CT36)</f>
        <v>0</v>
      </c>
    </row>
    <row r="39" customFormat="false" ht="15" hidden="false" customHeight="false" outlineLevel="0" collapsed="false">
      <c r="B39" s="26" t="s">
        <v>176</v>
      </c>
      <c r="C39" s="5" t="n">
        <f aca="false">C37-C38</f>
        <v>6940107.89638355</v>
      </c>
      <c r="D39" s="5" t="n">
        <f aca="false">D37-D38</f>
        <v>5951601.91392567</v>
      </c>
      <c r="E39" s="5" t="n">
        <f aca="false">E37-E38</f>
        <v>4696392.59424005</v>
      </c>
      <c r="F39" s="5" t="n">
        <f aca="false">F37-F38</f>
        <v>3137543.57637365</v>
      </c>
      <c r="G39" s="5" t="n">
        <f aca="false">G37-G38</f>
        <v>1246458.09986488</v>
      </c>
      <c r="H39" s="5" t="n">
        <f aca="false">H37-H38</f>
        <v>0</v>
      </c>
      <c r="I39" s="5" t="n">
        <f aca="false">I37-I38</f>
        <v>0</v>
      </c>
      <c r="J39" s="5" t="n">
        <f aca="false">J37-J38</f>
        <v>0</v>
      </c>
      <c r="K39" s="5" t="n">
        <f aca="false">K37-K38</f>
        <v>0</v>
      </c>
      <c r="L39" s="5" t="n">
        <f aca="false">L37-L38</f>
        <v>0</v>
      </c>
      <c r="M39" s="5" t="n">
        <f aca="false">M37-M38</f>
        <v>0</v>
      </c>
      <c r="N39" s="5" t="n">
        <f aca="false">N37-N38</f>
        <v>0</v>
      </c>
      <c r="O39" s="5" t="n">
        <f aca="false">O37-O38</f>
        <v>0</v>
      </c>
      <c r="P39" s="5" t="n">
        <f aca="false">P37-P38</f>
        <v>0</v>
      </c>
      <c r="Q39" s="5" t="n">
        <f aca="false">Q37-Q38</f>
        <v>0</v>
      </c>
      <c r="R39" s="5" t="n">
        <f aca="false">R37-R38</f>
        <v>0</v>
      </c>
      <c r="S39" s="5" t="n">
        <f aca="false">S37-S38</f>
        <v>0</v>
      </c>
      <c r="T39" s="5" t="n">
        <f aca="false">T37-T38</f>
        <v>0</v>
      </c>
      <c r="U39" s="5" t="n">
        <f aca="false">U37-U38</f>
        <v>0</v>
      </c>
      <c r="V39" s="5" t="n">
        <f aca="false">V37-V38</f>
        <v>0</v>
      </c>
      <c r="W39" s="5" t="n">
        <f aca="false">W37-W38</f>
        <v>0</v>
      </c>
      <c r="X39" s="5" t="n">
        <f aca="false">X37-X38</f>
        <v>0</v>
      </c>
      <c r="Y39" s="5" t="n">
        <f aca="false">Y37-Y38</f>
        <v>0</v>
      </c>
      <c r="Z39" s="5" t="n">
        <f aca="false">Z37-Z38</f>
        <v>0</v>
      </c>
      <c r="AA39" s="5" t="n">
        <f aca="false">AA37-AA38</f>
        <v>0</v>
      </c>
      <c r="AB39" s="5" t="n">
        <f aca="false">AB37-AB38</f>
        <v>0</v>
      </c>
      <c r="AC39" s="5" t="n">
        <f aca="false">AC37-AC38</f>
        <v>0</v>
      </c>
      <c r="AD39" s="5" t="n">
        <f aca="false">AD37-AD38</f>
        <v>0</v>
      </c>
      <c r="AE39" s="5" t="n">
        <f aca="false">AE37-AE38</f>
        <v>0</v>
      </c>
      <c r="AF39" s="5" t="n">
        <f aca="false">AF37-AF38</f>
        <v>0</v>
      </c>
      <c r="AG39" s="5" t="n">
        <f aca="false">AG37-AG38</f>
        <v>0</v>
      </c>
      <c r="AH39" s="5" t="n">
        <f aca="false">AH37-AH38</f>
        <v>0</v>
      </c>
      <c r="AI39" s="5" t="n">
        <f aca="false">AI37-AI38</f>
        <v>0</v>
      </c>
      <c r="AJ39" s="5" t="n">
        <f aca="false">AJ37-AJ38</f>
        <v>0</v>
      </c>
      <c r="AK39" s="5" t="n">
        <f aca="false">AK37-AK38</f>
        <v>0</v>
      </c>
      <c r="AL39" s="5" t="n">
        <f aca="false">AL37-AL38</f>
        <v>0</v>
      </c>
      <c r="AM39" s="5" t="n">
        <f aca="false">AM37-AM38</f>
        <v>0</v>
      </c>
      <c r="AN39" s="5" t="n">
        <f aca="false">AN37-AN38</f>
        <v>0</v>
      </c>
      <c r="AO39" s="5" t="n">
        <f aca="false">AO37-AO38</f>
        <v>0</v>
      </c>
      <c r="AP39" s="5" t="n">
        <f aca="false">AP37-AP38</f>
        <v>0</v>
      </c>
      <c r="AQ39" s="5" t="n">
        <f aca="false">AQ37-AQ38</f>
        <v>0</v>
      </c>
      <c r="AR39" s="5" t="n">
        <f aca="false">AR37-AR38</f>
        <v>0</v>
      </c>
      <c r="AS39" s="5" t="n">
        <f aca="false">AS37-AS38</f>
        <v>0</v>
      </c>
      <c r="AT39" s="5" t="n">
        <f aca="false">AT37-AT38</f>
        <v>0</v>
      </c>
      <c r="AU39" s="5" t="n">
        <f aca="false">AU37-AU38</f>
        <v>0</v>
      </c>
      <c r="AV39" s="5" t="n">
        <f aca="false">AV37-AV38</f>
        <v>0</v>
      </c>
      <c r="AW39" s="5" t="n">
        <f aca="false">AW37-AW38</f>
        <v>0</v>
      </c>
      <c r="AX39" s="5" t="n">
        <f aca="false">AX37-AX38</f>
        <v>0</v>
      </c>
      <c r="AY39" s="5" t="n">
        <f aca="false">AY37-AY38</f>
        <v>0</v>
      </c>
      <c r="AZ39" s="5" t="n">
        <f aca="false">AZ37-AZ38</f>
        <v>0</v>
      </c>
      <c r="BA39" s="5" t="n">
        <f aca="false">BA37-BA38</f>
        <v>0</v>
      </c>
      <c r="BB39" s="5" t="n">
        <f aca="false">BB37-BB38</f>
        <v>0</v>
      </c>
      <c r="BC39" s="5" t="n">
        <f aca="false">BC37-BC38</f>
        <v>0</v>
      </c>
      <c r="BD39" s="5" t="n">
        <f aca="false">BD37-BD38</f>
        <v>0</v>
      </c>
      <c r="BE39" s="5" t="n">
        <f aca="false">BE37-BE38</f>
        <v>0</v>
      </c>
      <c r="BF39" s="5" t="n">
        <f aca="false">BF37-BF38</f>
        <v>0</v>
      </c>
      <c r="BG39" s="5" t="n">
        <f aca="false">BG37-BG38</f>
        <v>0</v>
      </c>
      <c r="BH39" s="5" t="n">
        <f aca="false">BH37-BH38</f>
        <v>0</v>
      </c>
      <c r="BI39" s="5" t="n">
        <f aca="false">BI37-BI38</f>
        <v>0</v>
      </c>
      <c r="BJ39" s="5" t="n">
        <f aca="false">BJ37-BJ38</f>
        <v>0</v>
      </c>
      <c r="BK39" s="5" t="n">
        <f aca="false">BK37-BK38</f>
        <v>0</v>
      </c>
      <c r="BL39" s="5" t="n">
        <f aca="false">BL37-BL38</f>
        <v>0</v>
      </c>
      <c r="BM39" s="5" t="n">
        <f aca="false">BM37-BM38</f>
        <v>0</v>
      </c>
      <c r="BN39" s="5" t="n">
        <f aca="false">BN37-BN38</f>
        <v>0</v>
      </c>
      <c r="BO39" s="5" t="n">
        <f aca="false">BO37-BO38</f>
        <v>0</v>
      </c>
      <c r="BP39" s="5" t="n">
        <f aca="false">BP37-BP38</f>
        <v>0</v>
      </c>
      <c r="BQ39" s="5" t="n">
        <f aca="false">BQ37-BQ38</f>
        <v>0</v>
      </c>
      <c r="BR39" s="5" t="n">
        <f aca="false">BR37-BR38</f>
        <v>0</v>
      </c>
      <c r="BS39" s="5" t="n">
        <f aca="false">BS37-BS38</f>
        <v>0</v>
      </c>
      <c r="BT39" s="5" t="n">
        <f aca="false">BT37-BT38</f>
        <v>0</v>
      </c>
      <c r="BU39" s="5" t="n">
        <f aca="false">BU37-BU38</f>
        <v>0</v>
      </c>
      <c r="BV39" s="5" t="n">
        <f aca="false">BV37-BV38</f>
        <v>0</v>
      </c>
      <c r="BW39" s="5" t="n">
        <f aca="false">BW37-BW38</f>
        <v>0</v>
      </c>
      <c r="BX39" s="5" t="n">
        <f aca="false">BX37-BX38</f>
        <v>0</v>
      </c>
      <c r="BY39" s="5" t="n">
        <f aca="false">BY37-BY38</f>
        <v>0</v>
      </c>
      <c r="BZ39" s="5" t="n">
        <f aca="false">BZ37-BZ38</f>
        <v>0</v>
      </c>
      <c r="CA39" s="5" t="n">
        <f aca="false">CA37-CA38</f>
        <v>0</v>
      </c>
      <c r="CB39" s="5" t="n">
        <f aca="false">CB37-CB38</f>
        <v>0</v>
      </c>
      <c r="CC39" s="5" t="n">
        <f aca="false">CC37-CC38</f>
        <v>0</v>
      </c>
      <c r="CD39" s="5" t="n">
        <f aca="false">CD37-CD38</f>
        <v>0</v>
      </c>
      <c r="CE39" s="5" t="n">
        <f aca="false">CE37-CE38</f>
        <v>0</v>
      </c>
      <c r="CF39" s="5" t="n">
        <f aca="false">CF37-CF38</f>
        <v>0</v>
      </c>
      <c r="CG39" s="5" t="n">
        <f aca="false">CG37-CG38</f>
        <v>0</v>
      </c>
      <c r="CH39" s="5" t="n">
        <f aca="false">CH37-CH38</f>
        <v>0</v>
      </c>
      <c r="CI39" s="5" t="n">
        <f aca="false">CI37-CI38</f>
        <v>0</v>
      </c>
      <c r="CJ39" s="5" t="n">
        <f aca="false">CJ37-CJ38</f>
        <v>0</v>
      </c>
      <c r="CK39" s="5" t="n">
        <f aca="false">CK37-CK38</f>
        <v>0</v>
      </c>
      <c r="CL39" s="5" t="n">
        <f aca="false">CL37-CL38</f>
        <v>0</v>
      </c>
      <c r="CM39" s="5" t="n">
        <f aca="false">CM37-CM38</f>
        <v>0</v>
      </c>
      <c r="CN39" s="5" t="n">
        <f aca="false">CN37-CN38</f>
        <v>0</v>
      </c>
      <c r="CO39" s="5" t="n">
        <f aca="false">CO37-CO38</f>
        <v>0</v>
      </c>
      <c r="CP39" s="5" t="n">
        <f aca="false">CP37-CP38</f>
        <v>0</v>
      </c>
      <c r="CQ39" s="5" t="n">
        <f aca="false">CQ37-CQ38</f>
        <v>0</v>
      </c>
      <c r="CR39" s="5" t="n">
        <f aca="false">CR37-CR38</f>
        <v>0</v>
      </c>
      <c r="CS39" s="5" t="n">
        <f aca="false">CS37-CS38</f>
        <v>0</v>
      </c>
      <c r="CT39" s="5" t="n">
        <f aca="false">CT37-CT38</f>
        <v>0</v>
      </c>
    </row>
    <row r="40" customFormat="false" ht="15" hidden="false" customHeight="false" outlineLevel="0" collapsed="false">
      <c r="B40" s="26" t="s">
        <v>177</v>
      </c>
      <c r="C40" s="5" t="n">
        <f aca="false">0</f>
        <v>0</v>
      </c>
      <c r="D40" s="5" t="n">
        <f aca="false">IF(D1=1,0,C44)</f>
        <v>0</v>
      </c>
      <c r="E40" s="5" t="n">
        <f aca="false">IF(E1=1,0,D44)</f>
        <v>0</v>
      </c>
      <c r="F40" s="5" t="n">
        <f aca="false">IF(F1=1,0,E44)</f>
        <v>0</v>
      </c>
      <c r="G40" s="5" t="n">
        <f aca="false">IF(G1=1,0,F44)</f>
        <v>0</v>
      </c>
      <c r="H40" s="5" t="n">
        <f aca="false">IF(H1=1,0,G44)</f>
        <v>0</v>
      </c>
      <c r="I40" s="5" t="n">
        <f aca="false">IF(I1=1,0,H44)</f>
        <v>992453.384153278</v>
      </c>
      <c r="J40" s="5" t="n">
        <f aca="false">IF(J1=1,0,I44)</f>
        <v>3583577.37854249</v>
      </c>
      <c r="K40" s="5" t="n">
        <f aca="false">IF(K1=1,0,J44)</f>
        <v>6514773.01393094</v>
      </c>
      <c r="L40" s="5" t="n">
        <f aca="false">IF(L1=1,0,K44)</f>
        <v>9744971.40293996</v>
      </c>
      <c r="M40" s="5" t="n">
        <f aca="false">IF(M1=1,0,L44)</f>
        <v>13323334.0348917</v>
      </c>
      <c r="N40" s="5" t="n">
        <f aca="false">IF(N1=1,0,M44)</f>
        <v>17072972.5843851</v>
      </c>
      <c r="O40" s="5" t="n">
        <f aca="false">IF(O1=1,0,N44)</f>
        <v>20892577.998012</v>
      </c>
      <c r="P40" s="5" t="n">
        <f aca="false">IF(P1=1,0,O44)</f>
        <v>24691001.6964492</v>
      </c>
      <c r="Q40" s="5" t="n">
        <f aca="false">IF(Q1=1,0,P44)</f>
        <v>28336420.2310968</v>
      </c>
      <c r="R40" s="5" t="n">
        <f aca="false">IF(R1=1,0,Q44)</f>
        <v>31748025.3780545</v>
      </c>
      <c r="S40" s="5" t="n">
        <f aca="false">IF(S1=1,0,R44)</f>
        <v>34861119.5291241</v>
      </c>
      <c r="T40" s="5" t="n">
        <f aca="false">IF(T1=1,0,S44)</f>
        <v>37654366.7148059</v>
      </c>
      <c r="U40" s="5" t="n">
        <f aca="false">IF(U1=1,0,T44)</f>
        <v>40118273.3310593</v>
      </c>
      <c r="V40" s="5" t="n">
        <f aca="false">IF(V1=1,0,U44)</f>
        <v>42249240.0422766</v>
      </c>
      <c r="W40" s="5" t="n">
        <f aca="false">IF(W1=1,0,V44)</f>
        <v>44060844.8853984</v>
      </c>
      <c r="X40" s="5" t="n">
        <f aca="false">IF(X1=1,0,W44)</f>
        <v>45579755.1429333</v>
      </c>
      <c r="Y40" s="5" t="n">
        <f aca="false">IF(Y1=1,0,X44)</f>
        <v>45855132.8302552</v>
      </c>
      <c r="Z40" s="5" t="n">
        <f aca="false">IF(Z1=1,0,Y44)</f>
        <v>46132174.2577713</v>
      </c>
      <c r="AA40" s="5" t="n">
        <f aca="false">IF(AA1=1,0,Z44)</f>
        <v>46410889.4772453</v>
      </c>
      <c r="AB40" s="5" t="n">
        <f aca="false">IF(AB1=1,0,AA44)</f>
        <v>46691288.6011703</v>
      </c>
      <c r="AC40" s="5" t="n">
        <f aca="false">IF(AC1=1,0,AB44)</f>
        <v>46973381.8031358</v>
      </c>
      <c r="AD40" s="5" t="n">
        <f aca="false">IF(AD1=1,0,AC44)</f>
        <v>47257179.3181964</v>
      </c>
      <c r="AE40" s="5" t="n">
        <f aca="false">IF(AE1=1,0,AD44)</f>
        <v>47542691.4432438</v>
      </c>
      <c r="AF40" s="5" t="n">
        <f aca="false">IF(AF1=1,0,AE44)</f>
        <v>47829928.5373801</v>
      </c>
      <c r="AG40" s="5" t="n">
        <f aca="false">IF(AG1=1,0,AF44)</f>
        <v>48118901.0222934</v>
      </c>
      <c r="AH40" s="5" t="n">
        <f aca="false">IF(AH1=1,0,AG44)</f>
        <v>48409619.3826364</v>
      </c>
      <c r="AI40" s="5" t="n">
        <f aca="false">IF(AI1=1,0,AH44)</f>
        <v>48702094.1664065</v>
      </c>
      <c r="AJ40" s="5" t="n">
        <f aca="false">IF(AJ1=1,0,AI44)</f>
        <v>0</v>
      </c>
      <c r="AK40" s="5" t="n">
        <f aca="false">IF(AK1=1,0,AJ44)</f>
        <v>0</v>
      </c>
      <c r="AL40" s="5" t="n">
        <f aca="false">IF(AL1=1,0,AK44)</f>
        <v>0</v>
      </c>
      <c r="AM40" s="5" t="n">
        <f aca="false">IF(AM1=1,0,AL44)</f>
        <v>0</v>
      </c>
      <c r="AN40" s="5" t="n">
        <f aca="false">IF(AN1=1,0,AM44)</f>
        <v>0</v>
      </c>
      <c r="AO40" s="5" t="n">
        <f aca="false">IF(AO1=1,0,AN44)</f>
        <v>0</v>
      </c>
      <c r="AP40" s="5" t="n">
        <f aca="false">IF(AP1=1,0,AO44)</f>
        <v>0</v>
      </c>
      <c r="AQ40" s="5" t="n">
        <f aca="false">IF(AQ1=1,0,AP44)</f>
        <v>0</v>
      </c>
      <c r="AR40" s="5" t="n">
        <f aca="false">IF(AR1=1,0,AQ44)</f>
        <v>0</v>
      </c>
      <c r="AS40" s="5" t="n">
        <f aca="false">IF(AS1=1,0,AR44)</f>
        <v>0</v>
      </c>
      <c r="AT40" s="5" t="n">
        <f aca="false">IF(AT1=1,0,AS44)</f>
        <v>0</v>
      </c>
      <c r="AU40" s="5" t="n">
        <f aca="false">IF(AU1=1,0,AT44)</f>
        <v>0</v>
      </c>
      <c r="AV40" s="5" t="n">
        <f aca="false">IF(AV1=1,0,AU44)</f>
        <v>0</v>
      </c>
      <c r="AW40" s="5" t="n">
        <f aca="false">IF(AW1=1,0,AV44)</f>
        <v>0</v>
      </c>
      <c r="AX40" s="5" t="n">
        <f aca="false">IF(AX1=1,0,AW44)</f>
        <v>0</v>
      </c>
      <c r="AY40" s="5" t="n">
        <f aca="false">IF(AY1=1,0,AX44)</f>
        <v>0</v>
      </c>
      <c r="AZ40" s="5" t="n">
        <f aca="false">IF(AZ1=1,0,AY44)</f>
        <v>0</v>
      </c>
      <c r="BA40" s="5" t="n">
        <f aca="false">IF(BA1=1,0,AZ44)</f>
        <v>0</v>
      </c>
      <c r="BB40" s="5" t="n">
        <f aca="false">IF(BB1=1,0,BA44)</f>
        <v>0</v>
      </c>
      <c r="BC40" s="5" t="n">
        <f aca="false">IF(BC1=1,0,BB44)</f>
        <v>0</v>
      </c>
      <c r="BD40" s="5" t="n">
        <f aca="false">IF(BD1=1,0,BC44)</f>
        <v>0</v>
      </c>
      <c r="BE40" s="5" t="n">
        <f aca="false">IF(BE1=1,0,BD44)</f>
        <v>0</v>
      </c>
      <c r="BF40" s="5" t="n">
        <f aca="false">IF(BF1=1,0,BE44)</f>
        <v>0</v>
      </c>
      <c r="BG40" s="5" t="n">
        <f aca="false">IF(BG1=1,0,BF44)</f>
        <v>0</v>
      </c>
      <c r="BH40" s="5" t="n">
        <f aca="false">IF(BH1=1,0,BG44)</f>
        <v>0</v>
      </c>
      <c r="BI40" s="5" t="n">
        <f aca="false">IF(BI1=1,0,BH44)</f>
        <v>0</v>
      </c>
      <c r="BJ40" s="5" t="n">
        <f aca="false">IF(BJ1=1,0,BI44)</f>
        <v>0</v>
      </c>
      <c r="BK40" s="5" t="n">
        <f aca="false">IF(BK1=1,0,BJ44)</f>
        <v>0</v>
      </c>
      <c r="BL40" s="5" t="n">
        <f aca="false">IF(BL1=1,0,BK44)</f>
        <v>0</v>
      </c>
      <c r="BM40" s="5" t="n">
        <f aca="false">IF(BM1=1,0,BL44)</f>
        <v>0</v>
      </c>
      <c r="BN40" s="5" t="n">
        <f aca="false">IF(BN1=1,0,BM44)</f>
        <v>0</v>
      </c>
      <c r="BO40" s="5" t="n">
        <f aca="false">IF(BO1=1,0,BN44)</f>
        <v>0</v>
      </c>
      <c r="BP40" s="5" t="n">
        <f aca="false">IF(BP1=1,0,BO44)</f>
        <v>0</v>
      </c>
      <c r="BQ40" s="5" t="n">
        <f aca="false">IF(BQ1=1,0,BP44)</f>
        <v>0</v>
      </c>
      <c r="BR40" s="5" t="n">
        <f aca="false">IF(BR1=1,0,BQ44)</f>
        <v>0</v>
      </c>
      <c r="BS40" s="5" t="n">
        <f aca="false">IF(BS1=1,0,BR44)</f>
        <v>0</v>
      </c>
      <c r="BT40" s="5" t="n">
        <f aca="false">IF(BT1=1,0,BS44)</f>
        <v>0</v>
      </c>
      <c r="BU40" s="5" t="n">
        <f aca="false">IF(BU1=1,0,BT44)</f>
        <v>0</v>
      </c>
      <c r="BV40" s="5" t="n">
        <f aca="false">IF(BV1=1,0,BU44)</f>
        <v>0</v>
      </c>
      <c r="BW40" s="5" t="n">
        <f aca="false">IF(BW1=1,0,BV44)</f>
        <v>0</v>
      </c>
      <c r="BX40" s="5" t="n">
        <f aca="false">IF(BX1=1,0,BW44)</f>
        <v>0</v>
      </c>
      <c r="BY40" s="5" t="n">
        <f aca="false">IF(BY1=1,0,BX44)</f>
        <v>0</v>
      </c>
      <c r="BZ40" s="5" t="n">
        <f aca="false">IF(BZ1=1,0,BY44)</f>
        <v>0</v>
      </c>
      <c r="CA40" s="5" t="n">
        <f aca="false">IF(CA1=1,0,BZ44)</f>
        <v>0</v>
      </c>
      <c r="CB40" s="5" t="n">
        <f aca="false">IF(CB1=1,0,CA44)</f>
        <v>0</v>
      </c>
      <c r="CC40" s="5" t="n">
        <f aca="false">IF(CC1=1,0,CB44)</f>
        <v>0</v>
      </c>
      <c r="CD40" s="5" t="n">
        <f aca="false">IF(CD1=1,0,CC44)</f>
        <v>0</v>
      </c>
      <c r="CE40" s="5" t="n">
        <f aca="false">IF(CE1=1,0,CD44)</f>
        <v>0</v>
      </c>
      <c r="CF40" s="5" t="n">
        <f aca="false">IF(CF1=1,0,CE44)</f>
        <v>0</v>
      </c>
      <c r="CG40" s="5" t="n">
        <f aca="false">IF(CG1=1,0,CF44)</f>
        <v>0</v>
      </c>
      <c r="CH40" s="5" t="n">
        <f aca="false">IF(CH1=1,0,CG44)</f>
        <v>0</v>
      </c>
      <c r="CI40" s="5" t="n">
        <f aca="false">IF(CI1=1,0,CH44)</f>
        <v>0</v>
      </c>
      <c r="CJ40" s="5" t="n">
        <f aca="false">IF(CJ1=1,0,CI44)</f>
        <v>0</v>
      </c>
      <c r="CK40" s="5" t="n">
        <f aca="false">IF(CK1=1,0,CJ44)</f>
        <v>0</v>
      </c>
      <c r="CL40" s="5" t="n">
        <f aca="false">IF(CL1=1,0,CK44)</f>
        <v>0</v>
      </c>
      <c r="CM40" s="5" t="n">
        <f aca="false">IF(CM1=1,0,CL44)</f>
        <v>0</v>
      </c>
      <c r="CN40" s="5" t="n">
        <f aca="false">IF(CN1=1,0,CM44)</f>
        <v>0</v>
      </c>
      <c r="CO40" s="5" t="n">
        <f aca="false">IF(CO1=1,0,CN44)</f>
        <v>0</v>
      </c>
      <c r="CP40" s="5" t="n">
        <f aca="false">IF(CP1=1,0,CO44)</f>
        <v>0</v>
      </c>
      <c r="CQ40" s="5" t="n">
        <f aca="false">IF(CQ1=1,0,CP44)</f>
        <v>0</v>
      </c>
      <c r="CR40" s="5" t="n">
        <f aca="false">IF(CR1=1,0,CQ44)</f>
        <v>0</v>
      </c>
      <c r="CS40" s="5" t="n">
        <f aca="false">IF(CS1=1,0,CR44)</f>
        <v>0</v>
      </c>
      <c r="CT40" s="5" t="n">
        <f aca="false">IF(CT1=1,0,CS44)</f>
        <v>0</v>
      </c>
    </row>
    <row r="41" customFormat="false" ht="15" hidden="false" customHeight="false" outlineLevel="0" collapsed="false">
      <c r="B41" s="26" t="s">
        <v>178</v>
      </c>
      <c r="C41" s="5" t="n">
        <f aca="false">IF(C1&lt;Inputs!$B$58,C36-C38,0)</f>
        <v>0</v>
      </c>
      <c r="D41" s="5" t="n">
        <f aca="false">IF(D1&lt;Inputs!$B$58,D36-D38,0)</f>
        <v>0</v>
      </c>
      <c r="E41" s="5" t="n">
        <f aca="false">IF(E1&lt;Inputs!$B$58,E36-E38,0)</f>
        <v>0</v>
      </c>
      <c r="F41" s="5" t="n">
        <f aca="false">IF(F1&lt;Inputs!$B$58,F36-F38,0)</f>
        <v>0</v>
      </c>
      <c r="G41" s="5" t="n">
        <f aca="false">IF(G1&lt;Inputs!$B$58,G36-G38,0)</f>
        <v>0</v>
      </c>
      <c r="H41" s="5" t="n">
        <f aca="false">IF(H1&lt;Inputs!$B$58,H36-H38,0)</f>
        <v>992453.384153278</v>
      </c>
      <c r="I41" s="5" t="n">
        <f aca="false">IF(I1&lt;Inputs!$B$58,I36-I38,0)</f>
        <v>2585127.92185996</v>
      </c>
      <c r="J41" s="5" t="n">
        <f aca="false">IF(J1&lt;Inputs!$B$58,J36-J38,0)</f>
        <v>2909544.85539308</v>
      </c>
      <c r="K41" s="5" t="n">
        <f aca="false">IF(K1&lt;Inputs!$B$58,K36-K38,0)</f>
        <v>3190838.30204985</v>
      </c>
      <c r="L41" s="5" t="n">
        <f aca="false">IF(L1&lt;Inputs!$B$58,L36-L38,0)</f>
        <v>3519486.76305901</v>
      </c>
      <c r="M41" s="5" t="n">
        <f aca="false">IF(M1&lt;Inputs!$B$58,M36-M38,0)</f>
        <v>3669143.40636586</v>
      </c>
      <c r="N41" s="5" t="n">
        <f aca="false">IF(N1&lt;Inputs!$B$58,N36-N38,0)</f>
        <v>3716456.20426299</v>
      </c>
      <c r="O41" s="5" t="n">
        <f aca="false">IF(O1&lt;Inputs!$B$58,O36-O38,0)</f>
        <v>3672197.70636586</v>
      </c>
      <c r="P41" s="5" t="n">
        <f aca="false">IF(P1&lt;Inputs!$B$58,P36-P38,0)</f>
        <v>3496243.7327315</v>
      </c>
      <c r="Q41" s="5" t="n">
        <f aca="false">IF(Q1&lt;Inputs!$B$58,Q36-Q38,0)</f>
        <v>3240405.94139483</v>
      </c>
      <c r="R41" s="5" t="n">
        <f aca="false">IF(R1&lt;Inputs!$B$58,R36-R38,0)</f>
        <v>2921283.16441055</v>
      </c>
      <c r="S41" s="5" t="n">
        <f aca="false">IF(S1&lt;Inputs!$B$58,S36-S38,0)</f>
        <v>2582627.92185996</v>
      </c>
      <c r="T41" s="5" t="n">
        <f aca="false">IF(T1&lt;Inputs!$B$58,T36-T38,0)</f>
        <v>2236411.48401816</v>
      </c>
      <c r="U41" s="5" t="n">
        <f aca="false">IF(U1&lt;Inputs!$B$58,U36-U38,0)</f>
        <v>1888585.47650877</v>
      </c>
      <c r="V41" s="5" t="n">
        <f aca="false">IF(V1&lt;Inputs!$B$58,V36-V38,0)</f>
        <v>1556349.0178664</v>
      </c>
      <c r="W41" s="5" t="n">
        <f aca="false">IF(W1&lt;Inputs!$B$58,W36-W38,0)</f>
        <v>1252709.31968563</v>
      </c>
      <c r="X41" s="5" t="n">
        <f aca="false">IF(X1&lt;Inputs!$B$58,X36-X38,0)</f>
        <v>0</v>
      </c>
      <c r="Y41" s="5" t="n">
        <f aca="false">IF(Y1&lt;Inputs!$B$58,Y36-Y38,0)</f>
        <v>0</v>
      </c>
      <c r="Z41" s="5" t="n">
        <f aca="false">IF(Z1&lt;Inputs!$B$58,Z36-Z38,0)</f>
        <v>0</v>
      </c>
      <c r="AA41" s="5" t="n">
        <f aca="false">IF(AA1&lt;Inputs!$B$58,AA36-AA38,0)</f>
        <v>0</v>
      </c>
      <c r="AB41" s="5" t="n">
        <f aca="false">IF(AB1&lt;Inputs!$B$58,AB36-AB38,0)</f>
        <v>0</v>
      </c>
      <c r="AC41" s="5" t="n">
        <f aca="false">IF(AC1&lt;Inputs!$B$58,AC36-AC38,0)</f>
        <v>0</v>
      </c>
      <c r="AD41" s="5" t="n">
        <f aca="false">IF(AD1&lt;Inputs!$B$58,AD36-AD38,0)</f>
        <v>0</v>
      </c>
      <c r="AE41" s="5" t="n">
        <f aca="false">IF(AE1&lt;Inputs!$B$58,AE36-AE38,0)</f>
        <v>0</v>
      </c>
      <c r="AF41" s="5" t="n">
        <f aca="false">IF(AF1&lt;Inputs!$B$58,AF36-AF38,0)</f>
        <v>0</v>
      </c>
      <c r="AG41" s="5" t="n">
        <f aca="false">IF(AG1&lt;Inputs!$B$58,AG36-AG38,0)</f>
        <v>0</v>
      </c>
      <c r="AH41" s="5" t="n">
        <f aca="false">IF(AH1&lt;Inputs!$B$58,AH36-AH38,0)</f>
        <v>0</v>
      </c>
      <c r="AI41" s="5" t="n">
        <f aca="false">IF(AI1&lt;Inputs!$B$58,AI36-AI38,0)</f>
        <v>0</v>
      </c>
      <c r="AJ41" s="5" t="n">
        <f aca="false">IF(AJ1&lt;Inputs!$B$58,AJ36-AJ38,0)</f>
        <v>0</v>
      </c>
      <c r="AK41" s="5" t="n">
        <f aca="false">IF(AK1&lt;Inputs!$B$58,AK36-AK38,0)</f>
        <v>0</v>
      </c>
      <c r="AL41" s="5" t="n">
        <f aca="false">IF(AL1&lt;Inputs!$B$58,AL36-AL38,0)</f>
        <v>0</v>
      </c>
      <c r="AM41" s="5" t="n">
        <f aca="false">IF(AM1&lt;Inputs!$B$58,AM36-AM38,0)</f>
        <v>0</v>
      </c>
      <c r="AN41" s="5" t="n">
        <f aca="false">IF(AN1&lt;Inputs!$B$58,AN36-AN38,0)</f>
        <v>0</v>
      </c>
      <c r="AO41" s="5" t="n">
        <f aca="false">IF(AO1&lt;Inputs!$B$58,AO36-AO38,0)</f>
        <v>0</v>
      </c>
      <c r="AP41" s="5" t="n">
        <f aca="false">IF(AP1&lt;Inputs!$B$58,AP36-AP38,0)</f>
        <v>0</v>
      </c>
      <c r="AQ41" s="5" t="n">
        <f aca="false">IF(AQ1&lt;Inputs!$B$58,AQ36-AQ38,0)</f>
        <v>0</v>
      </c>
      <c r="AR41" s="5" t="n">
        <f aca="false">IF(AR1&lt;Inputs!$B$58,AR36-AR38,0)</f>
        <v>0</v>
      </c>
      <c r="AS41" s="5" t="n">
        <f aca="false">IF(AS1&lt;Inputs!$B$58,AS36-AS38,0)</f>
        <v>0</v>
      </c>
      <c r="AT41" s="5" t="n">
        <f aca="false">IF(AT1&lt;Inputs!$B$58,AT36-AT38,0)</f>
        <v>0</v>
      </c>
      <c r="AU41" s="5" t="n">
        <f aca="false">IF(AU1&lt;Inputs!$B$58,AU36-AU38,0)</f>
        <v>0</v>
      </c>
      <c r="AV41" s="5" t="n">
        <f aca="false">IF(AV1&lt;Inputs!$B$58,AV36-AV38,0)</f>
        <v>0</v>
      </c>
      <c r="AW41" s="5" t="n">
        <f aca="false">IF(AW1&lt;Inputs!$B$58,AW36-AW38,0)</f>
        <v>0</v>
      </c>
      <c r="AX41" s="5" t="n">
        <f aca="false">IF(AX1&lt;Inputs!$B$58,AX36-AX38,0)</f>
        <v>0</v>
      </c>
      <c r="AY41" s="5" t="n">
        <f aca="false">IF(AY1&lt;Inputs!$B$58,AY36-AY38,0)</f>
        <v>0</v>
      </c>
      <c r="AZ41" s="5" t="n">
        <f aca="false">IF(AZ1&lt;Inputs!$B$58,AZ36-AZ38,0)</f>
        <v>0</v>
      </c>
      <c r="BA41" s="5" t="n">
        <f aca="false">IF(BA1&lt;Inputs!$B$58,BA36-BA38,0)</f>
        <v>0</v>
      </c>
      <c r="BB41" s="5" t="n">
        <f aca="false">IF(BB1&lt;Inputs!$B$58,BB36-BB38,0)</f>
        <v>0</v>
      </c>
      <c r="BC41" s="5" t="n">
        <f aca="false">IF(BC1&lt;Inputs!$B$58,BC36-BC38,0)</f>
        <v>0</v>
      </c>
      <c r="BD41" s="5" t="n">
        <f aca="false">IF(BD1&lt;Inputs!$B$58,BD36-BD38,0)</f>
        <v>0</v>
      </c>
      <c r="BE41" s="5" t="n">
        <f aca="false">IF(BE1&lt;Inputs!$B$58,BE36-BE38,0)</f>
        <v>0</v>
      </c>
      <c r="BF41" s="5" t="n">
        <f aca="false">IF(BF1&lt;Inputs!$B$58,BF36-BF38,0)</f>
        <v>0</v>
      </c>
      <c r="BG41" s="5" t="n">
        <f aca="false">IF(BG1&lt;Inputs!$B$58,BG36-BG38,0)</f>
        <v>0</v>
      </c>
      <c r="BH41" s="5" t="n">
        <f aca="false">IF(BH1&lt;Inputs!$B$58,BH36-BH38,0)</f>
        <v>0</v>
      </c>
      <c r="BI41" s="5" t="n">
        <f aca="false">IF(BI1&lt;Inputs!$B$58,BI36-BI38,0)</f>
        <v>0</v>
      </c>
      <c r="BJ41" s="5" t="n">
        <f aca="false">IF(BJ1&lt;Inputs!$B$58,BJ36-BJ38,0)</f>
        <v>0</v>
      </c>
      <c r="BK41" s="5" t="n">
        <f aca="false">IF(BK1&lt;Inputs!$B$58,BK36-BK38,0)</f>
        <v>0</v>
      </c>
      <c r="BL41" s="5" t="n">
        <f aca="false">IF(BL1&lt;Inputs!$B$58,BL36-BL38,0)</f>
        <v>0</v>
      </c>
      <c r="BM41" s="5" t="n">
        <f aca="false">IF(BM1&lt;Inputs!$B$58,BM36-BM38,0)</f>
        <v>0</v>
      </c>
      <c r="BN41" s="5" t="n">
        <f aca="false">IF(BN1&lt;Inputs!$B$58,BN36-BN38,0)</f>
        <v>0</v>
      </c>
      <c r="BO41" s="5" t="n">
        <f aca="false">IF(BO1&lt;Inputs!$B$58,BO36-BO38,0)</f>
        <v>0</v>
      </c>
      <c r="BP41" s="5" t="n">
        <f aca="false">IF(BP1&lt;Inputs!$B$58,BP36-BP38,0)</f>
        <v>0</v>
      </c>
      <c r="BQ41" s="5" t="n">
        <f aca="false">IF(BQ1&lt;Inputs!$B$58,BQ36-BQ38,0)</f>
        <v>0</v>
      </c>
      <c r="BR41" s="5" t="n">
        <f aca="false">IF(BR1&lt;Inputs!$B$58,BR36-BR38,0)</f>
        <v>0</v>
      </c>
      <c r="BS41" s="5" t="n">
        <f aca="false">IF(BS1&lt;Inputs!$B$58,BS36-BS38,0)</f>
        <v>0</v>
      </c>
      <c r="BT41" s="5" t="n">
        <f aca="false">IF(BT1&lt;Inputs!$B$58,BT36-BT38,0)</f>
        <v>0</v>
      </c>
      <c r="BU41" s="5" t="n">
        <f aca="false">IF(BU1&lt;Inputs!$B$58,BU36-BU38,0)</f>
        <v>0</v>
      </c>
      <c r="BV41" s="5" t="n">
        <f aca="false">IF(BV1&lt;Inputs!$B$58,BV36-BV38,0)</f>
        <v>0</v>
      </c>
      <c r="BW41" s="5" t="n">
        <f aca="false">IF(BW1&lt;Inputs!$B$58,BW36-BW38,0)</f>
        <v>0</v>
      </c>
      <c r="BX41" s="5" t="n">
        <f aca="false">IF(BX1&lt;Inputs!$B$58,BX36-BX38,0)</f>
        <v>0</v>
      </c>
      <c r="BY41" s="5" t="n">
        <f aca="false">IF(BY1&lt;Inputs!$B$58,BY36-BY38,0)</f>
        <v>0</v>
      </c>
      <c r="BZ41" s="5" t="n">
        <f aca="false">IF(BZ1&lt;Inputs!$B$58,BZ36-BZ38,0)</f>
        <v>0</v>
      </c>
      <c r="CA41" s="5" t="n">
        <f aca="false">IF(CA1&lt;Inputs!$B$58,CA36-CA38,0)</f>
        <v>0</v>
      </c>
      <c r="CB41" s="5" t="n">
        <f aca="false">IF(CB1&lt;Inputs!$B$58,CB36-CB38,0)</f>
        <v>0</v>
      </c>
      <c r="CC41" s="5" t="n">
        <f aca="false">IF(CC1&lt;Inputs!$B$58,CC36-CC38,0)</f>
        <v>0</v>
      </c>
      <c r="CD41" s="5" t="n">
        <f aca="false">IF(CD1&lt;Inputs!$B$58,CD36-CD38,0)</f>
        <v>0</v>
      </c>
      <c r="CE41" s="5" t="n">
        <f aca="false">IF(CE1&lt;Inputs!$B$58,CE36-CE38,0)</f>
        <v>0</v>
      </c>
      <c r="CF41" s="5" t="n">
        <f aca="false">IF(CF1&lt;Inputs!$B$58,CF36-CF38,0)</f>
        <v>0</v>
      </c>
      <c r="CG41" s="5" t="n">
        <f aca="false">IF(CG1&lt;Inputs!$B$58,CG36-CG38,0)</f>
        <v>0</v>
      </c>
      <c r="CH41" s="5" t="n">
        <f aca="false">IF(CH1&lt;Inputs!$B$58,CH36-CH38,0)</f>
        <v>0</v>
      </c>
      <c r="CI41" s="5" t="n">
        <f aca="false">IF(CI1&lt;Inputs!$B$58,CI36-CI38,0)</f>
        <v>0</v>
      </c>
      <c r="CJ41" s="5" t="n">
        <f aca="false">IF(CJ1&lt;Inputs!$B$58,CJ36-CJ38,0)</f>
        <v>0</v>
      </c>
      <c r="CK41" s="5" t="n">
        <f aca="false">IF(CK1&lt;Inputs!$B$58,CK36-CK38,0)</f>
        <v>0</v>
      </c>
      <c r="CL41" s="5" t="n">
        <f aca="false">IF(CL1&lt;Inputs!$B$58,CL36-CL38,0)</f>
        <v>0</v>
      </c>
      <c r="CM41" s="5" t="n">
        <f aca="false">IF(CM1&lt;Inputs!$B$58,CM36-CM38,0)</f>
        <v>0</v>
      </c>
      <c r="CN41" s="5" t="n">
        <f aca="false">IF(CN1&lt;Inputs!$B$58,CN36-CN38,0)</f>
        <v>0</v>
      </c>
      <c r="CO41" s="5" t="n">
        <f aca="false">IF(CO1&lt;Inputs!$B$58,CO36-CO38,0)</f>
        <v>0</v>
      </c>
      <c r="CP41" s="5" t="n">
        <f aca="false">IF(CP1&lt;Inputs!$B$58,CP36-CP38,0)</f>
        <v>0</v>
      </c>
      <c r="CQ41" s="5" t="n">
        <f aca="false">IF(CQ1&lt;Inputs!$B$58,CQ36-CQ38,0)</f>
        <v>0</v>
      </c>
      <c r="CR41" s="5" t="n">
        <f aca="false">IF(CR1&lt;Inputs!$B$58,CR36-CR38,0)</f>
        <v>0</v>
      </c>
      <c r="CS41" s="5" t="n">
        <f aca="false">IF(CS1&lt;Inputs!$B$58,CS36-CS38,0)</f>
        <v>0</v>
      </c>
      <c r="CT41" s="5" t="n">
        <f aca="false">IF(CT1&lt;Inputs!$B$58,CT36-CT38,0)</f>
        <v>0</v>
      </c>
    </row>
    <row r="42" customFormat="false" ht="15" hidden="false" customHeight="false" outlineLevel="0" collapsed="false">
      <c r="B42" s="26" t="s">
        <v>179</v>
      </c>
      <c r="C42" s="5" t="n">
        <f aca="false">IF(C1&lt;=Inputs!$B$58,C40*Inputs!$B$54/12,0)</f>
        <v>0</v>
      </c>
      <c r="D42" s="5" t="n">
        <f aca="false">IF(D1&lt;=Inputs!$B$58,D40*Inputs!$B$54/12,0)</f>
        <v>0</v>
      </c>
      <c r="E42" s="5" t="n">
        <f aca="false">IF(E1&lt;=Inputs!$B$58,E40*Inputs!$B$54/12,0)</f>
        <v>0</v>
      </c>
      <c r="F42" s="5" t="n">
        <f aca="false">IF(F1&lt;=Inputs!$B$58,F40*Inputs!$B$54/12,0)</f>
        <v>0</v>
      </c>
      <c r="G42" s="5" t="n">
        <f aca="false">IF(G1&lt;=Inputs!$B$58,G40*Inputs!$B$54/12,0)</f>
        <v>0</v>
      </c>
      <c r="H42" s="5" t="n">
        <f aca="false">IF(H1&lt;=Inputs!$B$58,H40*Inputs!$B$54/12,0)</f>
        <v>0</v>
      </c>
      <c r="I42" s="5" t="n">
        <f aca="false">IF(I1&lt;=Inputs!$B$58,I40*Inputs!$B$54/12,0)</f>
        <v>5996.07252925939</v>
      </c>
      <c r="J42" s="5" t="n">
        <f aca="false">IF(J1&lt;=Inputs!$B$58,J40*Inputs!$B$54/12,0)</f>
        <v>21650.7799953609</v>
      </c>
      <c r="K42" s="5" t="n">
        <f aca="false">IF(K1&lt;=Inputs!$B$58,K40*Inputs!$B$54/12,0)</f>
        <v>39360.0869591661</v>
      </c>
      <c r="L42" s="5" t="n">
        <f aca="false">IF(L1&lt;=Inputs!$B$58,L40*Inputs!$B$54/12,0)</f>
        <v>58875.8688927623</v>
      </c>
      <c r="M42" s="5" t="n">
        <f aca="false">IF(M1&lt;=Inputs!$B$58,M40*Inputs!$B$54/12,0)</f>
        <v>80495.1431274709</v>
      </c>
      <c r="N42" s="5" t="n">
        <f aca="false">IF(N1&lt;=Inputs!$B$58,N40*Inputs!$B$54/12,0)</f>
        <v>103149.209363993</v>
      </c>
      <c r="O42" s="5" t="n">
        <f aca="false">IF(O1&lt;=Inputs!$B$58,O40*Inputs!$B$54/12,0)</f>
        <v>126225.992071323</v>
      </c>
      <c r="P42" s="5" t="n">
        <f aca="false">IF(P1&lt;=Inputs!$B$58,P40*Inputs!$B$54/12,0)</f>
        <v>149174.801916047</v>
      </c>
      <c r="Q42" s="5" t="n">
        <f aca="false">IF(Q1&lt;=Inputs!$B$58,Q40*Inputs!$B$54/12,0)</f>
        <v>171199.205562876</v>
      </c>
      <c r="R42" s="5" t="n">
        <f aca="false">IF(R1&lt;=Inputs!$B$58,R40*Inputs!$B$54/12,0)</f>
        <v>191810.986659079</v>
      </c>
      <c r="S42" s="5" t="n">
        <f aca="false">IF(S1&lt;=Inputs!$B$58,S40*Inputs!$B$54/12,0)</f>
        <v>210619.263821792</v>
      </c>
      <c r="T42" s="5" t="n">
        <f aca="false">IF(T1&lt;=Inputs!$B$58,T40*Inputs!$B$54/12,0)</f>
        <v>227495.132235285</v>
      </c>
      <c r="U42" s="5" t="n">
        <f aca="false">IF(U1&lt;=Inputs!$B$58,U40*Inputs!$B$54/12,0)</f>
        <v>242381.234708483</v>
      </c>
      <c r="V42" s="5" t="n">
        <f aca="false">IF(V1&lt;=Inputs!$B$58,V40*Inputs!$B$54/12,0)</f>
        <v>255255.825255421</v>
      </c>
      <c r="W42" s="5" t="n">
        <f aca="false">IF(W1&lt;=Inputs!$B$58,W40*Inputs!$B$54/12,0)</f>
        <v>266200.937849282</v>
      </c>
      <c r="X42" s="5" t="n">
        <f aca="false">IF(X1&lt;=Inputs!$B$58,X40*Inputs!$B$54/12,0)</f>
        <v>275377.687321889</v>
      </c>
      <c r="Y42" s="5" t="n">
        <f aca="false">IF(Y1&lt;=Inputs!$B$58,Y40*Inputs!$B$54/12,0)</f>
        <v>277041.427516125</v>
      </c>
      <c r="Z42" s="5" t="n">
        <f aca="false">IF(Z1&lt;=Inputs!$B$58,Z40*Inputs!$B$54/12,0)</f>
        <v>278715.219474035</v>
      </c>
      <c r="AA42" s="5" t="n">
        <f aca="false">IF(AA1&lt;=Inputs!$B$58,AA40*Inputs!$B$54/12,0)</f>
        <v>280399.123925024</v>
      </c>
      <c r="AB42" s="5" t="n">
        <f aca="false">IF(AB1&lt;=Inputs!$B$58,AB40*Inputs!$B$54/12,0)</f>
        <v>282093.201965404</v>
      </c>
      <c r="AC42" s="5" t="n">
        <f aca="false">IF(AC1&lt;=Inputs!$B$58,AC40*Inputs!$B$54/12,0)</f>
        <v>283797.515060612</v>
      </c>
      <c r="AD42" s="5" t="n">
        <f aca="false">IF(AD1&lt;=Inputs!$B$58,AD40*Inputs!$B$54/12,0)</f>
        <v>285512.125047436</v>
      </c>
      <c r="AE42" s="5" t="n">
        <f aca="false">IF(AE1&lt;=Inputs!$B$58,AE40*Inputs!$B$54/12,0)</f>
        <v>287237.094136265</v>
      </c>
      <c r="AF42" s="5" t="n">
        <f aca="false">IF(AF1&lt;=Inputs!$B$58,AF40*Inputs!$B$54/12,0)</f>
        <v>288972.484913338</v>
      </c>
      <c r="AG42" s="5" t="n">
        <f aca="false">IF(AG1&lt;=Inputs!$B$58,AG40*Inputs!$B$54/12,0)</f>
        <v>290718.360343023</v>
      </c>
      <c r="AH42" s="5" t="n">
        <f aca="false">IF(AH1&lt;=Inputs!$B$58,AH40*Inputs!$B$54/12,0)</f>
        <v>292474.783770095</v>
      </c>
      <c r="AI42" s="5" t="n">
        <f aca="false">IF(AI1&lt;=Inputs!$B$58,AI40*Inputs!$B$54/12,0)</f>
        <v>294241.818922039</v>
      </c>
      <c r="AJ42" s="5" t="n">
        <f aca="false">IF(AJ1&lt;=Inputs!$B$58,AJ40*Inputs!$B$54/12,0)</f>
        <v>0</v>
      </c>
      <c r="AK42" s="5" t="n">
        <f aca="false">IF(AK1&lt;=Inputs!$B$58,AK40*Inputs!$B$54/12,0)</f>
        <v>0</v>
      </c>
      <c r="AL42" s="5" t="n">
        <f aca="false">IF(AL1&lt;=Inputs!$B$58,AL40*Inputs!$B$54/12,0)</f>
        <v>0</v>
      </c>
      <c r="AM42" s="5" t="n">
        <f aca="false">IF(AM1&lt;=Inputs!$B$58,AM40*Inputs!$B$54/12,0)</f>
        <v>0</v>
      </c>
      <c r="AN42" s="5" t="n">
        <f aca="false">IF(AN1&lt;=Inputs!$B$58,AN40*Inputs!$B$54/12,0)</f>
        <v>0</v>
      </c>
      <c r="AO42" s="5" t="n">
        <f aca="false">IF(AO1&lt;=Inputs!$B$58,AO40*Inputs!$B$54/12,0)</f>
        <v>0</v>
      </c>
      <c r="AP42" s="5" t="n">
        <f aca="false">IF(AP1&lt;=Inputs!$B$58,AP40*Inputs!$B$54/12,0)</f>
        <v>0</v>
      </c>
      <c r="AQ42" s="5" t="n">
        <f aca="false">IF(AQ1&lt;=Inputs!$B$58,AQ40*Inputs!$B$54/12,0)</f>
        <v>0</v>
      </c>
      <c r="AR42" s="5" t="n">
        <f aca="false">IF(AR1&lt;=Inputs!$B$58,AR40*Inputs!$B$54/12,0)</f>
        <v>0</v>
      </c>
      <c r="AS42" s="5" t="n">
        <f aca="false">IF(AS1&lt;=Inputs!$B$58,AS40*Inputs!$B$54/12,0)</f>
        <v>0</v>
      </c>
      <c r="AT42" s="5" t="n">
        <f aca="false">IF(AT1&lt;=Inputs!$B$58,AT40*Inputs!$B$54/12,0)</f>
        <v>0</v>
      </c>
      <c r="AU42" s="5" t="n">
        <f aca="false">IF(AU1&lt;=Inputs!$B$58,AU40*Inputs!$B$54/12,0)</f>
        <v>0</v>
      </c>
      <c r="AV42" s="5" t="n">
        <f aca="false">IF(AV1&lt;=Inputs!$B$58,AV40*Inputs!$B$54/12,0)</f>
        <v>0</v>
      </c>
      <c r="AW42" s="5" t="n">
        <f aca="false">IF(AW1&lt;=Inputs!$B$58,AW40*Inputs!$B$54/12,0)</f>
        <v>0</v>
      </c>
      <c r="AX42" s="5" t="n">
        <f aca="false">IF(AX1&lt;=Inputs!$B$58,AX40*Inputs!$B$54/12,0)</f>
        <v>0</v>
      </c>
      <c r="AY42" s="5" t="n">
        <f aca="false">IF(AY1&lt;=Inputs!$B$58,AY40*Inputs!$B$54/12,0)</f>
        <v>0</v>
      </c>
      <c r="AZ42" s="5" t="n">
        <f aca="false">IF(AZ1&lt;=Inputs!$B$58,AZ40*Inputs!$B$54/12,0)</f>
        <v>0</v>
      </c>
      <c r="BA42" s="5" t="n">
        <f aca="false">IF(BA1&lt;=Inputs!$B$58,BA40*Inputs!$B$54/12,0)</f>
        <v>0</v>
      </c>
      <c r="BB42" s="5" t="n">
        <f aca="false">IF(BB1&lt;=Inputs!$B$58,BB40*Inputs!$B$54/12,0)</f>
        <v>0</v>
      </c>
      <c r="BC42" s="5" t="n">
        <f aca="false">IF(BC1&lt;=Inputs!$B$58,BC40*Inputs!$B$54/12,0)</f>
        <v>0</v>
      </c>
      <c r="BD42" s="5" t="n">
        <f aca="false">IF(BD1&lt;=Inputs!$B$58,BD40*Inputs!$B$54/12,0)</f>
        <v>0</v>
      </c>
      <c r="BE42" s="5" t="n">
        <f aca="false">IF(BE1&lt;=Inputs!$B$58,BE40*Inputs!$B$54/12,0)</f>
        <v>0</v>
      </c>
      <c r="BF42" s="5" t="n">
        <f aca="false">IF(BF1&lt;=Inputs!$B$58,BF40*Inputs!$B$54/12,0)</f>
        <v>0</v>
      </c>
      <c r="BG42" s="5" t="n">
        <f aca="false">IF(BG1&lt;=Inputs!$B$58,BG40*Inputs!$B$54/12,0)</f>
        <v>0</v>
      </c>
      <c r="BH42" s="5" t="n">
        <f aca="false">IF(BH1&lt;=Inputs!$B$58,BH40*Inputs!$B$54/12,0)</f>
        <v>0</v>
      </c>
      <c r="BI42" s="5" t="n">
        <f aca="false">IF(BI1&lt;=Inputs!$B$58,BI40*Inputs!$B$54/12,0)</f>
        <v>0</v>
      </c>
      <c r="BJ42" s="5" t="n">
        <f aca="false">IF(BJ1&lt;=Inputs!$B$58,BJ40*Inputs!$B$54/12,0)</f>
        <v>0</v>
      </c>
      <c r="BK42" s="5" t="n">
        <f aca="false">IF(BK1&lt;=Inputs!$B$58,BK40*Inputs!$B$54/12,0)</f>
        <v>0</v>
      </c>
      <c r="BL42" s="5" t="n">
        <f aca="false">IF(BL1&lt;=Inputs!$B$58,BL40*Inputs!$B$54/12,0)</f>
        <v>0</v>
      </c>
      <c r="BM42" s="5" t="n">
        <f aca="false">IF(BM1&lt;=Inputs!$B$58,BM40*Inputs!$B$54/12,0)</f>
        <v>0</v>
      </c>
      <c r="BN42" s="5" t="n">
        <f aca="false">IF(BN1&lt;=Inputs!$B$58,BN40*Inputs!$B$54/12,0)</f>
        <v>0</v>
      </c>
      <c r="BO42" s="5" t="n">
        <f aca="false">IF(BO1&lt;=Inputs!$B$58,BO40*Inputs!$B$54/12,0)</f>
        <v>0</v>
      </c>
      <c r="BP42" s="5" t="n">
        <f aca="false">IF(BP1&lt;=Inputs!$B$58,BP40*Inputs!$B$54/12,0)</f>
        <v>0</v>
      </c>
      <c r="BQ42" s="5" t="n">
        <f aca="false">IF(BQ1&lt;=Inputs!$B$58,BQ40*Inputs!$B$54/12,0)</f>
        <v>0</v>
      </c>
      <c r="BR42" s="5" t="n">
        <f aca="false">IF(BR1&lt;=Inputs!$B$58,BR40*Inputs!$B$54/12,0)</f>
        <v>0</v>
      </c>
      <c r="BS42" s="5" t="n">
        <f aca="false">IF(BS1&lt;=Inputs!$B$58,BS40*Inputs!$B$54/12,0)</f>
        <v>0</v>
      </c>
      <c r="BT42" s="5" t="n">
        <f aca="false">IF(BT1&lt;=Inputs!$B$58,BT40*Inputs!$B$54/12,0)</f>
        <v>0</v>
      </c>
      <c r="BU42" s="5" t="n">
        <f aca="false">IF(BU1&lt;=Inputs!$B$58,BU40*Inputs!$B$54/12,0)</f>
        <v>0</v>
      </c>
      <c r="BV42" s="5" t="n">
        <f aca="false">IF(BV1&lt;=Inputs!$B$58,BV40*Inputs!$B$54/12,0)</f>
        <v>0</v>
      </c>
      <c r="BW42" s="5" t="n">
        <f aca="false">IF(BW1&lt;=Inputs!$B$58,BW40*Inputs!$B$54/12,0)</f>
        <v>0</v>
      </c>
      <c r="BX42" s="5" t="n">
        <f aca="false">IF(BX1&lt;=Inputs!$B$58,BX40*Inputs!$B$54/12,0)</f>
        <v>0</v>
      </c>
      <c r="BY42" s="5" t="n">
        <f aca="false">IF(BY1&lt;=Inputs!$B$58,BY40*Inputs!$B$54/12,0)</f>
        <v>0</v>
      </c>
      <c r="BZ42" s="5" t="n">
        <f aca="false">IF(BZ1&lt;=Inputs!$B$58,BZ40*Inputs!$B$54/12,0)</f>
        <v>0</v>
      </c>
      <c r="CA42" s="5" t="n">
        <f aca="false">IF(CA1&lt;=Inputs!$B$58,CA40*Inputs!$B$54/12,0)</f>
        <v>0</v>
      </c>
      <c r="CB42" s="5" t="n">
        <f aca="false">IF(CB1&lt;=Inputs!$B$58,CB40*Inputs!$B$54/12,0)</f>
        <v>0</v>
      </c>
      <c r="CC42" s="5" t="n">
        <f aca="false">IF(CC1&lt;=Inputs!$B$58,CC40*Inputs!$B$54/12,0)</f>
        <v>0</v>
      </c>
      <c r="CD42" s="5" t="n">
        <f aca="false">IF(CD1&lt;=Inputs!$B$58,CD40*Inputs!$B$54/12,0)</f>
        <v>0</v>
      </c>
      <c r="CE42" s="5" t="n">
        <f aca="false">IF(CE1&lt;=Inputs!$B$58,CE40*Inputs!$B$54/12,0)</f>
        <v>0</v>
      </c>
      <c r="CF42" s="5" t="n">
        <f aca="false">IF(CF1&lt;=Inputs!$B$58,CF40*Inputs!$B$54/12,0)</f>
        <v>0</v>
      </c>
      <c r="CG42" s="5" t="n">
        <f aca="false">IF(CG1&lt;=Inputs!$B$58,CG40*Inputs!$B$54/12,0)</f>
        <v>0</v>
      </c>
      <c r="CH42" s="5" t="n">
        <f aca="false">IF(CH1&lt;=Inputs!$B$58,CH40*Inputs!$B$54/12,0)</f>
        <v>0</v>
      </c>
      <c r="CI42" s="5" t="n">
        <f aca="false">IF(CI1&lt;=Inputs!$B$58,CI40*Inputs!$B$54/12,0)</f>
        <v>0</v>
      </c>
      <c r="CJ42" s="5" t="n">
        <f aca="false">IF(CJ1&lt;=Inputs!$B$58,CJ40*Inputs!$B$54/12,0)</f>
        <v>0</v>
      </c>
      <c r="CK42" s="5" t="n">
        <f aca="false">IF(CK1&lt;=Inputs!$B$58,CK40*Inputs!$B$54/12,0)</f>
        <v>0</v>
      </c>
      <c r="CL42" s="5" t="n">
        <f aca="false">IF(CL1&lt;=Inputs!$B$58,CL40*Inputs!$B$54/12,0)</f>
        <v>0</v>
      </c>
      <c r="CM42" s="5" t="n">
        <f aca="false">IF(CM1&lt;=Inputs!$B$58,CM40*Inputs!$B$54/12,0)</f>
        <v>0</v>
      </c>
      <c r="CN42" s="5" t="n">
        <f aca="false">IF(CN1&lt;=Inputs!$B$58,CN40*Inputs!$B$54/12,0)</f>
        <v>0</v>
      </c>
      <c r="CO42" s="5" t="n">
        <f aca="false">IF(CO1&lt;=Inputs!$B$58,CO40*Inputs!$B$54/12,0)</f>
        <v>0</v>
      </c>
      <c r="CP42" s="5" t="n">
        <f aca="false">IF(CP1&lt;=Inputs!$B$58,CP40*Inputs!$B$54/12,0)</f>
        <v>0</v>
      </c>
      <c r="CQ42" s="5" t="n">
        <f aca="false">IF(CQ1&lt;=Inputs!$B$58,CQ40*Inputs!$B$54/12,0)</f>
        <v>0</v>
      </c>
      <c r="CR42" s="5" t="n">
        <f aca="false">IF(CR1&lt;=Inputs!$B$58,CR40*Inputs!$B$54/12,0)</f>
        <v>0</v>
      </c>
      <c r="CS42" s="5" t="n">
        <f aca="false">IF(CS1&lt;=Inputs!$B$58,CS40*Inputs!$B$54/12,0)</f>
        <v>0</v>
      </c>
      <c r="CT42" s="5" t="n">
        <f aca="false">IF(CT1&lt;=Inputs!$B$58,CT40*Inputs!$B$54/12,0)</f>
        <v>0</v>
      </c>
    </row>
    <row r="43" customFormat="false" ht="15" hidden="false" customHeight="false" outlineLevel="0" collapsed="false">
      <c r="B43" s="26" t="s">
        <v>180</v>
      </c>
      <c r="C43" s="5" t="n">
        <f aca="false">IF(C1=Inputs!$B$58,-(C40+C41+C42),0)</f>
        <v>0</v>
      </c>
      <c r="D43" s="5" t="n">
        <f aca="false">IF(D1=Inputs!$B$58,-(D40+D41+D42),0)</f>
        <v>0</v>
      </c>
      <c r="E43" s="5" t="n">
        <f aca="false">IF(E1=Inputs!$B$58,-(E40+E41+E42),0)</f>
        <v>0</v>
      </c>
      <c r="F43" s="5" t="n">
        <f aca="false">IF(F1=Inputs!$B$58,-(F40+F41+F42),0)</f>
        <v>0</v>
      </c>
      <c r="G43" s="5" t="n">
        <f aca="false">IF(G1=Inputs!$B$58,-(G40+G41+G42),0)</f>
        <v>0</v>
      </c>
      <c r="H43" s="5" t="n">
        <f aca="false">IF(H1=Inputs!$B$58,-(H40+H41+H42),0)</f>
        <v>0</v>
      </c>
      <c r="I43" s="5" t="n">
        <f aca="false">IF(I1=Inputs!$B$58,-(I40+I41+I42),0)</f>
        <v>0</v>
      </c>
      <c r="J43" s="5" t="n">
        <f aca="false">IF(J1=Inputs!$B$58,-(J40+J41+J42),0)</f>
        <v>0</v>
      </c>
      <c r="K43" s="5" t="n">
        <f aca="false">IF(K1=Inputs!$B$58,-(K40+K41+K42),0)</f>
        <v>0</v>
      </c>
      <c r="L43" s="5" t="n">
        <f aca="false">IF(L1=Inputs!$B$58,-(L40+L41+L42),0)</f>
        <v>0</v>
      </c>
      <c r="M43" s="5" t="n">
        <f aca="false">IF(M1=Inputs!$B$58,-(M40+M41+M42),0)</f>
        <v>0</v>
      </c>
      <c r="N43" s="5" t="n">
        <f aca="false">IF(N1=Inputs!$B$58,-(N40+N41+N42),0)</f>
        <v>0</v>
      </c>
      <c r="O43" s="5" t="n">
        <f aca="false">IF(O1=Inputs!$B$58,-(O40+O41+O42),0)</f>
        <v>0</v>
      </c>
      <c r="P43" s="5" t="n">
        <f aca="false">IF(P1=Inputs!$B$58,-(P40+P41+P42),0)</f>
        <v>0</v>
      </c>
      <c r="Q43" s="5" t="n">
        <f aca="false">IF(Q1=Inputs!$B$58,-(Q40+Q41+Q42),0)</f>
        <v>0</v>
      </c>
      <c r="R43" s="5" t="n">
        <f aca="false">IF(R1=Inputs!$B$58,-(R40+R41+R42),0)</f>
        <v>0</v>
      </c>
      <c r="S43" s="5" t="n">
        <f aca="false">IF(S1=Inputs!$B$58,-(S40+S41+S42),0)</f>
        <v>0</v>
      </c>
      <c r="T43" s="5" t="n">
        <f aca="false">IF(T1=Inputs!$B$58,-(T40+T41+T42),0)</f>
        <v>0</v>
      </c>
      <c r="U43" s="5" t="n">
        <f aca="false">IF(U1=Inputs!$B$58,-(U40+U41+U42),0)</f>
        <v>0</v>
      </c>
      <c r="V43" s="5" t="n">
        <f aca="false">IF(V1=Inputs!$B$58,-(V40+V41+V42),0)</f>
        <v>0</v>
      </c>
      <c r="W43" s="5" t="n">
        <f aca="false">IF(W1=Inputs!$B$58,-(W40+W41+W42),0)</f>
        <v>0</v>
      </c>
      <c r="X43" s="5" t="n">
        <f aca="false">IF(X1=Inputs!$B$58,-(X40+X41+X42),0)</f>
        <v>0</v>
      </c>
      <c r="Y43" s="5" t="n">
        <f aca="false">IF(Y1=Inputs!$B$58,-(Y40+Y41+Y42),0)</f>
        <v>0</v>
      </c>
      <c r="Z43" s="5" t="n">
        <f aca="false">IF(Z1=Inputs!$B$58,-(Z40+Z41+Z42),0)</f>
        <v>0</v>
      </c>
      <c r="AA43" s="5" t="n">
        <f aca="false">IF(AA1=Inputs!$B$58,-(AA40+AA41+AA42),0)</f>
        <v>0</v>
      </c>
      <c r="AB43" s="5" t="n">
        <f aca="false">IF(AB1=Inputs!$B$58,-(AB40+AB41+AB42),0)</f>
        <v>0</v>
      </c>
      <c r="AC43" s="5" t="n">
        <f aca="false">IF(AC1=Inputs!$B$58,-(AC40+AC41+AC42),0)</f>
        <v>0</v>
      </c>
      <c r="AD43" s="5" t="n">
        <f aca="false">IF(AD1=Inputs!$B$58,-(AD40+AD41+AD42),0)</f>
        <v>0</v>
      </c>
      <c r="AE43" s="5" t="n">
        <f aca="false">IF(AE1=Inputs!$B$58,-(AE40+AE41+AE42),0)</f>
        <v>0</v>
      </c>
      <c r="AF43" s="5" t="n">
        <f aca="false">IF(AF1=Inputs!$B$58,-(AF40+AF41+AF42),0)</f>
        <v>0</v>
      </c>
      <c r="AG43" s="5" t="n">
        <f aca="false">IF(AG1=Inputs!$B$58,-(AG40+AG41+AG42),0)</f>
        <v>0</v>
      </c>
      <c r="AH43" s="5" t="n">
        <f aca="false">IF(AH1=Inputs!$B$58,-(AH40+AH41+AH42),0)</f>
        <v>0</v>
      </c>
      <c r="AI43" s="5" t="n">
        <f aca="false">IF(AI1=Inputs!$B$58,-(AI40+AI41+AI42),0)</f>
        <v>-48996335.9853286</v>
      </c>
      <c r="AJ43" s="5" t="n">
        <f aca="false">IF(AJ1=Inputs!$B$58,-(AJ40+AJ41+AJ42),0)</f>
        <v>0</v>
      </c>
      <c r="AK43" s="5" t="n">
        <f aca="false">IF(AK1=Inputs!$B$58,-(AK40+AK41+AK42),0)</f>
        <v>0</v>
      </c>
      <c r="AL43" s="5" t="n">
        <f aca="false">IF(AL1=Inputs!$B$58,-(AL40+AL41+AL42),0)</f>
        <v>0</v>
      </c>
      <c r="AM43" s="5" t="n">
        <f aca="false">IF(AM1=Inputs!$B$58,-(AM40+AM41+AM42),0)</f>
        <v>0</v>
      </c>
      <c r="AN43" s="5" t="n">
        <f aca="false">IF(AN1=Inputs!$B$58,-(AN40+AN41+AN42),0)</f>
        <v>0</v>
      </c>
      <c r="AO43" s="5" t="n">
        <f aca="false">IF(AO1=Inputs!$B$58,-(AO40+AO41+AO42),0)</f>
        <v>0</v>
      </c>
      <c r="AP43" s="5" t="n">
        <f aca="false">IF(AP1=Inputs!$B$58,-(AP40+AP41+AP42),0)</f>
        <v>0</v>
      </c>
      <c r="AQ43" s="5" t="n">
        <f aca="false">IF(AQ1=Inputs!$B$58,-(AQ40+AQ41+AQ42),0)</f>
        <v>0</v>
      </c>
      <c r="AR43" s="5" t="n">
        <f aca="false">IF(AR1=Inputs!$B$58,-(AR40+AR41+AR42),0)</f>
        <v>0</v>
      </c>
      <c r="AS43" s="5" t="n">
        <f aca="false">IF(AS1=Inputs!$B$58,-(AS40+AS41+AS42),0)</f>
        <v>0</v>
      </c>
      <c r="AT43" s="5" t="n">
        <f aca="false">IF(AT1=Inputs!$B$58,-(AT40+AT41+AT42),0)</f>
        <v>0</v>
      </c>
      <c r="AU43" s="5" t="n">
        <f aca="false">IF(AU1=Inputs!$B$58,-(AU40+AU41+AU42),0)</f>
        <v>0</v>
      </c>
      <c r="AV43" s="5" t="n">
        <f aca="false">IF(AV1=Inputs!$B$58,-(AV40+AV41+AV42),0)</f>
        <v>0</v>
      </c>
      <c r="AW43" s="5" t="n">
        <f aca="false">IF(AW1=Inputs!$B$58,-(AW40+AW41+AW42),0)</f>
        <v>0</v>
      </c>
      <c r="AX43" s="5" t="n">
        <f aca="false">IF(AX1=Inputs!$B$58,-(AX40+AX41+AX42),0)</f>
        <v>0</v>
      </c>
      <c r="AY43" s="5" t="n">
        <f aca="false">IF(AY1=Inputs!$B$58,-(AY40+AY41+AY42),0)</f>
        <v>0</v>
      </c>
      <c r="AZ43" s="5" t="n">
        <f aca="false">IF(AZ1=Inputs!$B$58,-(AZ40+AZ41+AZ42),0)</f>
        <v>0</v>
      </c>
      <c r="BA43" s="5" t="n">
        <f aca="false">IF(BA1=Inputs!$B$58,-(BA40+BA41+BA42),0)</f>
        <v>0</v>
      </c>
      <c r="BB43" s="5" t="n">
        <f aca="false">IF(BB1=Inputs!$B$58,-(BB40+BB41+BB42),0)</f>
        <v>0</v>
      </c>
      <c r="BC43" s="5" t="n">
        <f aca="false">IF(BC1=Inputs!$B$58,-(BC40+BC41+BC42),0)</f>
        <v>0</v>
      </c>
      <c r="BD43" s="5" t="n">
        <f aca="false">IF(BD1=Inputs!$B$58,-(BD40+BD41+BD42),0)</f>
        <v>0</v>
      </c>
      <c r="BE43" s="5" t="n">
        <f aca="false">IF(BE1=Inputs!$B$58,-(BE40+BE41+BE42),0)</f>
        <v>0</v>
      </c>
      <c r="BF43" s="5" t="n">
        <f aca="false">IF(BF1=Inputs!$B$58,-(BF40+BF41+BF42),0)</f>
        <v>0</v>
      </c>
      <c r="BG43" s="5" t="n">
        <f aca="false">IF(BG1=Inputs!$B$58,-(BG40+BG41+BG42),0)</f>
        <v>0</v>
      </c>
      <c r="BH43" s="5" t="n">
        <f aca="false">IF(BH1=Inputs!$B$58,-(BH40+BH41+BH42),0)</f>
        <v>0</v>
      </c>
      <c r="BI43" s="5" t="n">
        <f aca="false">IF(BI1=Inputs!$B$58,-(BI40+BI41+BI42),0)</f>
        <v>0</v>
      </c>
      <c r="BJ43" s="5" t="n">
        <f aca="false">IF(BJ1=Inputs!$B$58,-(BJ40+BJ41+BJ42),0)</f>
        <v>0</v>
      </c>
      <c r="BK43" s="5" t="n">
        <f aca="false">IF(BK1=Inputs!$B$58,-(BK40+BK41+BK42),0)</f>
        <v>0</v>
      </c>
      <c r="BL43" s="5" t="n">
        <f aca="false">IF(BL1=Inputs!$B$58,-(BL40+BL41+BL42),0)</f>
        <v>0</v>
      </c>
      <c r="BM43" s="5" t="n">
        <f aca="false">IF(BM1=Inputs!$B$58,-(BM40+BM41+BM42),0)</f>
        <v>0</v>
      </c>
      <c r="BN43" s="5" t="n">
        <f aca="false">IF(BN1=Inputs!$B$58,-(BN40+BN41+BN42),0)</f>
        <v>0</v>
      </c>
      <c r="BO43" s="5" t="n">
        <f aca="false">IF(BO1=Inputs!$B$58,-(BO40+BO41+BO42),0)</f>
        <v>0</v>
      </c>
      <c r="BP43" s="5" t="n">
        <f aca="false">IF(BP1=Inputs!$B$58,-(BP40+BP41+BP42),0)</f>
        <v>0</v>
      </c>
      <c r="BQ43" s="5" t="n">
        <f aca="false">IF(BQ1=Inputs!$B$58,-(BQ40+BQ41+BQ42),0)</f>
        <v>0</v>
      </c>
      <c r="BR43" s="5" t="n">
        <f aca="false">IF(BR1=Inputs!$B$58,-(BR40+BR41+BR42),0)</f>
        <v>0</v>
      </c>
      <c r="BS43" s="5" t="n">
        <f aca="false">IF(BS1=Inputs!$B$58,-(BS40+BS41+BS42),0)</f>
        <v>0</v>
      </c>
      <c r="BT43" s="5" t="n">
        <f aca="false">IF(BT1=Inputs!$B$58,-(BT40+BT41+BT42),0)</f>
        <v>0</v>
      </c>
      <c r="BU43" s="5" t="n">
        <f aca="false">IF(BU1=Inputs!$B$58,-(BU40+BU41+BU42),0)</f>
        <v>0</v>
      </c>
      <c r="BV43" s="5" t="n">
        <f aca="false">IF(BV1=Inputs!$B$58,-(BV40+BV41+BV42),0)</f>
        <v>0</v>
      </c>
      <c r="BW43" s="5" t="n">
        <f aca="false">IF(BW1=Inputs!$B$58,-(BW40+BW41+BW42),0)</f>
        <v>0</v>
      </c>
      <c r="BX43" s="5" t="n">
        <f aca="false">IF(BX1=Inputs!$B$58,-(BX40+BX41+BX42),0)</f>
        <v>0</v>
      </c>
      <c r="BY43" s="5" t="n">
        <f aca="false">IF(BY1=Inputs!$B$58,-(BY40+BY41+BY42),0)</f>
        <v>0</v>
      </c>
      <c r="BZ43" s="5" t="n">
        <f aca="false">IF(BZ1=Inputs!$B$58,-(BZ40+BZ41+BZ42),0)</f>
        <v>0</v>
      </c>
      <c r="CA43" s="5" t="n">
        <f aca="false">IF(CA1=Inputs!$B$58,-(CA40+CA41+CA42),0)</f>
        <v>0</v>
      </c>
      <c r="CB43" s="5" t="n">
        <f aca="false">IF(CB1=Inputs!$B$58,-(CB40+CB41+CB42),0)</f>
        <v>0</v>
      </c>
      <c r="CC43" s="5" t="n">
        <f aca="false">IF(CC1=Inputs!$B$58,-(CC40+CC41+CC42),0)</f>
        <v>0</v>
      </c>
      <c r="CD43" s="5" t="n">
        <f aca="false">IF(CD1=Inputs!$B$58,-(CD40+CD41+CD42),0)</f>
        <v>0</v>
      </c>
      <c r="CE43" s="5" t="n">
        <f aca="false">IF(CE1=Inputs!$B$58,-(CE40+CE41+CE42),0)</f>
        <v>0</v>
      </c>
      <c r="CF43" s="5" t="n">
        <f aca="false">IF(CF1=Inputs!$B$58,-(CF40+CF41+CF42),0)</f>
        <v>0</v>
      </c>
      <c r="CG43" s="5" t="n">
        <f aca="false">IF(CG1=Inputs!$B$58,-(CG40+CG41+CG42),0)</f>
        <v>0</v>
      </c>
      <c r="CH43" s="5" t="n">
        <f aca="false">IF(CH1=Inputs!$B$58,-(CH40+CH41+CH42),0)</f>
        <v>0</v>
      </c>
      <c r="CI43" s="5" t="n">
        <f aca="false">IF(CI1=Inputs!$B$58,-(CI40+CI41+CI42),0)</f>
        <v>0</v>
      </c>
      <c r="CJ43" s="5" t="n">
        <f aca="false">IF(CJ1=Inputs!$B$58,-(CJ40+CJ41+CJ42),0)</f>
        <v>0</v>
      </c>
      <c r="CK43" s="5" t="n">
        <f aca="false">IF(CK1=Inputs!$B$58,-(CK40+CK41+CK42),0)</f>
        <v>0</v>
      </c>
      <c r="CL43" s="5" t="n">
        <f aca="false">IF(CL1=Inputs!$B$58,-(CL40+CL41+CL42),0)</f>
        <v>0</v>
      </c>
      <c r="CM43" s="5" t="n">
        <f aca="false">IF(CM1=Inputs!$B$58,-(CM40+CM41+CM42),0)</f>
        <v>0</v>
      </c>
      <c r="CN43" s="5" t="n">
        <f aca="false">IF(CN1=Inputs!$B$58,-(CN40+CN41+CN42),0)</f>
        <v>0</v>
      </c>
      <c r="CO43" s="5" t="n">
        <f aca="false">IF(CO1=Inputs!$B$58,-(CO40+CO41+CO42),0)</f>
        <v>0</v>
      </c>
      <c r="CP43" s="5" t="n">
        <f aca="false">IF(CP1=Inputs!$B$58,-(CP40+CP41+CP42),0)</f>
        <v>0</v>
      </c>
      <c r="CQ43" s="5" t="n">
        <f aca="false">IF(CQ1=Inputs!$B$58,-(CQ40+CQ41+CQ42),0)</f>
        <v>0</v>
      </c>
      <c r="CR43" s="5" t="n">
        <f aca="false">IF(CR1=Inputs!$B$58,-(CR40+CR41+CR42),0)</f>
        <v>0</v>
      </c>
      <c r="CS43" s="5" t="n">
        <f aca="false">IF(CS1=Inputs!$B$58,-(CS40+CS41+CS42),0)</f>
        <v>0</v>
      </c>
      <c r="CT43" s="5" t="n">
        <f aca="false">IF(CT1=Inputs!$B$58,-(CT40+CT41+CT42),0)</f>
        <v>0</v>
      </c>
    </row>
    <row r="44" customFormat="false" ht="15" hidden="false" customHeight="false" outlineLevel="0" collapsed="false">
      <c r="B44" s="2" t="s">
        <v>181</v>
      </c>
      <c r="C44" s="5" t="n">
        <f aca="false">SUM(C40:C43)</f>
        <v>0</v>
      </c>
      <c r="D44" s="5" t="n">
        <f aca="false">SUM(D40:D43)</f>
        <v>0</v>
      </c>
      <c r="E44" s="5" t="n">
        <f aca="false">SUM(E40:E43)</f>
        <v>0</v>
      </c>
      <c r="F44" s="5" t="n">
        <f aca="false">SUM(F40:F43)</f>
        <v>0</v>
      </c>
      <c r="G44" s="5" t="n">
        <f aca="false">SUM(G40:G43)</f>
        <v>0</v>
      </c>
      <c r="H44" s="5" t="n">
        <f aca="false">SUM(H40:H43)</f>
        <v>992453.384153278</v>
      </c>
      <c r="I44" s="5" t="n">
        <f aca="false">SUM(I40:I43)</f>
        <v>3583577.37854249</v>
      </c>
      <c r="J44" s="5" t="n">
        <f aca="false">SUM(J40:J43)</f>
        <v>6514773.01393094</v>
      </c>
      <c r="K44" s="5" t="n">
        <f aca="false">SUM(K40:K43)</f>
        <v>9744971.40293996</v>
      </c>
      <c r="L44" s="5" t="n">
        <f aca="false">SUM(L40:L43)</f>
        <v>13323334.0348917</v>
      </c>
      <c r="M44" s="5" t="n">
        <f aca="false">SUM(M40:M43)</f>
        <v>17072972.5843851</v>
      </c>
      <c r="N44" s="5" t="n">
        <f aca="false">SUM(N40:N43)</f>
        <v>20892577.998012</v>
      </c>
      <c r="O44" s="5" t="n">
        <f aca="false">SUM(O40:O43)</f>
        <v>24691001.6964492</v>
      </c>
      <c r="P44" s="5" t="n">
        <f aca="false">SUM(P40:P43)</f>
        <v>28336420.2310968</v>
      </c>
      <c r="Q44" s="5" t="n">
        <f aca="false">SUM(Q40:Q43)</f>
        <v>31748025.3780545</v>
      </c>
      <c r="R44" s="5" t="n">
        <f aca="false">SUM(R40:R43)</f>
        <v>34861119.5291241</v>
      </c>
      <c r="S44" s="5" t="n">
        <f aca="false">SUM(S40:S43)</f>
        <v>37654366.7148059</v>
      </c>
      <c r="T44" s="5" t="n">
        <f aca="false">SUM(T40:T43)</f>
        <v>40118273.3310593</v>
      </c>
      <c r="U44" s="5" t="n">
        <f aca="false">SUM(U40:U43)</f>
        <v>42249240.0422766</v>
      </c>
      <c r="V44" s="5" t="n">
        <f aca="false">SUM(V40:V43)</f>
        <v>44060844.8853984</v>
      </c>
      <c r="W44" s="5" t="n">
        <f aca="false">SUM(W40:W43)</f>
        <v>45579755.1429333</v>
      </c>
      <c r="X44" s="5" t="n">
        <f aca="false">SUM(X40:X43)</f>
        <v>45855132.8302552</v>
      </c>
      <c r="Y44" s="5" t="n">
        <f aca="false">SUM(Y40:Y43)</f>
        <v>46132174.2577713</v>
      </c>
      <c r="Z44" s="5" t="n">
        <f aca="false">SUM(Z40:Z43)</f>
        <v>46410889.4772453</v>
      </c>
      <c r="AA44" s="5" t="n">
        <f aca="false">SUM(AA40:AA43)</f>
        <v>46691288.6011703</v>
      </c>
      <c r="AB44" s="5" t="n">
        <f aca="false">SUM(AB40:AB43)</f>
        <v>46973381.8031358</v>
      </c>
      <c r="AC44" s="5" t="n">
        <f aca="false">SUM(AC40:AC43)</f>
        <v>47257179.3181964</v>
      </c>
      <c r="AD44" s="5" t="n">
        <f aca="false">SUM(AD40:AD43)</f>
        <v>47542691.4432438</v>
      </c>
      <c r="AE44" s="5" t="n">
        <f aca="false">SUM(AE40:AE43)</f>
        <v>47829928.5373801</v>
      </c>
      <c r="AF44" s="5" t="n">
        <f aca="false">SUM(AF40:AF43)</f>
        <v>48118901.0222934</v>
      </c>
      <c r="AG44" s="5" t="n">
        <f aca="false">SUM(AG40:AG43)</f>
        <v>48409619.3826364</v>
      </c>
      <c r="AH44" s="5" t="n">
        <f aca="false">SUM(AH40:AH43)</f>
        <v>48702094.1664065</v>
      </c>
      <c r="AI44" s="5" t="n">
        <f aca="false">SUM(AI40:AI43)</f>
        <v>0</v>
      </c>
      <c r="AJ44" s="5" t="n">
        <f aca="false">SUM(AJ40:AJ43)</f>
        <v>0</v>
      </c>
      <c r="AK44" s="5" t="n">
        <f aca="false">SUM(AK40:AK43)</f>
        <v>0</v>
      </c>
      <c r="AL44" s="5" t="n">
        <f aca="false">SUM(AL40:AL43)</f>
        <v>0</v>
      </c>
      <c r="AM44" s="5" t="n">
        <f aca="false">SUM(AM40:AM43)</f>
        <v>0</v>
      </c>
      <c r="AN44" s="5" t="n">
        <f aca="false">SUM(AN40:AN43)</f>
        <v>0</v>
      </c>
      <c r="AO44" s="5" t="n">
        <f aca="false">SUM(AO40:AO43)</f>
        <v>0</v>
      </c>
      <c r="AP44" s="5" t="n">
        <f aca="false">SUM(AP40:AP43)</f>
        <v>0</v>
      </c>
      <c r="AQ44" s="5" t="n">
        <f aca="false">SUM(AQ40:AQ43)</f>
        <v>0</v>
      </c>
      <c r="AR44" s="5" t="n">
        <f aca="false">SUM(AR40:AR43)</f>
        <v>0</v>
      </c>
      <c r="AS44" s="5" t="n">
        <f aca="false">SUM(AS40:AS43)</f>
        <v>0</v>
      </c>
      <c r="AT44" s="5" t="n">
        <f aca="false">SUM(AT40:AT43)</f>
        <v>0</v>
      </c>
      <c r="AU44" s="5" t="n">
        <f aca="false">SUM(AU40:AU43)</f>
        <v>0</v>
      </c>
      <c r="AV44" s="5" t="n">
        <f aca="false">SUM(AV40:AV43)</f>
        <v>0</v>
      </c>
      <c r="AW44" s="5" t="n">
        <f aca="false">SUM(AW40:AW43)</f>
        <v>0</v>
      </c>
      <c r="AX44" s="5" t="n">
        <f aca="false">SUM(AX40:AX43)</f>
        <v>0</v>
      </c>
      <c r="AY44" s="5" t="n">
        <f aca="false">SUM(AY40:AY43)</f>
        <v>0</v>
      </c>
      <c r="AZ44" s="5" t="n">
        <f aca="false">SUM(AZ40:AZ43)</f>
        <v>0</v>
      </c>
      <c r="BA44" s="5" t="n">
        <f aca="false">SUM(BA40:BA43)</f>
        <v>0</v>
      </c>
      <c r="BB44" s="5" t="n">
        <f aca="false">SUM(BB40:BB43)</f>
        <v>0</v>
      </c>
      <c r="BC44" s="5" t="n">
        <f aca="false">SUM(BC40:BC43)</f>
        <v>0</v>
      </c>
      <c r="BD44" s="5" t="n">
        <f aca="false">SUM(BD40:BD43)</f>
        <v>0</v>
      </c>
      <c r="BE44" s="5" t="n">
        <f aca="false">SUM(BE40:BE43)</f>
        <v>0</v>
      </c>
      <c r="BF44" s="5" t="n">
        <f aca="false">SUM(BF40:BF43)</f>
        <v>0</v>
      </c>
      <c r="BG44" s="5" t="n">
        <f aca="false">SUM(BG40:BG43)</f>
        <v>0</v>
      </c>
      <c r="BH44" s="5" t="n">
        <f aca="false">SUM(BH40:BH43)</f>
        <v>0</v>
      </c>
      <c r="BI44" s="5" t="n">
        <f aca="false">SUM(BI40:BI43)</f>
        <v>0</v>
      </c>
      <c r="BJ44" s="5" t="n">
        <f aca="false">SUM(BJ40:BJ43)</f>
        <v>0</v>
      </c>
      <c r="BK44" s="5" t="n">
        <f aca="false">SUM(BK40:BK43)</f>
        <v>0</v>
      </c>
      <c r="BL44" s="5" t="n">
        <f aca="false">SUM(BL40:BL43)</f>
        <v>0</v>
      </c>
      <c r="BM44" s="5" t="n">
        <f aca="false">SUM(BM40:BM43)</f>
        <v>0</v>
      </c>
      <c r="BN44" s="5" t="n">
        <f aca="false">SUM(BN40:BN43)</f>
        <v>0</v>
      </c>
      <c r="BO44" s="5" t="n">
        <f aca="false">SUM(BO40:BO43)</f>
        <v>0</v>
      </c>
      <c r="BP44" s="5" t="n">
        <f aca="false">SUM(BP40:BP43)</f>
        <v>0</v>
      </c>
      <c r="BQ44" s="5" t="n">
        <f aca="false">SUM(BQ40:BQ43)</f>
        <v>0</v>
      </c>
      <c r="BR44" s="5" t="n">
        <f aca="false">SUM(BR40:BR43)</f>
        <v>0</v>
      </c>
      <c r="BS44" s="5" t="n">
        <f aca="false">SUM(BS40:BS43)</f>
        <v>0</v>
      </c>
      <c r="BT44" s="5" t="n">
        <f aca="false">SUM(BT40:BT43)</f>
        <v>0</v>
      </c>
      <c r="BU44" s="5" t="n">
        <f aca="false">SUM(BU40:BU43)</f>
        <v>0</v>
      </c>
      <c r="BV44" s="5" t="n">
        <f aca="false">SUM(BV40:BV43)</f>
        <v>0</v>
      </c>
      <c r="BW44" s="5" t="n">
        <f aca="false">SUM(BW40:BW43)</f>
        <v>0</v>
      </c>
      <c r="BX44" s="5" t="n">
        <f aca="false">SUM(BX40:BX43)</f>
        <v>0</v>
      </c>
      <c r="BY44" s="5" t="n">
        <f aca="false">SUM(BY40:BY43)</f>
        <v>0</v>
      </c>
      <c r="BZ44" s="5" t="n">
        <f aca="false">SUM(BZ40:BZ43)</f>
        <v>0</v>
      </c>
      <c r="CA44" s="5" t="n">
        <f aca="false">SUM(CA40:CA43)</f>
        <v>0</v>
      </c>
      <c r="CB44" s="5" t="n">
        <f aca="false">SUM(CB40:CB43)</f>
        <v>0</v>
      </c>
      <c r="CC44" s="5" t="n">
        <f aca="false">SUM(CC40:CC43)</f>
        <v>0</v>
      </c>
      <c r="CD44" s="5" t="n">
        <f aca="false">SUM(CD40:CD43)</f>
        <v>0</v>
      </c>
      <c r="CE44" s="5" t="n">
        <f aca="false">SUM(CE40:CE43)</f>
        <v>0</v>
      </c>
      <c r="CF44" s="5" t="n">
        <f aca="false">SUM(CF40:CF43)</f>
        <v>0</v>
      </c>
      <c r="CG44" s="5" t="n">
        <f aca="false">SUM(CG40:CG43)</f>
        <v>0</v>
      </c>
      <c r="CH44" s="5" t="n">
        <f aca="false">SUM(CH40:CH43)</f>
        <v>0</v>
      </c>
      <c r="CI44" s="5" t="n">
        <f aca="false">SUM(CI40:CI43)</f>
        <v>0</v>
      </c>
      <c r="CJ44" s="5" t="n">
        <f aca="false">SUM(CJ40:CJ43)</f>
        <v>0</v>
      </c>
      <c r="CK44" s="5" t="n">
        <f aca="false">SUM(CK40:CK43)</f>
        <v>0</v>
      </c>
      <c r="CL44" s="5" t="n">
        <f aca="false">SUM(CL40:CL43)</f>
        <v>0</v>
      </c>
      <c r="CM44" s="5" t="n">
        <f aca="false">SUM(CM40:CM43)</f>
        <v>0</v>
      </c>
      <c r="CN44" s="5" t="n">
        <f aca="false">SUM(CN40:CN43)</f>
        <v>0</v>
      </c>
      <c r="CO44" s="5" t="n">
        <f aca="false">SUM(CO40:CO43)</f>
        <v>0</v>
      </c>
      <c r="CP44" s="5" t="n">
        <f aca="false">SUM(CP40:CP43)</f>
        <v>0</v>
      </c>
      <c r="CQ44" s="5" t="n">
        <f aca="false">SUM(CQ40:CQ43)</f>
        <v>0</v>
      </c>
      <c r="CR44" s="5" t="n">
        <f aca="false">SUM(CR40:CR43)</f>
        <v>0</v>
      </c>
      <c r="CS44" s="5" t="n">
        <f aca="false">SUM(CS40:CS43)</f>
        <v>0</v>
      </c>
      <c r="CT44" s="5" t="n">
        <f aca="false">SUM(CT40:CT43)</f>
        <v>0</v>
      </c>
    </row>
    <row r="46" customFormat="false" ht="15" hidden="false" customHeight="false" outlineLevel="0" collapsed="false">
      <c r="B46" s="26" t="s">
        <v>182</v>
      </c>
      <c r="C46" s="5" t="n">
        <f aca="false">IF(C1=Inputs!$B$58,C26*12/Inputs!$B$59,0)</f>
        <v>0</v>
      </c>
      <c r="D46" s="5" t="n">
        <f aca="false">IF(D1=Inputs!$B$58,D26*12/Inputs!$B$59,0)</f>
        <v>0</v>
      </c>
      <c r="E46" s="5" t="n">
        <f aca="false">IF(E1=Inputs!$B$58,E26*12/Inputs!$B$59,0)</f>
        <v>0</v>
      </c>
      <c r="F46" s="5" t="n">
        <f aca="false">IF(F1=Inputs!$B$58,F26*12/Inputs!$B$59,0)</f>
        <v>0</v>
      </c>
      <c r="G46" s="5" t="n">
        <f aca="false">IF(G1=Inputs!$B$58,G26*12/Inputs!$B$59,0)</f>
        <v>0</v>
      </c>
      <c r="H46" s="5" t="n">
        <f aca="false">IF(H1=Inputs!$B$58,H26*12/Inputs!$B$59,0)</f>
        <v>0</v>
      </c>
      <c r="I46" s="5" t="n">
        <f aca="false">IF(I1=Inputs!$B$58,I26*12/Inputs!$B$59,0)</f>
        <v>0</v>
      </c>
      <c r="J46" s="5" t="n">
        <f aca="false">IF(J1=Inputs!$B$58,J26*12/Inputs!$B$59,0)</f>
        <v>0</v>
      </c>
      <c r="K46" s="5" t="n">
        <f aca="false">IF(K1=Inputs!$B$58,K26*12/Inputs!$B$59,0)</f>
        <v>0</v>
      </c>
      <c r="L46" s="5" t="n">
        <f aca="false">IF(L1=Inputs!$B$58,L26*12/Inputs!$B$59,0)</f>
        <v>0</v>
      </c>
      <c r="M46" s="5" t="n">
        <f aca="false">IF(M1=Inputs!$B$58,M26*12/Inputs!$B$59,0)</f>
        <v>0</v>
      </c>
      <c r="N46" s="5" t="n">
        <f aca="false">IF(N1=Inputs!$B$58,N26*12/Inputs!$B$59,0)</f>
        <v>0</v>
      </c>
      <c r="O46" s="5" t="n">
        <f aca="false">IF(O1=Inputs!$B$58,O26*12/Inputs!$B$59,0)</f>
        <v>0</v>
      </c>
      <c r="P46" s="5" t="n">
        <f aca="false">IF(P1=Inputs!$B$58,P26*12/Inputs!$B$59,0)</f>
        <v>0</v>
      </c>
      <c r="Q46" s="5" t="n">
        <f aca="false">IF(Q1=Inputs!$B$58,Q26*12/Inputs!$B$59,0)</f>
        <v>0</v>
      </c>
      <c r="R46" s="5" t="n">
        <f aca="false">IF(R1=Inputs!$B$58,R26*12/Inputs!$B$59,0)</f>
        <v>0</v>
      </c>
      <c r="S46" s="5" t="n">
        <f aca="false">IF(S1=Inputs!$B$58,S26*12/Inputs!$B$59,0)</f>
        <v>0</v>
      </c>
      <c r="T46" s="5" t="n">
        <f aca="false">IF(T1=Inputs!$B$58,T26*12/Inputs!$B$59,0)</f>
        <v>0</v>
      </c>
      <c r="U46" s="5" t="n">
        <f aca="false">IF(U1=Inputs!$B$58,U26*12/Inputs!$B$59,0)</f>
        <v>0</v>
      </c>
      <c r="V46" s="5" t="n">
        <f aca="false">IF(V1=Inputs!$B$58,V26*12/Inputs!$B$59,0)</f>
        <v>0</v>
      </c>
      <c r="W46" s="5" t="n">
        <f aca="false">IF(W1=Inputs!$B$58,W26*12/Inputs!$B$59,0)</f>
        <v>0</v>
      </c>
      <c r="X46" s="5" t="n">
        <f aca="false">IF(X1=Inputs!$B$58,X26*12/Inputs!$B$59,0)</f>
        <v>0</v>
      </c>
      <c r="Y46" s="5" t="n">
        <f aca="false">IF(Y1=Inputs!$B$58,Y26*12/Inputs!$B$59,0)</f>
        <v>0</v>
      </c>
      <c r="Z46" s="5" t="n">
        <f aca="false">IF(Z1=Inputs!$B$58,Z26*12/Inputs!$B$59,0)</f>
        <v>0</v>
      </c>
      <c r="AA46" s="5" t="n">
        <f aca="false">IF(AA1=Inputs!$B$58,AA26*12/Inputs!$B$59,0)</f>
        <v>0</v>
      </c>
      <c r="AB46" s="5" t="n">
        <f aca="false">IF(AB1=Inputs!$B$58,AB26*12/Inputs!$B$59,0)</f>
        <v>0</v>
      </c>
      <c r="AC46" s="5" t="n">
        <f aca="false">IF(AC1=Inputs!$B$58,AC26*12/Inputs!$B$59,0)</f>
        <v>0</v>
      </c>
      <c r="AD46" s="5" t="n">
        <f aca="false">IF(AD1=Inputs!$B$58,AD26*12/Inputs!$B$59,0)</f>
        <v>0</v>
      </c>
      <c r="AE46" s="5" t="n">
        <f aca="false">IF(AE1=Inputs!$B$58,AE26*12/Inputs!$B$59,0)</f>
        <v>0</v>
      </c>
      <c r="AF46" s="5" t="n">
        <f aca="false">IF(AF1=Inputs!$B$58,AF26*12/Inputs!$B$59,0)</f>
        <v>0</v>
      </c>
      <c r="AG46" s="5" t="n">
        <f aca="false">IF(AG1=Inputs!$B$58,AG26*12/Inputs!$B$59,0)</f>
        <v>0</v>
      </c>
      <c r="AH46" s="5" t="n">
        <f aca="false">IF(AH1=Inputs!$B$58,AH26*12/Inputs!$B$59,0)</f>
        <v>0</v>
      </c>
      <c r="AI46" s="5" t="n">
        <f aca="false">IF(AI1=Inputs!$B$58,AI26*12/Inputs!$B$59,0)</f>
        <v>68871834.943838</v>
      </c>
      <c r="AJ46" s="5" t="n">
        <f aca="false">IF(AJ1=Inputs!$B$58,AJ26*12/Inputs!$B$59,0)</f>
        <v>0</v>
      </c>
      <c r="AK46" s="5" t="n">
        <f aca="false">IF(AK1=Inputs!$B$58,AK26*12/Inputs!$B$59,0)</f>
        <v>0</v>
      </c>
      <c r="AL46" s="5" t="n">
        <f aca="false">IF(AL1=Inputs!$B$58,AL26*12/Inputs!$B$59,0)</f>
        <v>0</v>
      </c>
      <c r="AM46" s="5" t="n">
        <f aca="false">IF(AM1=Inputs!$B$58,AM26*12/Inputs!$B$59,0)</f>
        <v>0</v>
      </c>
      <c r="AN46" s="5" t="n">
        <f aca="false">IF(AN1=Inputs!$B$58,AN26*12/Inputs!$B$59,0)</f>
        <v>0</v>
      </c>
      <c r="AO46" s="5" t="n">
        <f aca="false">IF(AO1=Inputs!$B$58,AO26*12/Inputs!$B$59,0)</f>
        <v>0</v>
      </c>
      <c r="AP46" s="5" t="n">
        <f aca="false">IF(AP1=Inputs!$B$58,AP26*12/Inputs!$B$59,0)</f>
        <v>0</v>
      </c>
      <c r="AQ46" s="5" t="n">
        <f aca="false">IF(AQ1=Inputs!$B$58,AQ26*12/Inputs!$B$59,0)</f>
        <v>0</v>
      </c>
      <c r="AR46" s="5" t="n">
        <f aca="false">IF(AR1=Inputs!$B$58,AR26*12/Inputs!$B$59,0)</f>
        <v>0</v>
      </c>
      <c r="AS46" s="5" t="n">
        <f aca="false">IF(AS1=Inputs!$B$58,AS26*12/Inputs!$B$59,0)</f>
        <v>0</v>
      </c>
      <c r="AT46" s="5" t="n">
        <f aca="false">IF(AT1=Inputs!$B$58,AT26*12/Inputs!$B$59,0)</f>
        <v>0</v>
      </c>
      <c r="AU46" s="5" t="n">
        <f aca="false">IF(AU1=Inputs!$B$58,AU26*12/Inputs!$B$59,0)</f>
        <v>0</v>
      </c>
      <c r="AV46" s="5" t="n">
        <f aca="false">IF(AV1=Inputs!$B$58,AV26*12/Inputs!$B$59,0)</f>
        <v>0</v>
      </c>
      <c r="AW46" s="5" t="n">
        <f aca="false">IF(AW1=Inputs!$B$58,AW26*12/Inputs!$B$59,0)</f>
        <v>0</v>
      </c>
      <c r="AX46" s="5" t="n">
        <f aca="false">IF(AX1=Inputs!$B$58,AX26*12/Inputs!$B$59,0)</f>
        <v>0</v>
      </c>
      <c r="AY46" s="5" t="n">
        <f aca="false">IF(AY1=Inputs!$B$58,AY26*12/Inputs!$B$59,0)</f>
        <v>0</v>
      </c>
      <c r="AZ46" s="5" t="n">
        <f aca="false">IF(AZ1=Inputs!$B$58,AZ26*12/Inputs!$B$59,0)</f>
        <v>0</v>
      </c>
      <c r="BA46" s="5" t="n">
        <f aca="false">IF(BA1=Inputs!$B$58,BA26*12/Inputs!$B$59,0)</f>
        <v>0</v>
      </c>
      <c r="BB46" s="5" t="n">
        <f aca="false">IF(BB1=Inputs!$B$58,BB26*12/Inputs!$B$59,0)</f>
        <v>0</v>
      </c>
      <c r="BC46" s="5" t="n">
        <f aca="false">IF(BC1=Inputs!$B$58,BC26*12/Inputs!$B$59,0)</f>
        <v>0</v>
      </c>
      <c r="BD46" s="5" t="n">
        <f aca="false">IF(BD1=Inputs!$B$58,BD26*12/Inputs!$B$59,0)</f>
        <v>0</v>
      </c>
      <c r="BE46" s="5" t="n">
        <f aca="false">IF(BE1=Inputs!$B$58,BE26*12/Inputs!$B$59,0)</f>
        <v>0</v>
      </c>
      <c r="BF46" s="5" t="n">
        <f aca="false">IF(BF1=Inputs!$B$58,BF26*12/Inputs!$B$59,0)</f>
        <v>0</v>
      </c>
      <c r="BG46" s="5" t="n">
        <f aca="false">IF(BG1=Inputs!$B$58,BG26*12/Inputs!$B$59,0)</f>
        <v>0</v>
      </c>
      <c r="BH46" s="5" t="n">
        <f aca="false">IF(BH1=Inputs!$B$58,BH26*12/Inputs!$B$59,0)</f>
        <v>0</v>
      </c>
      <c r="BI46" s="5" t="n">
        <f aca="false">IF(BI1=Inputs!$B$58,BI26*12/Inputs!$B$59,0)</f>
        <v>0</v>
      </c>
      <c r="BJ46" s="5" t="n">
        <f aca="false">IF(BJ1=Inputs!$B$58,BJ26*12/Inputs!$B$59,0)</f>
        <v>0</v>
      </c>
      <c r="BK46" s="5" t="n">
        <f aca="false">IF(BK1=Inputs!$B$58,BK26*12/Inputs!$B$59,0)</f>
        <v>0</v>
      </c>
      <c r="BL46" s="5" t="n">
        <f aca="false">IF(BL1=Inputs!$B$58,BL26*12/Inputs!$B$59,0)</f>
        <v>0</v>
      </c>
      <c r="BM46" s="5" t="n">
        <f aca="false">IF(BM1=Inputs!$B$58,BM26*12/Inputs!$B$59,0)</f>
        <v>0</v>
      </c>
      <c r="BN46" s="5" t="n">
        <f aca="false">IF(BN1=Inputs!$B$58,BN26*12/Inputs!$B$59,0)</f>
        <v>0</v>
      </c>
      <c r="BO46" s="5" t="n">
        <f aca="false">IF(BO1=Inputs!$B$58,BO26*12/Inputs!$B$59,0)</f>
        <v>0</v>
      </c>
      <c r="BP46" s="5" t="n">
        <f aca="false">IF(BP1=Inputs!$B$58,BP26*12/Inputs!$B$59,0)</f>
        <v>0</v>
      </c>
      <c r="BQ46" s="5" t="n">
        <f aca="false">IF(BQ1=Inputs!$B$58,BQ26*12/Inputs!$B$59,0)</f>
        <v>0</v>
      </c>
      <c r="BR46" s="5" t="n">
        <f aca="false">IF(BR1=Inputs!$B$58,BR26*12/Inputs!$B$59,0)</f>
        <v>0</v>
      </c>
      <c r="BS46" s="5" t="n">
        <f aca="false">IF(BS1=Inputs!$B$58,BS26*12/Inputs!$B$59,0)</f>
        <v>0</v>
      </c>
      <c r="BT46" s="5" t="n">
        <f aca="false">IF(BT1=Inputs!$B$58,BT26*12/Inputs!$B$59,0)</f>
        <v>0</v>
      </c>
      <c r="BU46" s="5" t="n">
        <f aca="false">IF(BU1=Inputs!$B$58,BU26*12/Inputs!$B$59,0)</f>
        <v>0</v>
      </c>
      <c r="BV46" s="5" t="n">
        <f aca="false">IF(BV1=Inputs!$B$58,BV26*12/Inputs!$B$59,0)</f>
        <v>0</v>
      </c>
      <c r="BW46" s="5" t="n">
        <f aca="false">IF(BW1=Inputs!$B$58,BW26*12/Inputs!$B$59,0)</f>
        <v>0</v>
      </c>
      <c r="BX46" s="5" t="n">
        <f aca="false">IF(BX1=Inputs!$B$58,BX26*12/Inputs!$B$59,0)</f>
        <v>0</v>
      </c>
      <c r="BY46" s="5" t="n">
        <f aca="false">IF(BY1=Inputs!$B$58,BY26*12/Inputs!$B$59,0)</f>
        <v>0</v>
      </c>
      <c r="BZ46" s="5" t="n">
        <f aca="false">IF(BZ1=Inputs!$B$58,BZ26*12/Inputs!$B$59,0)</f>
        <v>0</v>
      </c>
      <c r="CA46" s="5" t="n">
        <f aca="false">IF(CA1=Inputs!$B$58,CA26*12/Inputs!$B$59,0)</f>
        <v>0</v>
      </c>
      <c r="CB46" s="5" t="n">
        <f aca="false">IF(CB1=Inputs!$B$58,CB26*12/Inputs!$B$59,0)</f>
        <v>0</v>
      </c>
      <c r="CC46" s="5" t="n">
        <f aca="false">IF(CC1=Inputs!$B$58,CC26*12/Inputs!$B$59,0)</f>
        <v>0</v>
      </c>
      <c r="CD46" s="5" t="n">
        <f aca="false">IF(CD1=Inputs!$B$58,CD26*12/Inputs!$B$59,0)</f>
        <v>0</v>
      </c>
      <c r="CE46" s="5" t="n">
        <f aca="false">IF(CE1=Inputs!$B$58,CE26*12/Inputs!$B$59,0)</f>
        <v>0</v>
      </c>
      <c r="CF46" s="5" t="n">
        <f aca="false">IF(CF1=Inputs!$B$58,CF26*12/Inputs!$B$59,0)</f>
        <v>0</v>
      </c>
      <c r="CG46" s="5" t="n">
        <f aca="false">IF(CG1=Inputs!$B$58,CG26*12/Inputs!$B$59,0)</f>
        <v>0</v>
      </c>
      <c r="CH46" s="5" t="n">
        <f aca="false">IF(CH1=Inputs!$B$58,CH26*12/Inputs!$B$59,0)</f>
        <v>0</v>
      </c>
      <c r="CI46" s="5" t="n">
        <f aca="false">IF(CI1=Inputs!$B$58,CI26*12/Inputs!$B$59,0)</f>
        <v>0</v>
      </c>
      <c r="CJ46" s="5" t="n">
        <f aca="false">IF(CJ1=Inputs!$B$58,CJ26*12/Inputs!$B$59,0)</f>
        <v>0</v>
      </c>
      <c r="CK46" s="5" t="n">
        <f aca="false">IF(CK1=Inputs!$B$58,CK26*12/Inputs!$B$59,0)</f>
        <v>0</v>
      </c>
      <c r="CL46" s="5" t="n">
        <f aca="false">IF(CL1=Inputs!$B$58,CL26*12/Inputs!$B$59,0)</f>
        <v>0</v>
      </c>
      <c r="CM46" s="5" t="n">
        <f aca="false">IF(CM1=Inputs!$B$58,CM26*12/Inputs!$B$59,0)</f>
        <v>0</v>
      </c>
      <c r="CN46" s="5" t="n">
        <f aca="false">IF(CN1=Inputs!$B$58,CN26*12/Inputs!$B$59,0)</f>
        <v>0</v>
      </c>
      <c r="CO46" s="5" t="n">
        <f aca="false">IF(CO1=Inputs!$B$58,CO26*12/Inputs!$B$59,0)</f>
        <v>0</v>
      </c>
      <c r="CP46" s="5" t="n">
        <f aca="false">IF(CP1=Inputs!$B$58,CP26*12/Inputs!$B$59,0)</f>
        <v>0</v>
      </c>
      <c r="CQ46" s="5" t="n">
        <f aca="false">IF(CQ1=Inputs!$B$58,CQ26*12/Inputs!$B$59,0)</f>
        <v>0</v>
      </c>
      <c r="CR46" s="5" t="n">
        <f aca="false">IF(CR1=Inputs!$B$58,CR26*12/Inputs!$B$59,0)</f>
        <v>0</v>
      </c>
      <c r="CS46" s="5" t="n">
        <f aca="false">IF(CS1=Inputs!$B$58,CS26*12/Inputs!$B$59,0)</f>
        <v>0</v>
      </c>
      <c r="CT46" s="5" t="n">
        <f aca="false">IF(CT1=Inputs!$B$58,CT26*12/Inputs!$B$59,0)</f>
        <v>0</v>
      </c>
    </row>
    <row r="47" customFormat="false" ht="15" hidden="false" customHeight="false" outlineLevel="0" collapsed="false">
      <c r="B47" s="26" t="s">
        <v>183</v>
      </c>
      <c r="C47" s="5" t="n">
        <f aca="false">IF(C1=Inputs!$B$58,MIN(Inputs!$B$60*C46,PV(Inputs!$B$62/12,Inputs!$B$63,-(C26*12/Inputs!$B$61)/12)),0)</f>
        <v>0</v>
      </c>
      <c r="D47" s="5" t="n">
        <f aca="false">IF(D1=Inputs!$B$58,MIN(Inputs!$B$60*D46,PV(Inputs!$B$62/12,Inputs!$B$63,-(D26*12/Inputs!$B$61)/12)),0)</f>
        <v>0</v>
      </c>
      <c r="E47" s="5" t="n">
        <f aca="false">IF(E1=Inputs!$B$58,MIN(Inputs!$B$60*E46,PV(Inputs!$B$62/12,Inputs!$B$63,-(E26*12/Inputs!$B$61)/12)),0)</f>
        <v>0</v>
      </c>
      <c r="F47" s="5" t="n">
        <f aca="false">IF(F1=Inputs!$B$58,MIN(Inputs!$B$60*F46,PV(Inputs!$B$62/12,Inputs!$B$63,-(F26*12/Inputs!$B$61)/12)),0)</f>
        <v>0</v>
      </c>
      <c r="G47" s="5" t="n">
        <f aca="false">IF(G1=Inputs!$B$58,MIN(Inputs!$B$60*G46,PV(Inputs!$B$62/12,Inputs!$B$63,-(G26*12/Inputs!$B$61)/12)),0)</f>
        <v>0</v>
      </c>
      <c r="H47" s="5" t="n">
        <f aca="false">IF(H1=Inputs!$B$58,MIN(Inputs!$B$60*H46,PV(Inputs!$B$62/12,Inputs!$B$63,-(H26*12/Inputs!$B$61)/12)),0)</f>
        <v>0</v>
      </c>
      <c r="I47" s="5" t="n">
        <f aca="false">IF(I1=Inputs!$B$58,MIN(Inputs!$B$60*I46,PV(Inputs!$B$62/12,Inputs!$B$63,-(I26*12/Inputs!$B$61)/12)),0)</f>
        <v>0</v>
      </c>
      <c r="J47" s="5" t="n">
        <f aca="false">IF(J1=Inputs!$B$58,MIN(Inputs!$B$60*J46,PV(Inputs!$B$62/12,Inputs!$B$63,-(J26*12/Inputs!$B$61)/12)),0)</f>
        <v>0</v>
      </c>
      <c r="K47" s="5" t="n">
        <f aca="false">IF(K1=Inputs!$B$58,MIN(Inputs!$B$60*K46,PV(Inputs!$B$62/12,Inputs!$B$63,-(K26*12/Inputs!$B$61)/12)),0)</f>
        <v>0</v>
      </c>
      <c r="L47" s="5" t="n">
        <f aca="false">IF(L1=Inputs!$B$58,MIN(Inputs!$B$60*L46,PV(Inputs!$B$62/12,Inputs!$B$63,-(L26*12/Inputs!$B$61)/12)),0)</f>
        <v>0</v>
      </c>
      <c r="M47" s="5" t="n">
        <f aca="false">IF(M1=Inputs!$B$58,MIN(Inputs!$B$60*M46,PV(Inputs!$B$62/12,Inputs!$B$63,-(M26*12/Inputs!$B$61)/12)),0)</f>
        <v>0</v>
      </c>
      <c r="N47" s="5" t="n">
        <f aca="false">IF(N1=Inputs!$B$58,MIN(Inputs!$B$60*N46,PV(Inputs!$B$62/12,Inputs!$B$63,-(N26*12/Inputs!$B$61)/12)),0)</f>
        <v>0</v>
      </c>
      <c r="O47" s="5" t="n">
        <f aca="false">IF(O1=Inputs!$B$58,MIN(Inputs!$B$60*O46,PV(Inputs!$B$62/12,Inputs!$B$63,-(O26*12/Inputs!$B$61)/12)),0)</f>
        <v>0</v>
      </c>
      <c r="P47" s="5" t="n">
        <f aca="false">IF(P1=Inputs!$B$58,MIN(Inputs!$B$60*P46,PV(Inputs!$B$62/12,Inputs!$B$63,-(P26*12/Inputs!$B$61)/12)),0)</f>
        <v>0</v>
      </c>
      <c r="Q47" s="5" t="n">
        <f aca="false">IF(Q1=Inputs!$B$58,MIN(Inputs!$B$60*Q46,PV(Inputs!$B$62/12,Inputs!$B$63,-(Q26*12/Inputs!$B$61)/12)),0)</f>
        <v>0</v>
      </c>
      <c r="R47" s="5" t="n">
        <f aca="false">IF(R1=Inputs!$B$58,MIN(Inputs!$B$60*R46,PV(Inputs!$B$62/12,Inputs!$B$63,-(R26*12/Inputs!$B$61)/12)),0)</f>
        <v>0</v>
      </c>
      <c r="S47" s="5" t="n">
        <f aca="false">IF(S1=Inputs!$B$58,MIN(Inputs!$B$60*S46,PV(Inputs!$B$62/12,Inputs!$B$63,-(S26*12/Inputs!$B$61)/12)),0)</f>
        <v>0</v>
      </c>
      <c r="T47" s="5" t="n">
        <f aca="false">IF(T1=Inputs!$B$58,MIN(Inputs!$B$60*T46,PV(Inputs!$B$62/12,Inputs!$B$63,-(T26*12/Inputs!$B$61)/12)),0)</f>
        <v>0</v>
      </c>
      <c r="U47" s="5" t="n">
        <f aca="false">IF(U1=Inputs!$B$58,MIN(Inputs!$B$60*U46,PV(Inputs!$B$62/12,Inputs!$B$63,-(U26*12/Inputs!$B$61)/12)),0)</f>
        <v>0</v>
      </c>
      <c r="V47" s="5" t="n">
        <f aca="false">IF(V1=Inputs!$B$58,MIN(Inputs!$B$60*V46,PV(Inputs!$B$62/12,Inputs!$B$63,-(V26*12/Inputs!$B$61)/12)),0)</f>
        <v>0</v>
      </c>
      <c r="W47" s="5" t="n">
        <f aca="false">IF(W1=Inputs!$B$58,MIN(Inputs!$B$60*W46,PV(Inputs!$B$62/12,Inputs!$B$63,-(W26*12/Inputs!$B$61)/12)),0)</f>
        <v>0</v>
      </c>
      <c r="X47" s="5" t="n">
        <f aca="false">IF(X1=Inputs!$B$58,MIN(Inputs!$B$60*X46,PV(Inputs!$B$62/12,Inputs!$B$63,-(X26*12/Inputs!$B$61)/12)),0)</f>
        <v>0</v>
      </c>
      <c r="Y47" s="5" t="n">
        <f aca="false">IF(Y1=Inputs!$B$58,MIN(Inputs!$B$60*Y46,PV(Inputs!$B$62/12,Inputs!$B$63,-(Y26*12/Inputs!$B$61)/12)),0)</f>
        <v>0</v>
      </c>
      <c r="Z47" s="5" t="n">
        <f aca="false">IF(Z1=Inputs!$B$58,MIN(Inputs!$B$60*Z46,PV(Inputs!$B$62/12,Inputs!$B$63,-(Z26*12/Inputs!$B$61)/12)),0)</f>
        <v>0</v>
      </c>
      <c r="AA47" s="5" t="n">
        <f aca="false">IF(AA1=Inputs!$B$58,MIN(Inputs!$B$60*AA46,PV(Inputs!$B$62/12,Inputs!$B$63,-(AA26*12/Inputs!$B$61)/12)),0)</f>
        <v>0</v>
      </c>
      <c r="AB47" s="5" t="n">
        <f aca="false">IF(AB1=Inputs!$B$58,MIN(Inputs!$B$60*AB46,PV(Inputs!$B$62/12,Inputs!$B$63,-(AB26*12/Inputs!$B$61)/12)),0)</f>
        <v>0</v>
      </c>
      <c r="AC47" s="5" t="n">
        <f aca="false">IF(AC1=Inputs!$B$58,MIN(Inputs!$B$60*AC46,PV(Inputs!$B$62/12,Inputs!$B$63,-(AC26*12/Inputs!$B$61)/12)),0)</f>
        <v>0</v>
      </c>
      <c r="AD47" s="5" t="n">
        <f aca="false">IF(AD1=Inputs!$B$58,MIN(Inputs!$B$60*AD46,PV(Inputs!$B$62/12,Inputs!$B$63,-(AD26*12/Inputs!$B$61)/12)),0)</f>
        <v>0</v>
      </c>
      <c r="AE47" s="5" t="n">
        <f aca="false">IF(AE1=Inputs!$B$58,MIN(Inputs!$B$60*AE46,PV(Inputs!$B$62/12,Inputs!$B$63,-(AE26*12/Inputs!$B$61)/12)),0)</f>
        <v>0</v>
      </c>
      <c r="AF47" s="5" t="n">
        <f aca="false">IF(AF1=Inputs!$B$58,MIN(Inputs!$B$60*AF46,PV(Inputs!$B$62/12,Inputs!$B$63,-(AF26*12/Inputs!$B$61)/12)),0)</f>
        <v>0</v>
      </c>
      <c r="AG47" s="5" t="n">
        <f aca="false">IF(AG1=Inputs!$B$58,MIN(Inputs!$B$60*AG46,PV(Inputs!$B$62/12,Inputs!$B$63,-(AG26*12/Inputs!$B$61)/12)),0)</f>
        <v>0</v>
      </c>
      <c r="AH47" s="5" t="n">
        <f aca="false">IF(AH1=Inputs!$B$58,MIN(Inputs!$B$60*AH46,PV(Inputs!$B$62/12,Inputs!$B$63,-(AH26*12/Inputs!$B$61)/12)),0)</f>
        <v>0</v>
      </c>
      <c r="AI47" s="5" t="n">
        <f aca="false">IF(AI1=Inputs!$B$58,MIN(Inputs!$B$60*AI46,PV(Inputs!$B$62/12,Inputs!$B$63,-(AI26*12/Inputs!$B$61)/12)),0)</f>
        <v>49878071.6777361</v>
      </c>
      <c r="AJ47" s="5" t="n">
        <f aca="false">IF(AJ1=Inputs!$B$58,MIN(Inputs!$B$60*AJ46,PV(Inputs!$B$62/12,Inputs!$B$63,-(AJ26*12/Inputs!$B$61)/12)),0)</f>
        <v>0</v>
      </c>
      <c r="AK47" s="5" t="n">
        <f aca="false">IF(AK1=Inputs!$B$58,MIN(Inputs!$B$60*AK46,PV(Inputs!$B$62/12,Inputs!$B$63,-(AK26*12/Inputs!$B$61)/12)),0)</f>
        <v>0</v>
      </c>
      <c r="AL47" s="5" t="n">
        <f aca="false">IF(AL1=Inputs!$B$58,MIN(Inputs!$B$60*AL46,PV(Inputs!$B$62/12,Inputs!$B$63,-(AL26*12/Inputs!$B$61)/12)),0)</f>
        <v>0</v>
      </c>
      <c r="AM47" s="5" t="n">
        <f aca="false">IF(AM1=Inputs!$B$58,MIN(Inputs!$B$60*AM46,PV(Inputs!$B$62/12,Inputs!$B$63,-(AM26*12/Inputs!$B$61)/12)),0)</f>
        <v>0</v>
      </c>
      <c r="AN47" s="5" t="n">
        <f aca="false">IF(AN1=Inputs!$B$58,MIN(Inputs!$B$60*AN46,PV(Inputs!$B$62/12,Inputs!$B$63,-(AN26*12/Inputs!$B$61)/12)),0)</f>
        <v>0</v>
      </c>
      <c r="AO47" s="5" t="n">
        <f aca="false">IF(AO1=Inputs!$B$58,MIN(Inputs!$B$60*AO46,PV(Inputs!$B$62/12,Inputs!$B$63,-(AO26*12/Inputs!$B$61)/12)),0)</f>
        <v>0</v>
      </c>
      <c r="AP47" s="5" t="n">
        <f aca="false">IF(AP1=Inputs!$B$58,MIN(Inputs!$B$60*AP46,PV(Inputs!$B$62/12,Inputs!$B$63,-(AP26*12/Inputs!$B$61)/12)),0)</f>
        <v>0</v>
      </c>
      <c r="AQ47" s="5" t="n">
        <f aca="false">IF(AQ1=Inputs!$B$58,MIN(Inputs!$B$60*AQ46,PV(Inputs!$B$62/12,Inputs!$B$63,-(AQ26*12/Inputs!$B$61)/12)),0)</f>
        <v>0</v>
      </c>
      <c r="AR47" s="5" t="n">
        <f aca="false">IF(AR1=Inputs!$B$58,MIN(Inputs!$B$60*AR46,PV(Inputs!$B$62/12,Inputs!$B$63,-(AR26*12/Inputs!$B$61)/12)),0)</f>
        <v>0</v>
      </c>
      <c r="AS47" s="5" t="n">
        <f aca="false">IF(AS1=Inputs!$B$58,MIN(Inputs!$B$60*AS46,PV(Inputs!$B$62/12,Inputs!$B$63,-(AS26*12/Inputs!$B$61)/12)),0)</f>
        <v>0</v>
      </c>
      <c r="AT47" s="5" t="n">
        <f aca="false">IF(AT1=Inputs!$B$58,MIN(Inputs!$B$60*AT46,PV(Inputs!$B$62/12,Inputs!$B$63,-(AT26*12/Inputs!$B$61)/12)),0)</f>
        <v>0</v>
      </c>
      <c r="AU47" s="5" t="n">
        <f aca="false">IF(AU1=Inputs!$B$58,MIN(Inputs!$B$60*AU46,PV(Inputs!$B$62/12,Inputs!$B$63,-(AU26*12/Inputs!$B$61)/12)),0)</f>
        <v>0</v>
      </c>
      <c r="AV47" s="5" t="n">
        <f aca="false">IF(AV1=Inputs!$B$58,MIN(Inputs!$B$60*AV46,PV(Inputs!$B$62/12,Inputs!$B$63,-(AV26*12/Inputs!$B$61)/12)),0)</f>
        <v>0</v>
      </c>
      <c r="AW47" s="5" t="n">
        <f aca="false">IF(AW1=Inputs!$B$58,MIN(Inputs!$B$60*AW46,PV(Inputs!$B$62/12,Inputs!$B$63,-(AW26*12/Inputs!$B$61)/12)),0)</f>
        <v>0</v>
      </c>
      <c r="AX47" s="5" t="n">
        <f aca="false">IF(AX1=Inputs!$B$58,MIN(Inputs!$B$60*AX46,PV(Inputs!$B$62/12,Inputs!$B$63,-(AX26*12/Inputs!$B$61)/12)),0)</f>
        <v>0</v>
      </c>
      <c r="AY47" s="5" t="n">
        <f aca="false">IF(AY1=Inputs!$B$58,MIN(Inputs!$B$60*AY46,PV(Inputs!$B$62/12,Inputs!$B$63,-(AY26*12/Inputs!$B$61)/12)),0)</f>
        <v>0</v>
      </c>
      <c r="AZ47" s="5" t="n">
        <f aca="false">IF(AZ1=Inputs!$B$58,MIN(Inputs!$B$60*AZ46,PV(Inputs!$B$62/12,Inputs!$B$63,-(AZ26*12/Inputs!$B$61)/12)),0)</f>
        <v>0</v>
      </c>
      <c r="BA47" s="5" t="n">
        <f aca="false">IF(BA1=Inputs!$B$58,MIN(Inputs!$B$60*BA46,PV(Inputs!$B$62/12,Inputs!$B$63,-(BA26*12/Inputs!$B$61)/12)),0)</f>
        <v>0</v>
      </c>
      <c r="BB47" s="5" t="n">
        <f aca="false">IF(BB1=Inputs!$B$58,MIN(Inputs!$B$60*BB46,PV(Inputs!$B$62/12,Inputs!$B$63,-(BB26*12/Inputs!$B$61)/12)),0)</f>
        <v>0</v>
      </c>
      <c r="BC47" s="5" t="n">
        <f aca="false">IF(BC1=Inputs!$B$58,MIN(Inputs!$B$60*BC46,PV(Inputs!$B$62/12,Inputs!$B$63,-(BC26*12/Inputs!$B$61)/12)),0)</f>
        <v>0</v>
      </c>
      <c r="BD47" s="5" t="n">
        <f aca="false">IF(BD1=Inputs!$B$58,MIN(Inputs!$B$60*BD46,PV(Inputs!$B$62/12,Inputs!$B$63,-(BD26*12/Inputs!$B$61)/12)),0)</f>
        <v>0</v>
      </c>
      <c r="BE47" s="5" t="n">
        <f aca="false">IF(BE1=Inputs!$B$58,MIN(Inputs!$B$60*BE46,PV(Inputs!$B$62/12,Inputs!$B$63,-(BE26*12/Inputs!$B$61)/12)),0)</f>
        <v>0</v>
      </c>
      <c r="BF47" s="5" t="n">
        <f aca="false">IF(BF1=Inputs!$B$58,MIN(Inputs!$B$60*BF46,PV(Inputs!$B$62/12,Inputs!$B$63,-(BF26*12/Inputs!$B$61)/12)),0)</f>
        <v>0</v>
      </c>
      <c r="BG47" s="5" t="n">
        <f aca="false">IF(BG1=Inputs!$B$58,MIN(Inputs!$B$60*BG46,PV(Inputs!$B$62/12,Inputs!$B$63,-(BG26*12/Inputs!$B$61)/12)),0)</f>
        <v>0</v>
      </c>
      <c r="BH47" s="5" t="n">
        <f aca="false">IF(BH1=Inputs!$B$58,MIN(Inputs!$B$60*BH46,PV(Inputs!$B$62/12,Inputs!$B$63,-(BH26*12/Inputs!$B$61)/12)),0)</f>
        <v>0</v>
      </c>
      <c r="BI47" s="5" t="n">
        <f aca="false">IF(BI1=Inputs!$B$58,MIN(Inputs!$B$60*BI46,PV(Inputs!$B$62/12,Inputs!$B$63,-(BI26*12/Inputs!$B$61)/12)),0)</f>
        <v>0</v>
      </c>
      <c r="BJ47" s="5" t="n">
        <f aca="false">IF(BJ1=Inputs!$B$58,MIN(Inputs!$B$60*BJ46,PV(Inputs!$B$62/12,Inputs!$B$63,-(BJ26*12/Inputs!$B$61)/12)),0)</f>
        <v>0</v>
      </c>
      <c r="BK47" s="5" t="n">
        <f aca="false">IF(BK1=Inputs!$B$58,MIN(Inputs!$B$60*BK46,PV(Inputs!$B$62/12,Inputs!$B$63,-(BK26*12/Inputs!$B$61)/12)),0)</f>
        <v>0</v>
      </c>
      <c r="BL47" s="5" t="n">
        <f aca="false">IF(BL1=Inputs!$B$58,MIN(Inputs!$B$60*BL46,PV(Inputs!$B$62/12,Inputs!$B$63,-(BL26*12/Inputs!$B$61)/12)),0)</f>
        <v>0</v>
      </c>
      <c r="BM47" s="5" t="n">
        <f aca="false">IF(BM1=Inputs!$B$58,MIN(Inputs!$B$60*BM46,PV(Inputs!$B$62/12,Inputs!$B$63,-(BM26*12/Inputs!$B$61)/12)),0)</f>
        <v>0</v>
      </c>
      <c r="BN47" s="5" t="n">
        <f aca="false">IF(BN1=Inputs!$B$58,MIN(Inputs!$B$60*BN46,PV(Inputs!$B$62/12,Inputs!$B$63,-(BN26*12/Inputs!$B$61)/12)),0)</f>
        <v>0</v>
      </c>
      <c r="BO47" s="5" t="n">
        <f aca="false">IF(BO1=Inputs!$B$58,MIN(Inputs!$B$60*BO46,PV(Inputs!$B$62/12,Inputs!$B$63,-(BO26*12/Inputs!$B$61)/12)),0)</f>
        <v>0</v>
      </c>
      <c r="BP47" s="5" t="n">
        <f aca="false">IF(BP1=Inputs!$B$58,MIN(Inputs!$B$60*BP46,PV(Inputs!$B$62/12,Inputs!$B$63,-(BP26*12/Inputs!$B$61)/12)),0)</f>
        <v>0</v>
      </c>
      <c r="BQ47" s="5" t="n">
        <f aca="false">IF(BQ1=Inputs!$B$58,MIN(Inputs!$B$60*BQ46,PV(Inputs!$B$62/12,Inputs!$B$63,-(BQ26*12/Inputs!$B$61)/12)),0)</f>
        <v>0</v>
      </c>
      <c r="BR47" s="5" t="n">
        <f aca="false">IF(BR1=Inputs!$B$58,MIN(Inputs!$B$60*BR46,PV(Inputs!$B$62/12,Inputs!$B$63,-(BR26*12/Inputs!$B$61)/12)),0)</f>
        <v>0</v>
      </c>
      <c r="BS47" s="5" t="n">
        <f aca="false">IF(BS1=Inputs!$B$58,MIN(Inputs!$B$60*BS46,PV(Inputs!$B$62/12,Inputs!$B$63,-(BS26*12/Inputs!$B$61)/12)),0)</f>
        <v>0</v>
      </c>
      <c r="BT47" s="5" t="n">
        <f aca="false">IF(BT1=Inputs!$B$58,MIN(Inputs!$B$60*BT46,PV(Inputs!$B$62/12,Inputs!$B$63,-(BT26*12/Inputs!$B$61)/12)),0)</f>
        <v>0</v>
      </c>
      <c r="BU47" s="5" t="n">
        <f aca="false">IF(BU1=Inputs!$B$58,MIN(Inputs!$B$60*BU46,PV(Inputs!$B$62/12,Inputs!$B$63,-(BU26*12/Inputs!$B$61)/12)),0)</f>
        <v>0</v>
      </c>
      <c r="BV47" s="5" t="n">
        <f aca="false">IF(BV1=Inputs!$B$58,MIN(Inputs!$B$60*BV46,PV(Inputs!$B$62/12,Inputs!$B$63,-(BV26*12/Inputs!$B$61)/12)),0)</f>
        <v>0</v>
      </c>
      <c r="BW47" s="5" t="n">
        <f aca="false">IF(BW1=Inputs!$B$58,MIN(Inputs!$B$60*BW46,PV(Inputs!$B$62/12,Inputs!$B$63,-(BW26*12/Inputs!$B$61)/12)),0)</f>
        <v>0</v>
      </c>
      <c r="BX47" s="5" t="n">
        <f aca="false">IF(BX1=Inputs!$B$58,MIN(Inputs!$B$60*BX46,PV(Inputs!$B$62/12,Inputs!$B$63,-(BX26*12/Inputs!$B$61)/12)),0)</f>
        <v>0</v>
      </c>
      <c r="BY47" s="5" t="n">
        <f aca="false">IF(BY1=Inputs!$B$58,MIN(Inputs!$B$60*BY46,PV(Inputs!$B$62/12,Inputs!$B$63,-(BY26*12/Inputs!$B$61)/12)),0)</f>
        <v>0</v>
      </c>
      <c r="BZ47" s="5" t="n">
        <f aca="false">IF(BZ1=Inputs!$B$58,MIN(Inputs!$B$60*BZ46,PV(Inputs!$B$62/12,Inputs!$B$63,-(BZ26*12/Inputs!$B$61)/12)),0)</f>
        <v>0</v>
      </c>
      <c r="CA47" s="5" t="n">
        <f aca="false">IF(CA1=Inputs!$B$58,MIN(Inputs!$B$60*CA46,PV(Inputs!$B$62/12,Inputs!$B$63,-(CA26*12/Inputs!$B$61)/12)),0)</f>
        <v>0</v>
      </c>
      <c r="CB47" s="5" t="n">
        <f aca="false">IF(CB1=Inputs!$B$58,MIN(Inputs!$B$60*CB46,PV(Inputs!$B$62/12,Inputs!$B$63,-(CB26*12/Inputs!$B$61)/12)),0)</f>
        <v>0</v>
      </c>
      <c r="CC47" s="5" t="n">
        <f aca="false">IF(CC1=Inputs!$B$58,MIN(Inputs!$B$60*CC46,PV(Inputs!$B$62/12,Inputs!$B$63,-(CC26*12/Inputs!$B$61)/12)),0)</f>
        <v>0</v>
      </c>
      <c r="CD47" s="5" t="n">
        <f aca="false">IF(CD1=Inputs!$B$58,MIN(Inputs!$B$60*CD46,PV(Inputs!$B$62/12,Inputs!$B$63,-(CD26*12/Inputs!$B$61)/12)),0)</f>
        <v>0</v>
      </c>
      <c r="CE47" s="5" t="n">
        <f aca="false">IF(CE1=Inputs!$B$58,MIN(Inputs!$B$60*CE46,PV(Inputs!$B$62/12,Inputs!$B$63,-(CE26*12/Inputs!$B$61)/12)),0)</f>
        <v>0</v>
      </c>
      <c r="CF47" s="5" t="n">
        <f aca="false">IF(CF1=Inputs!$B$58,MIN(Inputs!$B$60*CF46,PV(Inputs!$B$62/12,Inputs!$B$63,-(CF26*12/Inputs!$B$61)/12)),0)</f>
        <v>0</v>
      </c>
      <c r="CG47" s="5" t="n">
        <f aca="false">IF(CG1=Inputs!$B$58,MIN(Inputs!$B$60*CG46,PV(Inputs!$B$62/12,Inputs!$B$63,-(CG26*12/Inputs!$B$61)/12)),0)</f>
        <v>0</v>
      </c>
      <c r="CH47" s="5" t="n">
        <f aca="false">IF(CH1=Inputs!$B$58,MIN(Inputs!$B$60*CH46,PV(Inputs!$B$62/12,Inputs!$B$63,-(CH26*12/Inputs!$B$61)/12)),0)</f>
        <v>0</v>
      </c>
      <c r="CI47" s="5" t="n">
        <f aca="false">IF(CI1=Inputs!$B$58,MIN(Inputs!$B$60*CI46,PV(Inputs!$B$62/12,Inputs!$B$63,-(CI26*12/Inputs!$B$61)/12)),0)</f>
        <v>0</v>
      </c>
      <c r="CJ47" s="5" t="n">
        <f aca="false">IF(CJ1=Inputs!$B$58,MIN(Inputs!$B$60*CJ46,PV(Inputs!$B$62/12,Inputs!$B$63,-(CJ26*12/Inputs!$B$61)/12)),0)</f>
        <v>0</v>
      </c>
      <c r="CK47" s="5" t="n">
        <f aca="false">IF(CK1=Inputs!$B$58,MIN(Inputs!$B$60*CK46,PV(Inputs!$B$62/12,Inputs!$B$63,-(CK26*12/Inputs!$B$61)/12)),0)</f>
        <v>0</v>
      </c>
      <c r="CL47" s="5" t="n">
        <f aca="false">IF(CL1=Inputs!$B$58,MIN(Inputs!$B$60*CL46,PV(Inputs!$B$62/12,Inputs!$B$63,-(CL26*12/Inputs!$B$61)/12)),0)</f>
        <v>0</v>
      </c>
      <c r="CM47" s="5" t="n">
        <f aca="false">IF(CM1=Inputs!$B$58,MIN(Inputs!$B$60*CM46,PV(Inputs!$B$62/12,Inputs!$B$63,-(CM26*12/Inputs!$B$61)/12)),0)</f>
        <v>0</v>
      </c>
      <c r="CN47" s="5" t="n">
        <f aca="false">IF(CN1=Inputs!$B$58,MIN(Inputs!$B$60*CN46,PV(Inputs!$B$62/12,Inputs!$B$63,-(CN26*12/Inputs!$B$61)/12)),0)</f>
        <v>0</v>
      </c>
      <c r="CO47" s="5" t="n">
        <f aca="false">IF(CO1=Inputs!$B$58,MIN(Inputs!$B$60*CO46,PV(Inputs!$B$62/12,Inputs!$B$63,-(CO26*12/Inputs!$B$61)/12)),0)</f>
        <v>0</v>
      </c>
      <c r="CP47" s="5" t="n">
        <f aca="false">IF(CP1=Inputs!$B$58,MIN(Inputs!$B$60*CP46,PV(Inputs!$B$62/12,Inputs!$B$63,-(CP26*12/Inputs!$B$61)/12)),0)</f>
        <v>0</v>
      </c>
      <c r="CQ47" s="5" t="n">
        <f aca="false">IF(CQ1=Inputs!$B$58,MIN(Inputs!$B$60*CQ46,PV(Inputs!$B$62/12,Inputs!$B$63,-(CQ26*12/Inputs!$B$61)/12)),0)</f>
        <v>0</v>
      </c>
      <c r="CR47" s="5" t="n">
        <f aca="false">IF(CR1=Inputs!$B$58,MIN(Inputs!$B$60*CR46,PV(Inputs!$B$62/12,Inputs!$B$63,-(CR26*12/Inputs!$B$61)/12)),0)</f>
        <v>0</v>
      </c>
      <c r="CS47" s="5" t="n">
        <f aca="false">IF(CS1=Inputs!$B$58,MIN(Inputs!$B$60*CS46,PV(Inputs!$B$62/12,Inputs!$B$63,-(CS26*12/Inputs!$B$61)/12)),0)</f>
        <v>0</v>
      </c>
      <c r="CT47" s="5" t="n">
        <f aca="false">IF(CT1=Inputs!$B$58,MIN(Inputs!$B$60*CT46,PV(Inputs!$B$62/12,Inputs!$B$63,-(CT26*12/Inputs!$B$61)/12)),0)</f>
        <v>0</v>
      </c>
    </row>
    <row r="48" customFormat="false" ht="15" hidden="false" customHeight="false" outlineLevel="0" collapsed="false">
      <c r="B48" s="26" t="s">
        <v>184</v>
      </c>
      <c r="C48" s="5" t="n">
        <f aca="false">-C47*Inputs!$B$65</f>
        <v>-0</v>
      </c>
      <c r="D48" s="5" t="n">
        <f aca="false">-D47*Inputs!$B$65</f>
        <v>-0</v>
      </c>
      <c r="E48" s="5" t="n">
        <f aca="false">-E47*Inputs!$B$65</f>
        <v>-0</v>
      </c>
      <c r="F48" s="5" t="n">
        <f aca="false">-F47*Inputs!$B$65</f>
        <v>-0</v>
      </c>
      <c r="G48" s="5" t="n">
        <f aca="false">-G47*Inputs!$B$65</f>
        <v>-0</v>
      </c>
      <c r="H48" s="5" t="n">
        <f aca="false">-H47*Inputs!$B$65</f>
        <v>-0</v>
      </c>
      <c r="I48" s="5" t="n">
        <f aca="false">-I47*Inputs!$B$65</f>
        <v>-0</v>
      </c>
      <c r="J48" s="5" t="n">
        <f aca="false">-J47*Inputs!$B$65</f>
        <v>-0</v>
      </c>
      <c r="K48" s="5" t="n">
        <f aca="false">-K47*Inputs!$B$65</f>
        <v>-0</v>
      </c>
      <c r="L48" s="5" t="n">
        <f aca="false">-L47*Inputs!$B$65</f>
        <v>-0</v>
      </c>
      <c r="M48" s="5" t="n">
        <f aca="false">-M47*Inputs!$B$65</f>
        <v>-0</v>
      </c>
      <c r="N48" s="5" t="n">
        <f aca="false">-N47*Inputs!$B$65</f>
        <v>-0</v>
      </c>
      <c r="O48" s="5" t="n">
        <f aca="false">-O47*Inputs!$B$65</f>
        <v>-0</v>
      </c>
      <c r="P48" s="5" t="n">
        <f aca="false">-P47*Inputs!$B$65</f>
        <v>-0</v>
      </c>
      <c r="Q48" s="5" t="n">
        <f aca="false">-Q47*Inputs!$B$65</f>
        <v>-0</v>
      </c>
      <c r="R48" s="5" t="n">
        <f aca="false">-R47*Inputs!$B$65</f>
        <v>-0</v>
      </c>
      <c r="S48" s="5" t="n">
        <f aca="false">-S47*Inputs!$B$65</f>
        <v>-0</v>
      </c>
      <c r="T48" s="5" t="n">
        <f aca="false">-T47*Inputs!$B$65</f>
        <v>-0</v>
      </c>
      <c r="U48" s="5" t="n">
        <f aca="false">-U47*Inputs!$B$65</f>
        <v>-0</v>
      </c>
      <c r="V48" s="5" t="n">
        <f aca="false">-V47*Inputs!$B$65</f>
        <v>-0</v>
      </c>
      <c r="W48" s="5" t="n">
        <f aca="false">-W47*Inputs!$B$65</f>
        <v>-0</v>
      </c>
      <c r="X48" s="5" t="n">
        <f aca="false">-X47*Inputs!$B$65</f>
        <v>-0</v>
      </c>
      <c r="Y48" s="5" t="n">
        <f aca="false">-Y47*Inputs!$B$65</f>
        <v>-0</v>
      </c>
      <c r="Z48" s="5" t="n">
        <f aca="false">-Z47*Inputs!$B$65</f>
        <v>-0</v>
      </c>
      <c r="AA48" s="5" t="n">
        <f aca="false">-AA47*Inputs!$B$65</f>
        <v>-0</v>
      </c>
      <c r="AB48" s="5" t="n">
        <f aca="false">-AB47*Inputs!$B$65</f>
        <v>-0</v>
      </c>
      <c r="AC48" s="5" t="n">
        <f aca="false">-AC47*Inputs!$B$65</f>
        <v>-0</v>
      </c>
      <c r="AD48" s="5" t="n">
        <f aca="false">-AD47*Inputs!$B$65</f>
        <v>-0</v>
      </c>
      <c r="AE48" s="5" t="n">
        <f aca="false">-AE47*Inputs!$B$65</f>
        <v>-0</v>
      </c>
      <c r="AF48" s="5" t="n">
        <f aca="false">-AF47*Inputs!$B$65</f>
        <v>-0</v>
      </c>
      <c r="AG48" s="5" t="n">
        <f aca="false">-AG47*Inputs!$B$65</f>
        <v>-0</v>
      </c>
      <c r="AH48" s="5" t="n">
        <f aca="false">-AH47*Inputs!$B$65</f>
        <v>-0</v>
      </c>
      <c r="AI48" s="5" t="n">
        <f aca="false">-AI47*Inputs!$B$65</f>
        <v>-997561.433554723</v>
      </c>
      <c r="AJ48" s="5" t="n">
        <f aca="false">-AJ47*Inputs!$B$65</f>
        <v>-0</v>
      </c>
      <c r="AK48" s="5" t="n">
        <f aca="false">-AK47*Inputs!$B$65</f>
        <v>-0</v>
      </c>
      <c r="AL48" s="5" t="n">
        <f aca="false">-AL47*Inputs!$B$65</f>
        <v>-0</v>
      </c>
      <c r="AM48" s="5" t="n">
        <f aca="false">-AM47*Inputs!$B$65</f>
        <v>-0</v>
      </c>
      <c r="AN48" s="5" t="n">
        <f aca="false">-AN47*Inputs!$B$65</f>
        <v>-0</v>
      </c>
      <c r="AO48" s="5" t="n">
        <f aca="false">-AO47*Inputs!$B$65</f>
        <v>-0</v>
      </c>
      <c r="AP48" s="5" t="n">
        <f aca="false">-AP47*Inputs!$B$65</f>
        <v>-0</v>
      </c>
      <c r="AQ48" s="5" t="n">
        <f aca="false">-AQ47*Inputs!$B$65</f>
        <v>-0</v>
      </c>
      <c r="AR48" s="5" t="n">
        <f aca="false">-AR47*Inputs!$B$65</f>
        <v>-0</v>
      </c>
      <c r="AS48" s="5" t="n">
        <f aca="false">-AS47*Inputs!$B$65</f>
        <v>-0</v>
      </c>
      <c r="AT48" s="5" t="n">
        <f aca="false">-AT47*Inputs!$B$65</f>
        <v>-0</v>
      </c>
      <c r="AU48" s="5" t="n">
        <f aca="false">-AU47*Inputs!$B$65</f>
        <v>-0</v>
      </c>
      <c r="AV48" s="5" t="n">
        <f aca="false">-AV47*Inputs!$B$65</f>
        <v>-0</v>
      </c>
      <c r="AW48" s="5" t="n">
        <f aca="false">-AW47*Inputs!$B$65</f>
        <v>-0</v>
      </c>
      <c r="AX48" s="5" t="n">
        <f aca="false">-AX47*Inputs!$B$65</f>
        <v>-0</v>
      </c>
      <c r="AY48" s="5" t="n">
        <f aca="false">-AY47*Inputs!$B$65</f>
        <v>-0</v>
      </c>
      <c r="AZ48" s="5" t="n">
        <f aca="false">-AZ47*Inputs!$B$65</f>
        <v>-0</v>
      </c>
      <c r="BA48" s="5" t="n">
        <f aca="false">-BA47*Inputs!$B$65</f>
        <v>-0</v>
      </c>
      <c r="BB48" s="5" t="n">
        <f aca="false">-BB47*Inputs!$B$65</f>
        <v>-0</v>
      </c>
      <c r="BC48" s="5" t="n">
        <f aca="false">-BC47*Inputs!$B$65</f>
        <v>-0</v>
      </c>
      <c r="BD48" s="5" t="n">
        <f aca="false">-BD47*Inputs!$B$65</f>
        <v>-0</v>
      </c>
      <c r="BE48" s="5" t="n">
        <f aca="false">-BE47*Inputs!$B$65</f>
        <v>-0</v>
      </c>
      <c r="BF48" s="5" t="n">
        <f aca="false">-BF47*Inputs!$B$65</f>
        <v>-0</v>
      </c>
      <c r="BG48" s="5" t="n">
        <f aca="false">-BG47*Inputs!$B$65</f>
        <v>-0</v>
      </c>
      <c r="BH48" s="5" t="n">
        <f aca="false">-BH47*Inputs!$B$65</f>
        <v>-0</v>
      </c>
      <c r="BI48" s="5" t="n">
        <f aca="false">-BI47*Inputs!$B$65</f>
        <v>-0</v>
      </c>
      <c r="BJ48" s="5" t="n">
        <f aca="false">-BJ47*Inputs!$B$65</f>
        <v>-0</v>
      </c>
      <c r="BK48" s="5" t="n">
        <f aca="false">-BK47*Inputs!$B$65</f>
        <v>-0</v>
      </c>
      <c r="BL48" s="5" t="n">
        <f aca="false">-BL47*Inputs!$B$65</f>
        <v>-0</v>
      </c>
      <c r="BM48" s="5" t="n">
        <f aca="false">-BM47*Inputs!$B$65</f>
        <v>-0</v>
      </c>
      <c r="BN48" s="5" t="n">
        <f aca="false">-BN47*Inputs!$B$65</f>
        <v>-0</v>
      </c>
      <c r="BO48" s="5" t="n">
        <f aca="false">-BO47*Inputs!$B$65</f>
        <v>-0</v>
      </c>
      <c r="BP48" s="5" t="n">
        <f aca="false">-BP47*Inputs!$B$65</f>
        <v>-0</v>
      </c>
      <c r="BQ48" s="5" t="n">
        <f aca="false">-BQ47*Inputs!$B$65</f>
        <v>-0</v>
      </c>
      <c r="BR48" s="5" t="n">
        <f aca="false">-BR47*Inputs!$B$65</f>
        <v>-0</v>
      </c>
      <c r="BS48" s="5" t="n">
        <f aca="false">-BS47*Inputs!$B$65</f>
        <v>-0</v>
      </c>
      <c r="BT48" s="5" t="n">
        <f aca="false">-BT47*Inputs!$B$65</f>
        <v>-0</v>
      </c>
      <c r="BU48" s="5" t="n">
        <f aca="false">-BU47*Inputs!$B$65</f>
        <v>-0</v>
      </c>
      <c r="BV48" s="5" t="n">
        <f aca="false">-BV47*Inputs!$B$65</f>
        <v>-0</v>
      </c>
      <c r="BW48" s="5" t="n">
        <f aca="false">-BW47*Inputs!$B$65</f>
        <v>-0</v>
      </c>
      <c r="BX48" s="5" t="n">
        <f aca="false">-BX47*Inputs!$B$65</f>
        <v>-0</v>
      </c>
      <c r="BY48" s="5" t="n">
        <f aca="false">-BY47*Inputs!$B$65</f>
        <v>-0</v>
      </c>
      <c r="BZ48" s="5" t="n">
        <f aca="false">-BZ47*Inputs!$B$65</f>
        <v>-0</v>
      </c>
      <c r="CA48" s="5" t="n">
        <f aca="false">-CA47*Inputs!$B$65</f>
        <v>-0</v>
      </c>
      <c r="CB48" s="5" t="n">
        <f aca="false">-CB47*Inputs!$B$65</f>
        <v>-0</v>
      </c>
      <c r="CC48" s="5" t="n">
        <f aca="false">-CC47*Inputs!$B$65</f>
        <v>-0</v>
      </c>
      <c r="CD48" s="5" t="n">
        <f aca="false">-CD47*Inputs!$B$65</f>
        <v>-0</v>
      </c>
      <c r="CE48" s="5" t="n">
        <f aca="false">-CE47*Inputs!$B$65</f>
        <v>-0</v>
      </c>
      <c r="CF48" s="5" t="n">
        <f aca="false">-CF47*Inputs!$B$65</f>
        <v>-0</v>
      </c>
      <c r="CG48" s="5" t="n">
        <f aca="false">-CG47*Inputs!$B$65</f>
        <v>-0</v>
      </c>
      <c r="CH48" s="5" t="n">
        <f aca="false">-CH47*Inputs!$B$65</f>
        <v>-0</v>
      </c>
      <c r="CI48" s="5" t="n">
        <f aca="false">-CI47*Inputs!$B$65</f>
        <v>-0</v>
      </c>
      <c r="CJ48" s="5" t="n">
        <f aca="false">-CJ47*Inputs!$B$65</f>
        <v>-0</v>
      </c>
      <c r="CK48" s="5" t="n">
        <f aca="false">-CK47*Inputs!$B$65</f>
        <v>-0</v>
      </c>
      <c r="CL48" s="5" t="n">
        <f aca="false">-CL47*Inputs!$B$65</f>
        <v>-0</v>
      </c>
      <c r="CM48" s="5" t="n">
        <f aca="false">-CM47*Inputs!$B$65</f>
        <v>-0</v>
      </c>
      <c r="CN48" s="5" t="n">
        <f aca="false">-CN47*Inputs!$B$65</f>
        <v>-0</v>
      </c>
      <c r="CO48" s="5" t="n">
        <f aca="false">-CO47*Inputs!$B$65</f>
        <v>-0</v>
      </c>
      <c r="CP48" s="5" t="n">
        <f aca="false">-CP47*Inputs!$B$65</f>
        <v>-0</v>
      </c>
      <c r="CQ48" s="5" t="n">
        <f aca="false">-CQ47*Inputs!$B$65</f>
        <v>-0</v>
      </c>
      <c r="CR48" s="5" t="n">
        <f aca="false">-CR47*Inputs!$B$65</f>
        <v>-0</v>
      </c>
      <c r="CS48" s="5" t="n">
        <f aca="false">-CS47*Inputs!$B$65</f>
        <v>-0</v>
      </c>
      <c r="CT48" s="5" t="n">
        <f aca="false">-CT47*Inputs!$B$65</f>
        <v>-0</v>
      </c>
    </row>
    <row r="49" customFormat="false" ht="15" hidden="false" customHeight="false" outlineLevel="0" collapsed="false">
      <c r="B49" s="2" t="s">
        <v>185</v>
      </c>
      <c r="C49" s="5" t="n">
        <f aca="false">C47+C43+C48</f>
        <v>0</v>
      </c>
      <c r="D49" s="5" t="n">
        <f aca="false">D47+D43+D48</f>
        <v>0</v>
      </c>
      <c r="E49" s="5" t="n">
        <f aca="false">E47+E43+E48</f>
        <v>0</v>
      </c>
      <c r="F49" s="5" t="n">
        <f aca="false">F47+F43+F48</f>
        <v>0</v>
      </c>
      <c r="G49" s="5" t="n">
        <f aca="false">G47+G43+G48</f>
        <v>0</v>
      </c>
      <c r="H49" s="5" t="n">
        <f aca="false">H47+H43+H48</f>
        <v>0</v>
      </c>
      <c r="I49" s="5" t="n">
        <f aca="false">I47+I43+I48</f>
        <v>0</v>
      </c>
      <c r="J49" s="5" t="n">
        <f aca="false">J47+J43+J48</f>
        <v>0</v>
      </c>
      <c r="K49" s="5" t="n">
        <f aca="false">K47+K43+K48</f>
        <v>0</v>
      </c>
      <c r="L49" s="5" t="n">
        <f aca="false">L47+L43+L48</f>
        <v>0</v>
      </c>
      <c r="M49" s="5" t="n">
        <f aca="false">M47+M43+M48</f>
        <v>0</v>
      </c>
      <c r="N49" s="5" t="n">
        <f aca="false">N47+N43+N48</f>
        <v>0</v>
      </c>
      <c r="O49" s="5" t="n">
        <f aca="false">O47+O43+O48</f>
        <v>0</v>
      </c>
      <c r="P49" s="5" t="n">
        <f aca="false">P47+P43+P48</f>
        <v>0</v>
      </c>
      <c r="Q49" s="5" t="n">
        <f aca="false">Q47+Q43+Q48</f>
        <v>0</v>
      </c>
      <c r="R49" s="5" t="n">
        <f aca="false">R47+R43+R48</f>
        <v>0</v>
      </c>
      <c r="S49" s="5" t="n">
        <f aca="false">S47+S43+S48</f>
        <v>0</v>
      </c>
      <c r="T49" s="5" t="n">
        <f aca="false">T47+T43+T48</f>
        <v>0</v>
      </c>
      <c r="U49" s="5" t="n">
        <f aca="false">U47+U43+U48</f>
        <v>0</v>
      </c>
      <c r="V49" s="5" t="n">
        <f aca="false">V47+V43+V48</f>
        <v>0</v>
      </c>
      <c r="W49" s="5" t="n">
        <f aca="false">W47+W43+W48</f>
        <v>0</v>
      </c>
      <c r="X49" s="5" t="n">
        <f aca="false">X47+X43+X48</f>
        <v>0</v>
      </c>
      <c r="Y49" s="5" t="n">
        <f aca="false">Y47+Y43+Y48</f>
        <v>0</v>
      </c>
      <c r="Z49" s="5" t="n">
        <f aca="false">Z47+Z43+Z48</f>
        <v>0</v>
      </c>
      <c r="AA49" s="5" t="n">
        <f aca="false">AA47+AA43+AA48</f>
        <v>0</v>
      </c>
      <c r="AB49" s="5" t="n">
        <f aca="false">AB47+AB43+AB48</f>
        <v>0</v>
      </c>
      <c r="AC49" s="5" t="n">
        <f aca="false">AC47+AC43+AC48</f>
        <v>0</v>
      </c>
      <c r="AD49" s="5" t="n">
        <f aca="false">AD47+AD43+AD48</f>
        <v>0</v>
      </c>
      <c r="AE49" s="5" t="n">
        <f aca="false">AE47+AE43+AE48</f>
        <v>0</v>
      </c>
      <c r="AF49" s="5" t="n">
        <f aca="false">AF47+AF43+AF48</f>
        <v>0</v>
      </c>
      <c r="AG49" s="5" t="n">
        <f aca="false">AG47+AG43+AG48</f>
        <v>0</v>
      </c>
      <c r="AH49" s="5" t="n">
        <f aca="false">AH47+AH43+AH48</f>
        <v>0</v>
      </c>
      <c r="AI49" s="5" t="n">
        <f aca="false">AI47+AI43+AI48</f>
        <v>-115825.741147145</v>
      </c>
      <c r="AJ49" s="5" t="n">
        <f aca="false">AJ47+AJ43+AJ48</f>
        <v>0</v>
      </c>
      <c r="AK49" s="5" t="n">
        <f aca="false">AK47+AK43+AK48</f>
        <v>0</v>
      </c>
      <c r="AL49" s="5" t="n">
        <f aca="false">AL47+AL43+AL48</f>
        <v>0</v>
      </c>
      <c r="AM49" s="5" t="n">
        <f aca="false">AM47+AM43+AM48</f>
        <v>0</v>
      </c>
      <c r="AN49" s="5" t="n">
        <f aca="false">AN47+AN43+AN48</f>
        <v>0</v>
      </c>
      <c r="AO49" s="5" t="n">
        <f aca="false">AO47+AO43+AO48</f>
        <v>0</v>
      </c>
      <c r="AP49" s="5" t="n">
        <f aca="false">AP47+AP43+AP48</f>
        <v>0</v>
      </c>
      <c r="AQ49" s="5" t="n">
        <f aca="false">AQ47+AQ43+AQ48</f>
        <v>0</v>
      </c>
      <c r="AR49" s="5" t="n">
        <f aca="false">AR47+AR43+AR48</f>
        <v>0</v>
      </c>
      <c r="AS49" s="5" t="n">
        <f aca="false">AS47+AS43+AS48</f>
        <v>0</v>
      </c>
      <c r="AT49" s="5" t="n">
        <f aca="false">AT47+AT43+AT48</f>
        <v>0</v>
      </c>
      <c r="AU49" s="5" t="n">
        <f aca="false">AU47+AU43+AU48</f>
        <v>0</v>
      </c>
      <c r="AV49" s="5" t="n">
        <f aca="false">AV47+AV43+AV48</f>
        <v>0</v>
      </c>
      <c r="AW49" s="5" t="n">
        <f aca="false">AW47+AW43+AW48</f>
        <v>0</v>
      </c>
      <c r="AX49" s="5" t="n">
        <f aca="false">AX47+AX43+AX48</f>
        <v>0</v>
      </c>
      <c r="AY49" s="5" t="n">
        <f aca="false">AY47+AY43+AY48</f>
        <v>0</v>
      </c>
      <c r="AZ49" s="5" t="n">
        <f aca="false">AZ47+AZ43+AZ48</f>
        <v>0</v>
      </c>
      <c r="BA49" s="5" t="n">
        <f aca="false">BA47+BA43+BA48</f>
        <v>0</v>
      </c>
      <c r="BB49" s="5" t="n">
        <f aca="false">BB47+BB43+BB48</f>
        <v>0</v>
      </c>
      <c r="BC49" s="5" t="n">
        <f aca="false">BC47+BC43+BC48</f>
        <v>0</v>
      </c>
      <c r="BD49" s="5" t="n">
        <f aca="false">BD47+BD43+BD48</f>
        <v>0</v>
      </c>
      <c r="BE49" s="5" t="n">
        <f aca="false">BE47+BE43+BE48</f>
        <v>0</v>
      </c>
      <c r="BF49" s="5" t="n">
        <f aca="false">BF47+BF43+BF48</f>
        <v>0</v>
      </c>
      <c r="BG49" s="5" t="n">
        <f aca="false">BG47+BG43+BG48</f>
        <v>0</v>
      </c>
      <c r="BH49" s="5" t="n">
        <f aca="false">BH47+BH43+BH48</f>
        <v>0</v>
      </c>
      <c r="BI49" s="5" t="n">
        <f aca="false">BI47+BI43+BI48</f>
        <v>0</v>
      </c>
      <c r="BJ49" s="5" t="n">
        <f aca="false">BJ47+BJ43+BJ48</f>
        <v>0</v>
      </c>
      <c r="BK49" s="5" t="n">
        <f aca="false">BK47+BK43+BK48</f>
        <v>0</v>
      </c>
      <c r="BL49" s="5" t="n">
        <f aca="false">BL47+BL43+BL48</f>
        <v>0</v>
      </c>
      <c r="BM49" s="5" t="n">
        <f aca="false">BM47+BM43+BM48</f>
        <v>0</v>
      </c>
      <c r="BN49" s="5" t="n">
        <f aca="false">BN47+BN43+BN48</f>
        <v>0</v>
      </c>
      <c r="BO49" s="5" t="n">
        <f aca="false">BO47+BO43+BO48</f>
        <v>0</v>
      </c>
      <c r="BP49" s="5" t="n">
        <f aca="false">BP47+BP43+BP48</f>
        <v>0</v>
      </c>
      <c r="BQ49" s="5" t="n">
        <f aca="false">BQ47+BQ43+BQ48</f>
        <v>0</v>
      </c>
      <c r="BR49" s="5" t="n">
        <f aca="false">BR47+BR43+BR48</f>
        <v>0</v>
      </c>
      <c r="BS49" s="5" t="n">
        <f aca="false">BS47+BS43+BS48</f>
        <v>0</v>
      </c>
      <c r="BT49" s="5" t="n">
        <f aca="false">BT47+BT43+BT48</f>
        <v>0</v>
      </c>
      <c r="BU49" s="5" t="n">
        <f aca="false">BU47+BU43+BU48</f>
        <v>0</v>
      </c>
      <c r="BV49" s="5" t="n">
        <f aca="false">BV47+BV43+BV48</f>
        <v>0</v>
      </c>
      <c r="BW49" s="5" t="n">
        <f aca="false">BW47+BW43+BW48</f>
        <v>0</v>
      </c>
      <c r="BX49" s="5" t="n">
        <f aca="false">BX47+BX43+BX48</f>
        <v>0</v>
      </c>
      <c r="BY49" s="5" t="n">
        <f aca="false">BY47+BY43+BY48</f>
        <v>0</v>
      </c>
      <c r="BZ49" s="5" t="n">
        <f aca="false">BZ47+BZ43+BZ48</f>
        <v>0</v>
      </c>
      <c r="CA49" s="5" t="n">
        <f aca="false">CA47+CA43+CA48</f>
        <v>0</v>
      </c>
      <c r="CB49" s="5" t="n">
        <f aca="false">CB47+CB43+CB48</f>
        <v>0</v>
      </c>
      <c r="CC49" s="5" t="n">
        <f aca="false">CC47+CC43+CC48</f>
        <v>0</v>
      </c>
      <c r="CD49" s="5" t="n">
        <f aca="false">CD47+CD43+CD48</f>
        <v>0</v>
      </c>
      <c r="CE49" s="5" t="n">
        <f aca="false">CE47+CE43+CE48</f>
        <v>0</v>
      </c>
      <c r="CF49" s="5" t="n">
        <f aca="false">CF47+CF43+CF48</f>
        <v>0</v>
      </c>
      <c r="CG49" s="5" t="n">
        <f aca="false">CG47+CG43+CG48</f>
        <v>0</v>
      </c>
      <c r="CH49" s="5" t="n">
        <f aca="false">CH47+CH43+CH48</f>
        <v>0</v>
      </c>
      <c r="CI49" s="5" t="n">
        <f aca="false">CI47+CI43+CI48</f>
        <v>0</v>
      </c>
      <c r="CJ49" s="5" t="n">
        <f aca="false">CJ47+CJ43+CJ48</f>
        <v>0</v>
      </c>
      <c r="CK49" s="5" t="n">
        <f aca="false">CK47+CK43+CK48</f>
        <v>0</v>
      </c>
      <c r="CL49" s="5" t="n">
        <f aca="false">CL47+CL43+CL48</f>
        <v>0</v>
      </c>
      <c r="CM49" s="5" t="n">
        <f aca="false">CM47+CM43+CM48</f>
        <v>0</v>
      </c>
      <c r="CN49" s="5" t="n">
        <f aca="false">CN47+CN43+CN48</f>
        <v>0</v>
      </c>
      <c r="CO49" s="5" t="n">
        <f aca="false">CO47+CO43+CO48</f>
        <v>0</v>
      </c>
      <c r="CP49" s="5" t="n">
        <f aca="false">CP47+CP43+CP48</f>
        <v>0</v>
      </c>
      <c r="CQ49" s="5" t="n">
        <f aca="false">CQ47+CQ43+CQ48</f>
        <v>0</v>
      </c>
      <c r="CR49" s="5" t="n">
        <f aca="false">CR47+CR43+CR48</f>
        <v>0</v>
      </c>
      <c r="CS49" s="5" t="n">
        <f aca="false">CS47+CS43+CS48</f>
        <v>0</v>
      </c>
      <c r="CT49" s="5" t="n">
        <f aca="false">CT47+CT43+CT48</f>
        <v>0</v>
      </c>
    </row>
    <row r="50" customFormat="false" ht="15" hidden="false" customHeight="false" outlineLevel="0" collapsed="false">
      <c r="B50" s="26" t="s">
        <v>186</v>
      </c>
      <c r="C50" s="5" t="n">
        <f aca="false">0</f>
        <v>0</v>
      </c>
      <c r="D50" s="5" t="n">
        <f aca="false">IF(D1=Inputs!$B$58+1,Inputs!$B$91,IF(D1&gt;Inputs!$B$58+1,C55,0))</f>
        <v>0</v>
      </c>
      <c r="E50" s="5" t="n">
        <f aca="false">IF(E1=Inputs!$B$58+1,Inputs!$B$91,IF(E1&gt;Inputs!$B$58+1,D55,0))</f>
        <v>0</v>
      </c>
      <c r="F50" s="5" t="n">
        <f aca="false">IF(F1=Inputs!$B$58+1,Inputs!$B$91,IF(F1&gt;Inputs!$B$58+1,E55,0))</f>
        <v>0</v>
      </c>
      <c r="G50" s="5" t="n">
        <f aca="false">IF(G1=Inputs!$B$58+1,Inputs!$B$91,IF(G1&gt;Inputs!$B$58+1,F55,0))</f>
        <v>0</v>
      </c>
      <c r="H50" s="5" t="n">
        <f aca="false">IF(H1=Inputs!$B$58+1,Inputs!$B$91,IF(H1&gt;Inputs!$B$58+1,G55,0))</f>
        <v>0</v>
      </c>
      <c r="I50" s="5" t="n">
        <f aca="false">IF(I1=Inputs!$B$58+1,Inputs!$B$91,IF(I1&gt;Inputs!$B$58+1,H55,0))</f>
        <v>0</v>
      </c>
      <c r="J50" s="5" t="n">
        <f aca="false">IF(J1=Inputs!$B$58+1,Inputs!$B$91,IF(J1&gt;Inputs!$B$58+1,I55,0))</f>
        <v>0</v>
      </c>
      <c r="K50" s="5" t="n">
        <f aca="false">IF(K1=Inputs!$B$58+1,Inputs!$B$91,IF(K1&gt;Inputs!$B$58+1,J55,0))</f>
        <v>0</v>
      </c>
      <c r="L50" s="5" t="n">
        <f aca="false">IF(L1=Inputs!$B$58+1,Inputs!$B$91,IF(L1&gt;Inputs!$B$58+1,K55,0))</f>
        <v>0</v>
      </c>
      <c r="M50" s="5" t="n">
        <f aca="false">IF(M1=Inputs!$B$58+1,Inputs!$B$91,IF(M1&gt;Inputs!$B$58+1,L55,0))</f>
        <v>0</v>
      </c>
      <c r="N50" s="5" t="n">
        <f aca="false">IF(N1=Inputs!$B$58+1,Inputs!$B$91,IF(N1&gt;Inputs!$B$58+1,M55,0))</f>
        <v>0</v>
      </c>
      <c r="O50" s="5" t="n">
        <f aca="false">IF(O1=Inputs!$B$58+1,Inputs!$B$91,IF(O1&gt;Inputs!$B$58+1,N55,0))</f>
        <v>0</v>
      </c>
      <c r="P50" s="5" t="n">
        <f aca="false">IF(P1=Inputs!$B$58+1,Inputs!$B$91,IF(P1&gt;Inputs!$B$58+1,O55,0))</f>
        <v>0</v>
      </c>
      <c r="Q50" s="5" t="n">
        <f aca="false">IF(Q1=Inputs!$B$58+1,Inputs!$B$91,IF(Q1&gt;Inputs!$B$58+1,P55,0))</f>
        <v>0</v>
      </c>
      <c r="R50" s="5" t="n">
        <f aca="false">IF(R1=Inputs!$B$58+1,Inputs!$B$91,IF(R1&gt;Inputs!$B$58+1,Q55,0))</f>
        <v>0</v>
      </c>
      <c r="S50" s="5" t="n">
        <f aca="false">IF(S1=Inputs!$B$58+1,Inputs!$B$91,IF(S1&gt;Inputs!$B$58+1,R55,0))</f>
        <v>0</v>
      </c>
      <c r="T50" s="5" t="n">
        <f aca="false">IF(T1=Inputs!$B$58+1,Inputs!$B$91,IF(T1&gt;Inputs!$B$58+1,S55,0))</f>
        <v>0</v>
      </c>
      <c r="U50" s="5" t="n">
        <f aca="false">IF(U1=Inputs!$B$58+1,Inputs!$B$91,IF(U1&gt;Inputs!$B$58+1,T55,0))</f>
        <v>0</v>
      </c>
      <c r="V50" s="5" t="n">
        <f aca="false">IF(V1=Inputs!$B$58+1,Inputs!$B$91,IF(V1&gt;Inputs!$B$58+1,U55,0))</f>
        <v>0</v>
      </c>
      <c r="W50" s="5" t="n">
        <f aca="false">IF(W1=Inputs!$B$58+1,Inputs!$B$91,IF(W1&gt;Inputs!$B$58+1,V55,0))</f>
        <v>0</v>
      </c>
      <c r="X50" s="5" t="n">
        <f aca="false">IF(X1=Inputs!$B$58+1,Inputs!$B$91,IF(X1&gt;Inputs!$B$58+1,W55,0))</f>
        <v>0</v>
      </c>
      <c r="Y50" s="5" t="n">
        <f aca="false">IF(Y1=Inputs!$B$58+1,Inputs!$B$91,IF(Y1&gt;Inputs!$B$58+1,X55,0))</f>
        <v>0</v>
      </c>
      <c r="Z50" s="5" t="n">
        <f aca="false">IF(Z1=Inputs!$B$58+1,Inputs!$B$91,IF(Z1&gt;Inputs!$B$58+1,Y55,0))</f>
        <v>0</v>
      </c>
      <c r="AA50" s="5" t="n">
        <f aca="false">IF(AA1=Inputs!$B$58+1,Inputs!$B$91,IF(AA1&gt;Inputs!$B$58+1,Z55,0))</f>
        <v>0</v>
      </c>
      <c r="AB50" s="5" t="n">
        <f aca="false">IF(AB1=Inputs!$B$58+1,Inputs!$B$91,IF(AB1&gt;Inputs!$B$58+1,AA55,0))</f>
        <v>0</v>
      </c>
      <c r="AC50" s="5" t="n">
        <f aca="false">IF(AC1=Inputs!$B$58+1,Inputs!$B$91,IF(AC1&gt;Inputs!$B$58+1,AB55,0))</f>
        <v>0</v>
      </c>
      <c r="AD50" s="5" t="n">
        <f aca="false">IF(AD1=Inputs!$B$58+1,Inputs!$B$91,IF(AD1&gt;Inputs!$B$58+1,AC55,0))</f>
        <v>0</v>
      </c>
      <c r="AE50" s="5" t="n">
        <f aca="false">IF(AE1=Inputs!$B$58+1,Inputs!$B$91,IF(AE1&gt;Inputs!$B$58+1,AD55,0))</f>
        <v>0</v>
      </c>
      <c r="AF50" s="5" t="n">
        <f aca="false">IF(AF1=Inputs!$B$58+1,Inputs!$B$91,IF(AF1&gt;Inputs!$B$58+1,AE55,0))</f>
        <v>0</v>
      </c>
      <c r="AG50" s="5" t="n">
        <f aca="false">IF(AG1=Inputs!$B$58+1,Inputs!$B$91,IF(AG1&gt;Inputs!$B$58+1,AF55,0))</f>
        <v>0</v>
      </c>
      <c r="AH50" s="5" t="n">
        <f aca="false">IF(AH1=Inputs!$B$58+1,Inputs!$B$91,IF(AH1&gt;Inputs!$B$58+1,AG55,0))</f>
        <v>0</v>
      </c>
      <c r="AI50" s="5" t="n">
        <f aca="false">IF(AI1=Inputs!$B$58+1,Inputs!$B$91,IF(AI1&gt;Inputs!$B$58+1,AH55,0))</f>
        <v>0</v>
      </c>
      <c r="AJ50" s="5" t="n">
        <f aca="false">IF(AJ1=Inputs!$B$58+1,Inputs!$B$91,IF(AJ1&gt;Inputs!$B$58+1,AI55,0))</f>
        <v>49878071.6777361</v>
      </c>
      <c r="AK50" s="5" t="n">
        <f aca="false">IF(AK1=Inputs!$B$58+1,Inputs!$B$91,IF(AK1&gt;Inputs!$B$58+1,AJ55,0))</f>
        <v>49845030.8735754</v>
      </c>
      <c r="AL50" s="5" t="n">
        <f aca="false">IF(AL1=Inputs!$B$58+1,Inputs!$B$91,IF(AL1&gt;Inputs!$B$58+1,AK55,0))</f>
        <v>49811817.981893</v>
      </c>
      <c r="AM50" s="5" t="n">
        <f aca="false">IF(AM1=Inputs!$B$58+1,Inputs!$B$91,IF(AM1&gt;Inputs!$B$58+1,AL55,0))</f>
        <v>49778432.1063997</v>
      </c>
      <c r="AN50" s="5" t="n">
        <f aca="false">IF(AN1=Inputs!$B$58+1,Inputs!$B$91,IF(AN1&gt;Inputs!$B$58+1,AM55,0))</f>
        <v>49744872.3461382</v>
      </c>
      <c r="AO50" s="5" t="n">
        <f aca="false">IF(AO1=Inputs!$B$58+1,Inputs!$B$91,IF(AO1&gt;Inputs!$B$58+1,AN55,0))</f>
        <v>49711137.7954587</v>
      </c>
      <c r="AP50" s="5" t="n">
        <f aca="false">IF(AP1=Inputs!$B$58+1,Inputs!$B$91,IF(AP1&gt;Inputs!$B$58+1,AO55,0))</f>
        <v>49677227.5439944</v>
      </c>
      <c r="AQ50" s="5" t="n">
        <f aca="false">IF(AQ1=Inputs!$B$58+1,Inputs!$B$91,IF(AQ1&gt;Inputs!$B$58+1,AP55,0))</f>
        <v>49643140.6766371</v>
      </c>
      <c r="AR50" s="5" t="n">
        <f aca="false">IF(AR1=Inputs!$B$58+1,Inputs!$B$91,IF(AR1&gt;Inputs!$B$58+1,AQ55,0))</f>
        <v>49608876.2735123</v>
      </c>
      <c r="AS50" s="5" t="n">
        <f aca="false">IF(AS1=Inputs!$B$58+1,Inputs!$B$91,IF(AS1&gt;Inputs!$B$58+1,AR55,0))</f>
        <v>49574433.4099545</v>
      </c>
      <c r="AT50" s="5" t="n">
        <f aca="false">IF(AT1=Inputs!$B$58+1,Inputs!$B$91,IF(AT1&gt;Inputs!$B$58+1,AS55,0))</f>
        <v>49539811.1564824</v>
      </c>
      <c r="AU50" s="5" t="n">
        <f aca="false">IF(AU1=Inputs!$B$58+1,Inputs!$B$91,IF(AU1&gt;Inputs!$B$58+1,AT55,0))</f>
        <v>49505008.5787734</v>
      </c>
      <c r="AV50" s="5" t="n">
        <f aca="false">IF(AV1=Inputs!$B$58+1,Inputs!$B$91,IF(AV1&gt;Inputs!$B$58+1,AU55,0))</f>
        <v>49470024.7376389</v>
      </c>
      <c r="AW50" s="5" t="n">
        <f aca="false">IF(AW1=Inputs!$B$58+1,Inputs!$B$91,IF(AW1&gt;Inputs!$B$58+1,AV55,0))</f>
        <v>49434858.6889984</v>
      </c>
      <c r="AX50" s="5" t="n">
        <f aca="false">IF(AX1=Inputs!$B$58+1,Inputs!$B$91,IF(AX1&gt;Inputs!$B$58+1,AW55,0))</f>
        <v>49399509.4838547</v>
      </c>
      <c r="AY50" s="5" t="n">
        <f aca="false">IF(AY1=Inputs!$B$58+1,Inputs!$B$91,IF(AY1&gt;Inputs!$B$58+1,AX55,0))</f>
        <v>49363976.1682674</v>
      </c>
      <c r="AZ50" s="5" t="n">
        <f aca="false">IF(AZ1=Inputs!$B$58+1,Inputs!$B$91,IF(AZ1&gt;Inputs!$B$58+1,AY55,0))</f>
        <v>49328257.7833282</v>
      </c>
      <c r="BA50" s="5" t="n">
        <f aca="false">IF(BA1=Inputs!$B$58+1,Inputs!$B$91,IF(BA1&gt;Inputs!$B$58+1,AZ55,0))</f>
        <v>49292353.3651341</v>
      </c>
      <c r="BB50" s="5" t="n">
        <f aca="false">IF(BB1=Inputs!$B$58+1,Inputs!$B$91,IF(BB1&gt;Inputs!$B$58+1,BA55,0))</f>
        <v>49256261.9447618</v>
      </c>
      <c r="BC50" s="5" t="n">
        <f aca="false">IF(BC1=Inputs!$B$58+1,Inputs!$B$91,IF(BC1&gt;Inputs!$B$58+1,BB55,0))</f>
        <v>49219982.5482418</v>
      </c>
      <c r="BD50" s="5" t="n">
        <f aca="false">IF(BD1=Inputs!$B$58+1,Inputs!$B$91,IF(BD1&gt;Inputs!$B$58+1,BC55,0))</f>
        <v>49183514.1965316</v>
      </c>
      <c r="BE50" s="5" t="n">
        <f aca="false">IF(BE1=Inputs!$B$58+1,Inputs!$B$91,IF(BE1&gt;Inputs!$B$58+1,BD55,0))</f>
        <v>49146855.9054896</v>
      </c>
      <c r="BF50" s="5" t="n">
        <f aca="false">IF(BF1=Inputs!$B$58+1,Inputs!$B$91,IF(BF1&gt;Inputs!$B$58+1,BE55,0))</f>
        <v>49110006.6858484</v>
      </c>
      <c r="BG50" s="5" t="n">
        <f aca="false">IF(BG1=Inputs!$B$58+1,Inputs!$B$91,IF(BG1&gt;Inputs!$B$58+1,BF55,0))</f>
        <v>49072965.5431882</v>
      </c>
      <c r="BH50" s="5" t="n">
        <f aca="false">IF(BH1=Inputs!$B$58+1,Inputs!$B$91,IF(BH1&gt;Inputs!$B$58+1,BG55,0))</f>
        <v>49035731.47791</v>
      </c>
      <c r="BI50" s="5" t="n">
        <f aca="false">IF(BI1=Inputs!$B$58+1,Inputs!$B$91,IF(BI1&gt;Inputs!$B$58+1,BH55,0))</f>
        <v>48998303.4852085</v>
      </c>
      <c r="BJ50" s="5" t="n">
        <f aca="false">IF(BJ1=Inputs!$B$58+1,Inputs!$B$91,IF(BJ1&gt;Inputs!$B$58+1,BI55,0))</f>
        <v>48960680.555045</v>
      </c>
      <c r="BK50" s="5" t="n">
        <f aca="false">IF(BK1=Inputs!$B$58+1,Inputs!$B$91,IF(BK1&gt;Inputs!$B$58+1,BJ55,0))</f>
        <v>48922861.6721202</v>
      </c>
      <c r="BL50" s="5" t="n">
        <f aca="false">IF(BL1=Inputs!$B$58+1,Inputs!$B$91,IF(BL1&gt;Inputs!$B$58+1,BK55,0))</f>
        <v>48922861.6721202</v>
      </c>
      <c r="BM50" s="5" t="n">
        <f aca="false">IF(BM1=Inputs!$B$58+1,Inputs!$B$91,IF(BM1&gt;Inputs!$B$58+1,BL55,0))</f>
        <v>48922861.6721202</v>
      </c>
      <c r="BN50" s="5" t="n">
        <f aca="false">IF(BN1=Inputs!$B$58+1,Inputs!$B$91,IF(BN1&gt;Inputs!$B$58+1,BM55,0))</f>
        <v>48922861.6721202</v>
      </c>
      <c r="BO50" s="5" t="n">
        <f aca="false">IF(BO1=Inputs!$B$58+1,Inputs!$B$91,IF(BO1&gt;Inputs!$B$58+1,BN55,0))</f>
        <v>48922861.6721202</v>
      </c>
      <c r="BP50" s="5" t="n">
        <f aca="false">IF(BP1=Inputs!$B$58+1,Inputs!$B$91,IF(BP1&gt;Inputs!$B$58+1,BO55,0))</f>
        <v>48922861.6721202</v>
      </c>
      <c r="BQ50" s="5" t="n">
        <f aca="false">IF(BQ1=Inputs!$B$58+1,Inputs!$B$91,IF(BQ1&gt;Inputs!$B$58+1,BP55,0))</f>
        <v>48922861.6721202</v>
      </c>
      <c r="BR50" s="5" t="n">
        <f aca="false">IF(BR1=Inputs!$B$58+1,Inputs!$B$91,IF(BR1&gt;Inputs!$B$58+1,BQ55,0))</f>
        <v>48922861.6721202</v>
      </c>
      <c r="BS50" s="5" t="n">
        <f aca="false">IF(BS1=Inputs!$B$58+1,Inputs!$B$91,IF(BS1&gt;Inputs!$B$58+1,BR55,0))</f>
        <v>48922861.6721202</v>
      </c>
      <c r="BT50" s="5" t="n">
        <f aca="false">IF(BT1=Inputs!$B$58+1,Inputs!$B$91,IF(BT1&gt;Inputs!$B$58+1,BS55,0))</f>
        <v>48922861.6721202</v>
      </c>
      <c r="BU50" s="5" t="n">
        <f aca="false">IF(BU1=Inputs!$B$58+1,Inputs!$B$91,IF(BU1&gt;Inputs!$B$58+1,BT55,0))</f>
        <v>48922861.6721202</v>
      </c>
      <c r="BV50" s="5" t="n">
        <f aca="false">IF(BV1=Inputs!$B$58+1,Inputs!$B$91,IF(BV1&gt;Inputs!$B$58+1,BU55,0))</f>
        <v>48922861.6721202</v>
      </c>
      <c r="BW50" s="5" t="n">
        <f aca="false">IF(BW1=Inputs!$B$58+1,Inputs!$B$91,IF(BW1&gt;Inputs!$B$58+1,BV55,0))</f>
        <v>48922861.6721202</v>
      </c>
      <c r="BX50" s="5" t="n">
        <f aca="false">IF(BX1=Inputs!$B$58+1,Inputs!$B$91,IF(BX1&gt;Inputs!$B$58+1,BW55,0))</f>
        <v>48922861.6721202</v>
      </c>
      <c r="BY50" s="5" t="n">
        <f aca="false">IF(BY1=Inputs!$B$58+1,Inputs!$B$91,IF(BY1&gt;Inputs!$B$58+1,BX55,0))</f>
        <v>48922861.6721202</v>
      </c>
      <c r="BZ50" s="5" t="n">
        <f aca="false">IF(BZ1=Inputs!$B$58+1,Inputs!$B$91,IF(BZ1&gt;Inputs!$B$58+1,BY55,0))</f>
        <v>48922861.6721202</v>
      </c>
      <c r="CA50" s="5" t="n">
        <f aca="false">IF(CA1=Inputs!$B$58+1,Inputs!$B$91,IF(CA1&gt;Inputs!$B$58+1,BZ55,0))</f>
        <v>48922861.6721202</v>
      </c>
      <c r="CB50" s="5" t="n">
        <f aca="false">IF(CB1=Inputs!$B$58+1,Inputs!$B$91,IF(CB1&gt;Inputs!$B$58+1,CA55,0))</f>
        <v>48922861.6721202</v>
      </c>
      <c r="CC50" s="5" t="n">
        <f aca="false">IF(CC1=Inputs!$B$58+1,Inputs!$B$91,IF(CC1&gt;Inputs!$B$58+1,CB55,0))</f>
        <v>48922861.6721202</v>
      </c>
      <c r="CD50" s="5" t="n">
        <f aca="false">IF(CD1=Inputs!$B$58+1,Inputs!$B$91,IF(CD1&gt;Inputs!$B$58+1,CC55,0))</f>
        <v>48922861.6721202</v>
      </c>
      <c r="CE50" s="5" t="n">
        <f aca="false">IF(CE1=Inputs!$B$58+1,Inputs!$B$91,IF(CE1&gt;Inputs!$B$58+1,CD55,0))</f>
        <v>48922861.6721202</v>
      </c>
      <c r="CF50" s="5" t="n">
        <f aca="false">IF(CF1=Inputs!$B$58+1,Inputs!$B$91,IF(CF1&gt;Inputs!$B$58+1,CE55,0))</f>
        <v>48922861.6721202</v>
      </c>
      <c r="CG50" s="5" t="n">
        <f aca="false">IF(CG1=Inputs!$B$58+1,Inputs!$B$91,IF(CG1&gt;Inputs!$B$58+1,CF55,0))</f>
        <v>48922861.6721202</v>
      </c>
      <c r="CH50" s="5" t="n">
        <f aca="false">IF(CH1=Inputs!$B$58+1,Inputs!$B$91,IF(CH1&gt;Inputs!$B$58+1,CG55,0))</f>
        <v>48922861.6721202</v>
      </c>
      <c r="CI50" s="5" t="n">
        <f aca="false">IF(CI1=Inputs!$B$58+1,Inputs!$B$91,IF(CI1&gt;Inputs!$B$58+1,CH55,0))</f>
        <v>48922861.6721202</v>
      </c>
      <c r="CJ50" s="5" t="n">
        <f aca="false">IF(CJ1=Inputs!$B$58+1,Inputs!$B$91,IF(CJ1&gt;Inputs!$B$58+1,CI55,0))</f>
        <v>48922861.6721202</v>
      </c>
      <c r="CK50" s="5" t="n">
        <f aca="false">IF(CK1=Inputs!$B$58+1,Inputs!$B$91,IF(CK1&gt;Inputs!$B$58+1,CJ55,0))</f>
        <v>48922861.6721202</v>
      </c>
      <c r="CL50" s="5" t="n">
        <f aca="false">IF(CL1=Inputs!$B$58+1,Inputs!$B$91,IF(CL1&gt;Inputs!$B$58+1,CK55,0))</f>
        <v>48922861.6721202</v>
      </c>
      <c r="CM50" s="5" t="n">
        <f aca="false">IF(CM1=Inputs!$B$58+1,Inputs!$B$91,IF(CM1&gt;Inputs!$B$58+1,CL55,0))</f>
        <v>48922861.6721202</v>
      </c>
      <c r="CN50" s="5" t="n">
        <f aca="false">IF(CN1=Inputs!$B$58+1,Inputs!$B$91,IF(CN1&gt;Inputs!$B$58+1,CM55,0))</f>
        <v>48922861.6721202</v>
      </c>
      <c r="CO50" s="5" t="n">
        <f aca="false">IF(CO1=Inputs!$B$58+1,Inputs!$B$91,IF(CO1&gt;Inputs!$B$58+1,CN55,0))</f>
        <v>48922861.6721202</v>
      </c>
      <c r="CP50" s="5" t="n">
        <f aca="false">IF(CP1=Inputs!$B$58+1,Inputs!$B$91,IF(CP1&gt;Inputs!$B$58+1,CO55,0))</f>
        <v>48922861.6721202</v>
      </c>
      <c r="CQ50" s="5" t="n">
        <f aca="false">IF(CQ1=Inputs!$B$58+1,Inputs!$B$91,IF(CQ1&gt;Inputs!$B$58+1,CP55,0))</f>
        <v>48922861.6721202</v>
      </c>
      <c r="CR50" s="5" t="n">
        <f aca="false">IF(CR1=Inputs!$B$58+1,Inputs!$B$91,IF(CR1&gt;Inputs!$B$58+1,CQ55,0))</f>
        <v>48922861.6721202</v>
      </c>
      <c r="CS50" s="5" t="n">
        <f aca="false">IF(CS1=Inputs!$B$58+1,Inputs!$B$91,IF(CS1&gt;Inputs!$B$58+1,CR55,0))</f>
        <v>48922861.6721202</v>
      </c>
      <c r="CT50" s="5" t="n">
        <f aca="false">IF(CT1=Inputs!$B$58+1,Inputs!$B$91,IF(CT1&gt;Inputs!$B$58+1,CS55,0))</f>
        <v>48922861.6721202</v>
      </c>
    </row>
    <row r="51" customFormat="false" ht="15" hidden="false" customHeight="false" outlineLevel="0" collapsed="false">
      <c r="B51" s="26" t="s">
        <v>187</v>
      </c>
      <c r="C51" s="5" t="n">
        <f aca="false">IF(AND(C1&gt;Inputs!$B$58,C1&lt;=Inputs!$B$93),IF(C1&lt;=Inputs!$B$58+Inputs!$B$66,C50*Inputs!$B$62/12,MIN(Inputs!$B$92,C50*(1+Inputs!$B$62/12))),0)</f>
        <v>0</v>
      </c>
      <c r="D51" s="5" t="n">
        <f aca="false">IF(AND(D1&gt;Inputs!$B$58,D1&lt;=Inputs!$B$93),IF(D1&lt;=Inputs!$B$58+Inputs!$B$66,D50*Inputs!$B$62/12,MIN(Inputs!$B$92,D50*(1+Inputs!$B$62/12))),0)</f>
        <v>0</v>
      </c>
      <c r="E51" s="5" t="n">
        <f aca="false">IF(AND(E1&gt;Inputs!$B$58,E1&lt;=Inputs!$B$93),IF(E1&lt;=Inputs!$B$58+Inputs!$B$66,E50*Inputs!$B$62/12,MIN(Inputs!$B$92,E50*(1+Inputs!$B$62/12))),0)</f>
        <v>0</v>
      </c>
      <c r="F51" s="5" t="n">
        <f aca="false">IF(AND(F1&gt;Inputs!$B$58,F1&lt;=Inputs!$B$93),IF(F1&lt;=Inputs!$B$58+Inputs!$B$66,F50*Inputs!$B$62/12,MIN(Inputs!$B$92,F50*(1+Inputs!$B$62/12))),0)</f>
        <v>0</v>
      </c>
      <c r="G51" s="5" t="n">
        <f aca="false">IF(AND(G1&gt;Inputs!$B$58,G1&lt;=Inputs!$B$93),IF(G1&lt;=Inputs!$B$58+Inputs!$B$66,G50*Inputs!$B$62/12,MIN(Inputs!$B$92,G50*(1+Inputs!$B$62/12))),0)</f>
        <v>0</v>
      </c>
      <c r="H51" s="5" t="n">
        <f aca="false">IF(AND(H1&gt;Inputs!$B$58,H1&lt;=Inputs!$B$93),IF(H1&lt;=Inputs!$B$58+Inputs!$B$66,H50*Inputs!$B$62/12,MIN(Inputs!$B$92,H50*(1+Inputs!$B$62/12))),0)</f>
        <v>0</v>
      </c>
      <c r="I51" s="5" t="n">
        <f aca="false">IF(AND(I1&gt;Inputs!$B$58,I1&lt;=Inputs!$B$93),IF(I1&lt;=Inputs!$B$58+Inputs!$B$66,I50*Inputs!$B$62/12,MIN(Inputs!$B$92,I50*(1+Inputs!$B$62/12))),0)</f>
        <v>0</v>
      </c>
      <c r="J51" s="5" t="n">
        <f aca="false">IF(AND(J1&gt;Inputs!$B$58,J1&lt;=Inputs!$B$93),IF(J1&lt;=Inputs!$B$58+Inputs!$B$66,J50*Inputs!$B$62/12,MIN(Inputs!$B$92,J50*(1+Inputs!$B$62/12))),0)</f>
        <v>0</v>
      </c>
      <c r="K51" s="5" t="n">
        <f aca="false">IF(AND(K1&gt;Inputs!$B$58,K1&lt;=Inputs!$B$93),IF(K1&lt;=Inputs!$B$58+Inputs!$B$66,K50*Inputs!$B$62/12,MIN(Inputs!$B$92,K50*(1+Inputs!$B$62/12))),0)</f>
        <v>0</v>
      </c>
      <c r="L51" s="5" t="n">
        <f aca="false">IF(AND(L1&gt;Inputs!$B$58,L1&lt;=Inputs!$B$93),IF(L1&lt;=Inputs!$B$58+Inputs!$B$66,L50*Inputs!$B$62/12,MIN(Inputs!$B$92,L50*(1+Inputs!$B$62/12))),0)</f>
        <v>0</v>
      </c>
      <c r="M51" s="5" t="n">
        <f aca="false">IF(AND(M1&gt;Inputs!$B$58,M1&lt;=Inputs!$B$93),IF(M1&lt;=Inputs!$B$58+Inputs!$B$66,M50*Inputs!$B$62/12,MIN(Inputs!$B$92,M50*(1+Inputs!$B$62/12))),0)</f>
        <v>0</v>
      </c>
      <c r="N51" s="5" t="n">
        <f aca="false">IF(AND(N1&gt;Inputs!$B$58,N1&lt;=Inputs!$B$93),IF(N1&lt;=Inputs!$B$58+Inputs!$B$66,N50*Inputs!$B$62/12,MIN(Inputs!$B$92,N50*(1+Inputs!$B$62/12))),0)</f>
        <v>0</v>
      </c>
      <c r="O51" s="5" t="n">
        <f aca="false">IF(AND(O1&gt;Inputs!$B$58,O1&lt;=Inputs!$B$93),IF(O1&lt;=Inputs!$B$58+Inputs!$B$66,O50*Inputs!$B$62/12,MIN(Inputs!$B$92,O50*(1+Inputs!$B$62/12))),0)</f>
        <v>0</v>
      </c>
      <c r="P51" s="5" t="n">
        <f aca="false">IF(AND(P1&gt;Inputs!$B$58,P1&lt;=Inputs!$B$93),IF(P1&lt;=Inputs!$B$58+Inputs!$B$66,P50*Inputs!$B$62/12,MIN(Inputs!$B$92,P50*(1+Inputs!$B$62/12))),0)</f>
        <v>0</v>
      </c>
      <c r="Q51" s="5" t="n">
        <f aca="false">IF(AND(Q1&gt;Inputs!$B$58,Q1&lt;=Inputs!$B$93),IF(Q1&lt;=Inputs!$B$58+Inputs!$B$66,Q50*Inputs!$B$62/12,MIN(Inputs!$B$92,Q50*(1+Inputs!$B$62/12))),0)</f>
        <v>0</v>
      </c>
      <c r="R51" s="5" t="n">
        <f aca="false">IF(AND(R1&gt;Inputs!$B$58,R1&lt;=Inputs!$B$93),IF(R1&lt;=Inputs!$B$58+Inputs!$B$66,R50*Inputs!$B$62/12,MIN(Inputs!$B$92,R50*(1+Inputs!$B$62/12))),0)</f>
        <v>0</v>
      </c>
      <c r="S51" s="5" t="n">
        <f aca="false">IF(AND(S1&gt;Inputs!$B$58,S1&lt;=Inputs!$B$93),IF(S1&lt;=Inputs!$B$58+Inputs!$B$66,S50*Inputs!$B$62/12,MIN(Inputs!$B$92,S50*(1+Inputs!$B$62/12))),0)</f>
        <v>0</v>
      </c>
      <c r="T51" s="5" t="n">
        <f aca="false">IF(AND(T1&gt;Inputs!$B$58,T1&lt;=Inputs!$B$93),IF(T1&lt;=Inputs!$B$58+Inputs!$B$66,T50*Inputs!$B$62/12,MIN(Inputs!$B$92,T50*(1+Inputs!$B$62/12))),0)</f>
        <v>0</v>
      </c>
      <c r="U51" s="5" t="n">
        <f aca="false">IF(AND(U1&gt;Inputs!$B$58,U1&lt;=Inputs!$B$93),IF(U1&lt;=Inputs!$B$58+Inputs!$B$66,U50*Inputs!$B$62/12,MIN(Inputs!$B$92,U50*(1+Inputs!$B$62/12))),0)</f>
        <v>0</v>
      </c>
      <c r="V51" s="5" t="n">
        <f aca="false">IF(AND(V1&gt;Inputs!$B$58,V1&lt;=Inputs!$B$93),IF(V1&lt;=Inputs!$B$58+Inputs!$B$66,V50*Inputs!$B$62/12,MIN(Inputs!$B$92,V50*(1+Inputs!$B$62/12))),0)</f>
        <v>0</v>
      </c>
      <c r="W51" s="5" t="n">
        <f aca="false">IF(AND(W1&gt;Inputs!$B$58,W1&lt;=Inputs!$B$93),IF(W1&lt;=Inputs!$B$58+Inputs!$B$66,W50*Inputs!$B$62/12,MIN(Inputs!$B$92,W50*(1+Inputs!$B$62/12))),0)</f>
        <v>0</v>
      </c>
      <c r="X51" s="5" t="n">
        <f aca="false">IF(AND(X1&gt;Inputs!$B$58,X1&lt;=Inputs!$B$93),IF(X1&lt;=Inputs!$B$58+Inputs!$B$66,X50*Inputs!$B$62/12,MIN(Inputs!$B$92,X50*(1+Inputs!$B$62/12))),0)</f>
        <v>0</v>
      </c>
      <c r="Y51" s="5" t="n">
        <f aca="false">IF(AND(Y1&gt;Inputs!$B$58,Y1&lt;=Inputs!$B$93),IF(Y1&lt;=Inputs!$B$58+Inputs!$B$66,Y50*Inputs!$B$62/12,MIN(Inputs!$B$92,Y50*(1+Inputs!$B$62/12))),0)</f>
        <v>0</v>
      </c>
      <c r="Z51" s="5" t="n">
        <f aca="false">IF(AND(Z1&gt;Inputs!$B$58,Z1&lt;=Inputs!$B$93),IF(Z1&lt;=Inputs!$B$58+Inputs!$B$66,Z50*Inputs!$B$62/12,MIN(Inputs!$B$92,Z50*(1+Inputs!$B$62/12))),0)</f>
        <v>0</v>
      </c>
      <c r="AA51" s="5" t="n">
        <f aca="false">IF(AND(AA1&gt;Inputs!$B$58,AA1&lt;=Inputs!$B$93),IF(AA1&lt;=Inputs!$B$58+Inputs!$B$66,AA50*Inputs!$B$62/12,MIN(Inputs!$B$92,AA50*(1+Inputs!$B$62/12))),0)</f>
        <v>0</v>
      </c>
      <c r="AB51" s="5" t="n">
        <f aca="false">IF(AND(AB1&gt;Inputs!$B$58,AB1&lt;=Inputs!$B$93),IF(AB1&lt;=Inputs!$B$58+Inputs!$B$66,AB50*Inputs!$B$62/12,MIN(Inputs!$B$92,AB50*(1+Inputs!$B$62/12))),0)</f>
        <v>0</v>
      </c>
      <c r="AC51" s="5" t="n">
        <f aca="false">IF(AND(AC1&gt;Inputs!$B$58,AC1&lt;=Inputs!$B$93),IF(AC1&lt;=Inputs!$B$58+Inputs!$B$66,AC50*Inputs!$B$62/12,MIN(Inputs!$B$92,AC50*(1+Inputs!$B$62/12))),0)</f>
        <v>0</v>
      </c>
      <c r="AD51" s="5" t="n">
        <f aca="false">IF(AND(AD1&gt;Inputs!$B$58,AD1&lt;=Inputs!$B$93),IF(AD1&lt;=Inputs!$B$58+Inputs!$B$66,AD50*Inputs!$B$62/12,MIN(Inputs!$B$92,AD50*(1+Inputs!$B$62/12))),0)</f>
        <v>0</v>
      </c>
      <c r="AE51" s="5" t="n">
        <f aca="false">IF(AND(AE1&gt;Inputs!$B$58,AE1&lt;=Inputs!$B$93),IF(AE1&lt;=Inputs!$B$58+Inputs!$B$66,AE50*Inputs!$B$62/12,MIN(Inputs!$B$92,AE50*(1+Inputs!$B$62/12))),0)</f>
        <v>0</v>
      </c>
      <c r="AF51" s="5" t="n">
        <f aca="false">IF(AND(AF1&gt;Inputs!$B$58,AF1&lt;=Inputs!$B$93),IF(AF1&lt;=Inputs!$B$58+Inputs!$B$66,AF50*Inputs!$B$62/12,MIN(Inputs!$B$92,AF50*(1+Inputs!$B$62/12))),0)</f>
        <v>0</v>
      </c>
      <c r="AG51" s="5" t="n">
        <f aca="false">IF(AND(AG1&gt;Inputs!$B$58,AG1&lt;=Inputs!$B$93),IF(AG1&lt;=Inputs!$B$58+Inputs!$B$66,AG50*Inputs!$B$62/12,MIN(Inputs!$B$92,AG50*(1+Inputs!$B$62/12))),0)</f>
        <v>0</v>
      </c>
      <c r="AH51" s="5" t="n">
        <f aca="false">IF(AND(AH1&gt;Inputs!$B$58,AH1&lt;=Inputs!$B$93),IF(AH1&lt;=Inputs!$B$58+Inputs!$B$66,AH50*Inputs!$B$62/12,MIN(Inputs!$B$92,AH50*(1+Inputs!$B$62/12))),0)</f>
        <v>0</v>
      </c>
      <c r="AI51" s="5" t="n">
        <f aca="false">IF(AND(AI1&gt;Inputs!$B$58,AI1&lt;=Inputs!$B$93),IF(AI1&lt;=Inputs!$B$58+Inputs!$B$66,AI50*Inputs!$B$62/12,MIN(Inputs!$B$92,AI50*(1+Inputs!$B$62/12))),0)</f>
        <v>0</v>
      </c>
      <c r="AJ51" s="5" t="n">
        <f aca="false">IF(AND(AJ1&gt;Inputs!$B$58,AJ1&lt;=Inputs!$B$93),IF(AJ1&lt;=Inputs!$B$58+Inputs!$B$66,AJ50*Inputs!$B$62/12,MIN(Inputs!$B$92,AJ50*(1+Inputs!$B$62/12))),0)</f>
        <v>292822.427482303</v>
      </c>
      <c r="AK51" s="5" t="n">
        <f aca="false">IF(AND(AK1&gt;Inputs!$B$58,AK1&lt;=Inputs!$B$93),IF(AK1&lt;=Inputs!$B$58+Inputs!$B$66,AK50*Inputs!$B$62/12,MIN(Inputs!$B$92,AK50*(1+Inputs!$B$62/12))),0)</f>
        <v>292822.427482303</v>
      </c>
      <c r="AL51" s="5" t="n">
        <f aca="false">IF(AND(AL1&gt;Inputs!$B$58,AL1&lt;=Inputs!$B$93),IF(AL1&lt;=Inputs!$B$58+Inputs!$B$66,AL50*Inputs!$B$62/12,MIN(Inputs!$B$92,AL50*(1+Inputs!$B$62/12))),0)</f>
        <v>292822.427482303</v>
      </c>
      <c r="AM51" s="5" t="n">
        <f aca="false">IF(AND(AM1&gt;Inputs!$B$58,AM1&lt;=Inputs!$B$93),IF(AM1&lt;=Inputs!$B$58+Inputs!$B$66,AM50*Inputs!$B$62/12,MIN(Inputs!$B$92,AM50*(1+Inputs!$B$62/12))),0)</f>
        <v>292822.427482303</v>
      </c>
      <c r="AN51" s="5" t="n">
        <f aca="false">IF(AND(AN1&gt;Inputs!$B$58,AN1&lt;=Inputs!$B$93),IF(AN1&lt;=Inputs!$B$58+Inputs!$B$66,AN50*Inputs!$B$62/12,MIN(Inputs!$B$92,AN50*(1+Inputs!$B$62/12))),0)</f>
        <v>292822.427482303</v>
      </c>
      <c r="AO51" s="5" t="n">
        <f aca="false">IF(AND(AO1&gt;Inputs!$B$58,AO1&lt;=Inputs!$B$93),IF(AO1&lt;=Inputs!$B$58+Inputs!$B$66,AO50*Inputs!$B$62/12,MIN(Inputs!$B$92,AO50*(1+Inputs!$B$62/12))),0)</f>
        <v>292822.427482303</v>
      </c>
      <c r="AP51" s="5" t="n">
        <f aca="false">IF(AND(AP1&gt;Inputs!$B$58,AP1&lt;=Inputs!$B$93),IF(AP1&lt;=Inputs!$B$58+Inputs!$B$66,AP50*Inputs!$B$62/12,MIN(Inputs!$B$92,AP50*(1+Inputs!$B$62/12))),0)</f>
        <v>292822.427482303</v>
      </c>
      <c r="AQ51" s="5" t="n">
        <f aca="false">IF(AND(AQ1&gt;Inputs!$B$58,AQ1&lt;=Inputs!$B$93),IF(AQ1&lt;=Inputs!$B$58+Inputs!$B$66,AQ50*Inputs!$B$62/12,MIN(Inputs!$B$92,AQ50*(1+Inputs!$B$62/12))),0)</f>
        <v>292822.427482303</v>
      </c>
      <c r="AR51" s="5" t="n">
        <f aca="false">IF(AND(AR1&gt;Inputs!$B$58,AR1&lt;=Inputs!$B$93),IF(AR1&lt;=Inputs!$B$58+Inputs!$B$66,AR50*Inputs!$B$62/12,MIN(Inputs!$B$92,AR50*(1+Inputs!$B$62/12))),0)</f>
        <v>292822.427482303</v>
      </c>
      <c r="AS51" s="5" t="n">
        <f aca="false">IF(AND(AS1&gt;Inputs!$B$58,AS1&lt;=Inputs!$B$93),IF(AS1&lt;=Inputs!$B$58+Inputs!$B$66,AS50*Inputs!$B$62/12,MIN(Inputs!$B$92,AS50*(1+Inputs!$B$62/12))),0)</f>
        <v>292822.427482303</v>
      </c>
      <c r="AT51" s="5" t="n">
        <f aca="false">IF(AND(AT1&gt;Inputs!$B$58,AT1&lt;=Inputs!$B$93),IF(AT1&lt;=Inputs!$B$58+Inputs!$B$66,AT50*Inputs!$B$62/12,MIN(Inputs!$B$92,AT50*(1+Inputs!$B$62/12))),0)</f>
        <v>292822.427482303</v>
      </c>
      <c r="AU51" s="5" t="n">
        <f aca="false">IF(AND(AU1&gt;Inputs!$B$58,AU1&lt;=Inputs!$B$93),IF(AU1&lt;=Inputs!$B$58+Inputs!$B$66,AU50*Inputs!$B$62/12,MIN(Inputs!$B$92,AU50*(1+Inputs!$B$62/12))),0)</f>
        <v>292822.427482303</v>
      </c>
      <c r="AV51" s="5" t="n">
        <f aca="false">IF(AND(AV1&gt;Inputs!$B$58,AV1&lt;=Inputs!$B$93),IF(AV1&lt;=Inputs!$B$58+Inputs!$B$66,AV50*Inputs!$B$62/12,MIN(Inputs!$B$92,AV50*(1+Inputs!$B$62/12))),0)</f>
        <v>292822.427482303</v>
      </c>
      <c r="AW51" s="5" t="n">
        <f aca="false">IF(AND(AW1&gt;Inputs!$B$58,AW1&lt;=Inputs!$B$93),IF(AW1&lt;=Inputs!$B$58+Inputs!$B$66,AW50*Inputs!$B$62/12,MIN(Inputs!$B$92,AW50*(1+Inputs!$B$62/12))),0)</f>
        <v>292822.427482303</v>
      </c>
      <c r="AX51" s="5" t="n">
        <f aca="false">IF(AND(AX1&gt;Inputs!$B$58,AX1&lt;=Inputs!$B$93),IF(AX1&lt;=Inputs!$B$58+Inputs!$B$66,AX50*Inputs!$B$62/12,MIN(Inputs!$B$92,AX50*(1+Inputs!$B$62/12))),0)</f>
        <v>292822.427482303</v>
      </c>
      <c r="AY51" s="5" t="n">
        <f aca="false">IF(AND(AY1&gt;Inputs!$B$58,AY1&lt;=Inputs!$B$93),IF(AY1&lt;=Inputs!$B$58+Inputs!$B$66,AY50*Inputs!$B$62/12,MIN(Inputs!$B$92,AY50*(1+Inputs!$B$62/12))),0)</f>
        <v>292822.427482303</v>
      </c>
      <c r="AZ51" s="5" t="n">
        <f aca="false">IF(AND(AZ1&gt;Inputs!$B$58,AZ1&lt;=Inputs!$B$93),IF(AZ1&lt;=Inputs!$B$58+Inputs!$B$66,AZ50*Inputs!$B$62/12,MIN(Inputs!$B$92,AZ50*(1+Inputs!$B$62/12))),0)</f>
        <v>292822.427482303</v>
      </c>
      <c r="BA51" s="5" t="n">
        <f aca="false">IF(AND(BA1&gt;Inputs!$B$58,BA1&lt;=Inputs!$B$93),IF(BA1&lt;=Inputs!$B$58+Inputs!$B$66,BA50*Inputs!$B$62/12,MIN(Inputs!$B$92,BA50*(1+Inputs!$B$62/12))),0)</f>
        <v>292822.427482303</v>
      </c>
      <c r="BB51" s="5" t="n">
        <f aca="false">IF(AND(BB1&gt;Inputs!$B$58,BB1&lt;=Inputs!$B$93),IF(BB1&lt;=Inputs!$B$58+Inputs!$B$66,BB50*Inputs!$B$62/12,MIN(Inputs!$B$92,BB50*(1+Inputs!$B$62/12))),0)</f>
        <v>292822.427482303</v>
      </c>
      <c r="BC51" s="5" t="n">
        <f aca="false">IF(AND(BC1&gt;Inputs!$B$58,BC1&lt;=Inputs!$B$93),IF(BC1&lt;=Inputs!$B$58+Inputs!$B$66,BC50*Inputs!$B$62/12,MIN(Inputs!$B$92,BC50*(1+Inputs!$B$62/12))),0)</f>
        <v>292822.427482303</v>
      </c>
      <c r="BD51" s="5" t="n">
        <f aca="false">IF(AND(BD1&gt;Inputs!$B$58,BD1&lt;=Inputs!$B$93),IF(BD1&lt;=Inputs!$B$58+Inputs!$B$66,BD50*Inputs!$B$62/12,MIN(Inputs!$B$92,BD50*(1+Inputs!$B$62/12))),0)</f>
        <v>292822.427482303</v>
      </c>
      <c r="BE51" s="5" t="n">
        <f aca="false">IF(AND(BE1&gt;Inputs!$B$58,BE1&lt;=Inputs!$B$93),IF(BE1&lt;=Inputs!$B$58+Inputs!$B$66,BE50*Inputs!$B$62/12,MIN(Inputs!$B$92,BE50*(1+Inputs!$B$62/12))),0)</f>
        <v>292822.427482303</v>
      </c>
      <c r="BF51" s="5" t="n">
        <f aca="false">IF(AND(BF1&gt;Inputs!$B$58,BF1&lt;=Inputs!$B$93),IF(BF1&lt;=Inputs!$B$58+Inputs!$B$66,BF50*Inputs!$B$62/12,MIN(Inputs!$B$92,BF50*(1+Inputs!$B$62/12))),0)</f>
        <v>292822.427482303</v>
      </c>
      <c r="BG51" s="5" t="n">
        <f aca="false">IF(AND(BG1&gt;Inputs!$B$58,BG1&lt;=Inputs!$B$93),IF(BG1&lt;=Inputs!$B$58+Inputs!$B$66,BG50*Inputs!$B$62/12,MIN(Inputs!$B$92,BG50*(1+Inputs!$B$62/12))),0)</f>
        <v>292822.427482303</v>
      </c>
      <c r="BH51" s="5" t="n">
        <f aca="false">IF(AND(BH1&gt;Inputs!$B$58,BH1&lt;=Inputs!$B$93),IF(BH1&lt;=Inputs!$B$58+Inputs!$B$66,BH50*Inputs!$B$62/12,MIN(Inputs!$B$92,BH50*(1+Inputs!$B$62/12))),0)</f>
        <v>292822.427482303</v>
      </c>
      <c r="BI51" s="5" t="n">
        <f aca="false">IF(AND(BI1&gt;Inputs!$B$58,BI1&lt;=Inputs!$B$93),IF(BI1&lt;=Inputs!$B$58+Inputs!$B$66,BI50*Inputs!$B$62/12,MIN(Inputs!$B$92,BI50*(1+Inputs!$B$62/12))),0)</f>
        <v>292822.427482303</v>
      </c>
      <c r="BJ51" s="5" t="n">
        <f aca="false">IF(AND(BJ1&gt;Inputs!$B$58,BJ1&lt;=Inputs!$B$93),IF(BJ1&lt;=Inputs!$B$58+Inputs!$B$66,BJ50*Inputs!$B$62/12,MIN(Inputs!$B$92,BJ50*(1+Inputs!$B$62/12))),0)</f>
        <v>292822.427482303</v>
      </c>
      <c r="BK51" s="5" t="n">
        <f aca="false">IF(AND(BK1&gt;Inputs!$B$58,BK1&lt;=Inputs!$B$93),IF(BK1&lt;=Inputs!$B$58+Inputs!$B$66,BK50*Inputs!$B$62/12,MIN(Inputs!$B$92,BK50*(1+Inputs!$B$62/12))),0)</f>
        <v>0</v>
      </c>
      <c r="BL51" s="5" t="n">
        <f aca="false">IF(AND(BL1&gt;Inputs!$B$58,BL1&lt;=Inputs!$B$93),IF(BL1&lt;=Inputs!$B$58+Inputs!$B$66,BL50*Inputs!$B$62/12,MIN(Inputs!$B$92,BL50*(1+Inputs!$B$62/12))),0)</f>
        <v>0</v>
      </c>
      <c r="BM51" s="5" t="n">
        <f aca="false">IF(AND(BM1&gt;Inputs!$B$58,BM1&lt;=Inputs!$B$93),IF(BM1&lt;=Inputs!$B$58+Inputs!$B$66,BM50*Inputs!$B$62/12,MIN(Inputs!$B$92,BM50*(1+Inputs!$B$62/12))),0)</f>
        <v>0</v>
      </c>
      <c r="BN51" s="5" t="n">
        <f aca="false">IF(AND(BN1&gt;Inputs!$B$58,BN1&lt;=Inputs!$B$93),IF(BN1&lt;=Inputs!$B$58+Inputs!$B$66,BN50*Inputs!$B$62/12,MIN(Inputs!$B$92,BN50*(1+Inputs!$B$62/12))),0)</f>
        <v>0</v>
      </c>
      <c r="BO51" s="5" t="n">
        <f aca="false">IF(AND(BO1&gt;Inputs!$B$58,BO1&lt;=Inputs!$B$93),IF(BO1&lt;=Inputs!$B$58+Inputs!$B$66,BO50*Inputs!$B$62/12,MIN(Inputs!$B$92,BO50*(1+Inputs!$B$62/12))),0)</f>
        <v>0</v>
      </c>
      <c r="BP51" s="5" t="n">
        <f aca="false">IF(AND(BP1&gt;Inputs!$B$58,BP1&lt;=Inputs!$B$93),IF(BP1&lt;=Inputs!$B$58+Inputs!$B$66,BP50*Inputs!$B$62/12,MIN(Inputs!$B$92,BP50*(1+Inputs!$B$62/12))),0)</f>
        <v>0</v>
      </c>
      <c r="BQ51" s="5" t="n">
        <f aca="false">IF(AND(BQ1&gt;Inputs!$B$58,BQ1&lt;=Inputs!$B$93),IF(BQ1&lt;=Inputs!$B$58+Inputs!$B$66,BQ50*Inputs!$B$62/12,MIN(Inputs!$B$92,BQ50*(1+Inputs!$B$62/12))),0)</f>
        <v>0</v>
      </c>
      <c r="BR51" s="5" t="n">
        <f aca="false">IF(AND(BR1&gt;Inputs!$B$58,BR1&lt;=Inputs!$B$93),IF(BR1&lt;=Inputs!$B$58+Inputs!$B$66,BR50*Inputs!$B$62/12,MIN(Inputs!$B$92,BR50*(1+Inputs!$B$62/12))),0)</f>
        <v>0</v>
      </c>
      <c r="BS51" s="5" t="n">
        <f aca="false">IF(AND(BS1&gt;Inputs!$B$58,BS1&lt;=Inputs!$B$93),IF(BS1&lt;=Inputs!$B$58+Inputs!$B$66,BS50*Inputs!$B$62/12,MIN(Inputs!$B$92,BS50*(1+Inputs!$B$62/12))),0)</f>
        <v>0</v>
      </c>
      <c r="BT51" s="5" t="n">
        <f aca="false">IF(AND(BT1&gt;Inputs!$B$58,BT1&lt;=Inputs!$B$93),IF(BT1&lt;=Inputs!$B$58+Inputs!$B$66,BT50*Inputs!$B$62/12,MIN(Inputs!$B$92,BT50*(1+Inputs!$B$62/12))),0)</f>
        <v>0</v>
      </c>
      <c r="BU51" s="5" t="n">
        <f aca="false">IF(AND(BU1&gt;Inputs!$B$58,BU1&lt;=Inputs!$B$93),IF(BU1&lt;=Inputs!$B$58+Inputs!$B$66,BU50*Inputs!$B$62/12,MIN(Inputs!$B$92,BU50*(1+Inputs!$B$62/12))),0)</f>
        <v>0</v>
      </c>
      <c r="BV51" s="5" t="n">
        <f aca="false">IF(AND(BV1&gt;Inputs!$B$58,BV1&lt;=Inputs!$B$93),IF(BV1&lt;=Inputs!$B$58+Inputs!$B$66,BV50*Inputs!$B$62/12,MIN(Inputs!$B$92,BV50*(1+Inputs!$B$62/12))),0)</f>
        <v>0</v>
      </c>
      <c r="BW51" s="5" t="n">
        <f aca="false">IF(AND(BW1&gt;Inputs!$B$58,BW1&lt;=Inputs!$B$93),IF(BW1&lt;=Inputs!$B$58+Inputs!$B$66,BW50*Inputs!$B$62/12,MIN(Inputs!$B$92,BW50*(1+Inputs!$B$62/12))),0)</f>
        <v>0</v>
      </c>
      <c r="BX51" s="5" t="n">
        <f aca="false">IF(AND(BX1&gt;Inputs!$B$58,BX1&lt;=Inputs!$B$93),IF(BX1&lt;=Inputs!$B$58+Inputs!$B$66,BX50*Inputs!$B$62/12,MIN(Inputs!$B$92,BX50*(1+Inputs!$B$62/12))),0)</f>
        <v>0</v>
      </c>
      <c r="BY51" s="5" t="n">
        <f aca="false">IF(AND(BY1&gt;Inputs!$B$58,BY1&lt;=Inputs!$B$93),IF(BY1&lt;=Inputs!$B$58+Inputs!$B$66,BY50*Inputs!$B$62/12,MIN(Inputs!$B$92,BY50*(1+Inputs!$B$62/12))),0)</f>
        <v>0</v>
      </c>
      <c r="BZ51" s="5" t="n">
        <f aca="false">IF(AND(BZ1&gt;Inputs!$B$58,BZ1&lt;=Inputs!$B$93),IF(BZ1&lt;=Inputs!$B$58+Inputs!$B$66,BZ50*Inputs!$B$62/12,MIN(Inputs!$B$92,BZ50*(1+Inputs!$B$62/12))),0)</f>
        <v>0</v>
      </c>
      <c r="CA51" s="5" t="n">
        <f aca="false">IF(AND(CA1&gt;Inputs!$B$58,CA1&lt;=Inputs!$B$93),IF(CA1&lt;=Inputs!$B$58+Inputs!$B$66,CA50*Inputs!$B$62/12,MIN(Inputs!$B$92,CA50*(1+Inputs!$B$62/12))),0)</f>
        <v>0</v>
      </c>
      <c r="CB51" s="5" t="n">
        <f aca="false">IF(AND(CB1&gt;Inputs!$B$58,CB1&lt;=Inputs!$B$93),IF(CB1&lt;=Inputs!$B$58+Inputs!$B$66,CB50*Inputs!$B$62/12,MIN(Inputs!$B$92,CB50*(1+Inputs!$B$62/12))),0)</f>
        <v>0</v>
      </c>
      <c r="CC51" s="5" t="n">
        <f aca="false">IF(AND(CC1&gt;Inputs!$B$58,CC1&lt;=Inputs!$B$93),IF(CC1&lt;=Inputs!$B$58+Inputs!$B$66,CC50*Inputs!$B$62/12,MIN(Inputs!$B$92,CC50*(1+Inputs!$B$62/12))),0)</f>
        <v>0</v>
      </c>
      <c r="CD51" s="5" t="n">
        <f aca="false">IF(AND(CD1&gt;Inputs!$B$58,CD1&lt;=Inputs!$B$93),IF(CD1&lt;=Inputs!$B$58+Inputs!$B$66,CD50*Inputs!$B$62/12,MIN(Inputs!$B$92,CD50*(1+Inputs!$B$62/12))),0)</f>
        <v>0</v>
      </c>
      <c r="CE51" s="5" t="n">
        <f aca="false">IF(AND(CE1&gt;Inputs!$B$58,CE1&lt;=Inputs!$B$93),IF(CE1&lt;=Inputs!$B$58+Inputs!$B$66,CE50*Inputs!$B$62/12,MIN(Inputs!$B$92,CE50*(1+Inputs!$B$62/12))),0)</f>
        <v>0</v>
      </c>
      <c r="CF51" s="5" t="n">
        <f aca="false">IF(AND(CF1&gt;Inputs!$B$58,CF1&lt;=Inputs!$B$93),IF(CF1&lt;=Inputs!$B$58+Inputs!$B$66,CF50*Inputs!$B$62/12,MIN(Inputs!$B$92,CF50*(1+Inputs!$B$62/12))),0)</f>
        <v>0</v>
      </c>
      <c r="CG51" s="5" t="n">
        <f aca="false">IF(AND(CG1&gt;Inputs!$B$58,CG1&lt;=Inputs!$B$93),IF(CG1&lt;=Inputs!$B$58+Inputs!$B$66,CG50*Inputs!$B$62/12,MIN(Inputs!$B$92,CG50*(1+Inputs!$B$62/12))),0)</f>
        <v>0</v>
      </c>
      <c r="CH51" s="5" t="n">
        <f aca="false">IF(AND(CH1&gt;Inputs!$B$58,CH1&lt;=Inputs!$B$93),IF(CH1&lt;=Inputs!$B$58+Inputs!$B$66,CH50*Inputs!$B$62/12,MIN(Inputs!$B$92,CH50*(1+Inputs!$B$62/12))),0)</f>
        <v>0</v>
      </c>
      <c r="CI51" s="5" t="n">
        <f aca="false">IF(AND(CI1&gt;Inputs!$B$58,CI1&lt;=Inputs!$B$93),IF(CI1&lt;=Inputs!$B$58+Inputs!$B$66,CI50*Inputs!$B$62/12,MIN(Inputs!$B$92,CI50*(1+Inputs!$B$62/12))),0)</f>
        <v>0</v>
      </c>
      <c r="CJ51" s="5" t="n">
        <f aca="false">IF(AND(CJ1&gt;Inputs!$B$58,CJ1&lt;=Inputs!$B$93),IF(CJ1&lt;=Inputs!$B$58+Inputs!$B$66,CJ50*Inputs!$B$62/12,MIN(Inputs!$B$92,CJ50*(1+Inputs!$B$62/12))),0)</f>
        <v>0</v>
      </c>
      <c r="CK51" s="5" t="n">
        <f aca="false">IF(AND(CK1&gt;Inputs!$B$58,CK1&lt;=Inputs!$B$93),IF(CK1&lt;=Inputs!$B$58+Inputs!$B$66,CK50*Inputs!$B$62/12,MIN(Inputs!$B$92,CK50*(1+Inputs!$B$62/12))),0)</f>
        <v>0</v>
      </c>
      <c r="CL51" s="5" t="n">
        <f aca="false">IF(AND(CL1&gt;Inputs!$B$58,CL1&lt;=Inputs!$B$93),IF(CL1&lt;=Inputs!$B$58+Inputs!$B$66,CL50*Inputs!$B$62/12,MIN(Inputs!$B$92,CL50*(1+Inputs!$B$62/12))),0)</f>
        <v>0</v>
      </c>
      <c r="CM51" s="5" t="n">
        <f aca="false">IF(AND(CM1&gt;Inputs!$B$58,CM1&lt;=Inputs!$B$93),IF(CM1&lt;=Inputs!$B$58+Inputs!$B$66,CM50*Inputs!$B$62/12,MIN(Inputs!$B$92,CM50*(1+Inputs!$B$62/12))),0)</f>
        <v>0</v>
      </c>
      <c r="CN51" s="5" t="n">
        <f aca="false">IF(AND(CN1&gt;Inputs!$B$58,CN1&lt;=Inputs!$B$93),IF(CN1&lt;=Inputs!$B$58+Inputs!$B$66,CN50*Inputs!$B$62/12,MIN(Inputs!$B$92,CN50*(1+Inputs!$B$62/12))),0)</f>
        <v>0</v>
      </c>
      <c r="CO51" s="5" t="n">
        <f aca="false">IF(AND(CO1&gt;Inputs!$B$58,CO1&lt;=Inputs!$B$93),IF(CO1&lt;=Inputs!$B$58+Inputs!$B$66,CO50*Inputs!$B$62/12,MIN(Inputs!$B$92,CO50*(1+Inputs!$B$62/12))),0)</f>
        <v>0</v>
      </c>
      <c r="CP51" s="5" t="n">
        <f aca="false">IF(AND(CP1&gt;Inputs!$B$58,CP1&lt;=Inputs!$B$93),IF(CP1&lt;=Inputs!$B$58+Inputs!$B$66,CP50*Inputs!$B$62/12,MIN(Inputs!$B$92,CP50*(1+Inputs!$B$62/12))),0)</f>
        <v>0</v>
      </c>
      <c r="CQ51" s="5" t="n">
        <f aca="false">IF(AND(CQ1&gt;Inputs!$B$58,CQ1&lt;=Inputs!$B$93),IF(CQ1&lt;=Inputs!$B$58+Inputs!$B$66,CQ50*Inputs!$B$62/12,MIN(Inputs!$B$92,CQ50*(1+Inputs!$B$62/12))),0)</f>
        <v>0</v>
      </c>
      <c r="CR51" s="5" t="n">
        <f aca="false">IF(AND(CR1&gt;Inputs!$B$58,CR1&lt;=Inputs!$B$93),IF(CR1&lt;=Inputs!$B$58+Inputs!$B$66,CR50*Inputs!$B$62/12,MIN(Inputs!$B$92,CR50*(1+Inputs!$B$62/12))),0)</f>
        <v>0</v>
      </c>
      <c r="CS51" s="5" t="n">
        <f aca="false">IF(AND(CS1&gt;Inputs!$B$58,CS1&lt;=Inputs!$B$93),IF(CS1&lt;=Inputs!$B$58+Inputs!$B$66,CS50*Inputs!$B$62/12,MIN(Inputs!$B$92,CS50*(1+Inputs!$B$62/12))),0)</f>
        <v>0</v>
      </c>
      <c r="CT51" s="5" t="n">
        <f aca="false">IF(AND(CT1&gt;Inputs!$B$58,CT1&lt;=Inputs!$B$93),IF(CT1&lt;=Inputs!$B$58+Inputs!$B$66,CT50*Inputs!$B$62/12,MIN(Inputs!$B$92,CT50*(1+Inputs!$B$62/12))),0)</f>
        <v>0</v>
      </c>
    </row>
    <row r="52" customFormat="false" ht="15" hidden="false" customHeight="false" outlineLevel="0" collapsed="false">
      <c r="B52" s="26" t="s">
        <v>188</v>
      </c>
      <c r="C52" s="5" t="n">
        <f aca="false">IF(AND(C1&gt;Inputs!$B$58,C1&lt;=Inputs!$B$93),C50*Inputs!$B$62/12,0)</f>
        <v>0</v>
      </c>
      <c r="D52" s="5" t="n">
        <f aca="false">IF(AND(D1&gt;Inputs!$B$58,D1&lt;=Inputs!$B$93),D50*Inputs!$B$62/12,0)</f>
        <v>0</v>
      </c>
      <c r="E52" s="5" t="n">
        <f aca="false">IF(AND(E1&gt;Inputs!$B$58,E1&lt;=Inputs!$B$93),E50*Inputs!$B$62/12,0)</f>
        <v>0</v>
      </c>
      <c r="F52" s="5" t="n">
        <f aca="false">IF(AND(F1&gt;Inputs!$B$58,F1&lt;=Inputs!$B$93),F50*Inputs!$B$62/12,0)</f>
        <v>0</v>
      </c>
      <c r="G52" s="5" t="n">
        <f aca="false">IF(AND(G1&gt;Inputs!$B$58,G1&lt;=Inputs!$B$93),G50*Inputs!$B$62/12,0)</f>
        <v>0</v>
      </c>
      <c r="H52" s="5" t="n">
        <f aca="false">IF(AND(H1&gt;Inputs!$B$58,H1&lt;=Inputs!$B$93),H50*Inputs!$B$62/12,0)</f>
        <v>0</v>
      </c>
      <c r="I52" s="5" t="n">
        <f aca="false">IF(AND(I1&gt;Inputs!$B$58,I1&lt;=Inputs!$B$93),I50*Inputs!$B$62/12,0)</f>
        <v>0</v>
      </c>
      <c r="J52" s="5" t="n">
        <f aca="false">IF(AND(J1&gt;Inputs!$B$58,J1&lt;=Inputs!$B$93),J50*Inputs!$B$62/12,0)</f>
        <v>0</v>
      </c>
      <c r="K52" s="5" t="n">
        <f aca="false">IF(AND(K1&gt;Inputs!$B$58,K1&lt;=Inputs!$B$93),K50*Inputs!$B$62/12,0)</f>
        <v>0</v>
      </c>
      <c r="L52" s="5" t="n">
        <f aca="false">IF(AND(L1&gt;Inputs!$B$58,L1&lt;=Inputs!$B$93),L50*Inputs!$B$62/12,0)</f>
        <v>0</v>
      </c>
      <c r="M52" s="5" t="n">
        <f aca="false">IF(AND(M1&gt;Inputs!$B$58,M1&lt;=Inputs!$B$93),M50*Inputs!$B$62/12,0)</f>
        <v>0</v>
      </c>
      <c r="N52" s="5" t="n">
        <f aca="false">IF(AND(N1&gt;Inputs!$B$58,N1&lt;=Inputs!$B$93),N50*Inputs!$B$62/12,0)</f>
        <v>0</v>
      </c>
      <c r="O52" s="5" t="n">
        <f aca="false">IF(AND(O1&gt;Inputs!$B$58,O1&lt;=Inputs!$B$93),O50*Inputs!$B$62/12,0)</f>
        <v>0</v>
      </c>
      <c r="P52" s="5" t="n">
        <f aca="false">IF(AND(P1&gt;Inputs!$B$58,P1&lt;=Inputs!$B$93),P50*Inputs!$B$62/12,0)</f>
        <v>0</v>
      </c>
      <c r="Q52" s="5" t="n">
        <f aca="false">IF(AND(Q1&gt;Inputs!$B$58,Q1&lt;=Inputs!$B$93),Q50*Inputs!$B$62/12,0)</f>
        <v>0</v>
      </c>
      <c r="R52" s="5" t="n">
        <f aca="false">IF(AND(R1&gt;Inputs!$B$58,R1&lt;=Inputs!$B$93),R50*Inputs!$B$62/12,0)</f>
        <v>0</v>
      </c>
      <c r="S52" s="5" t="n">
        <f aca="false">IF(AND(S1&gt;Inputs!$B$58,S1&lt;=Inputs!$B$93),S50*Inputs!$B$62/12,0)</f>
        <v>0</v>
      </c>
      <c r="T52" s="5" t="n">
        <f aca="false">IF(AND(T1&gt;Inputs!$B$58,T1&lt;=Inputs!$B$93),T50*Inputs!$B$62/12,0)</f>
        <v>0</v>
      </c>
      <c r="U52" s="5" t="n">
        <f aca="false">IF(AND(U1&gt;Inputs!$B$58,U1&lt;=Inputs!$B$93),U50*Inputs!$B$62/12,0)</f>
        <v>0</v>
      </c>
      <c r="V52" s="5" t="n">
        <f aca="false">IF(AND(V1&gt;Inputs!$B$58,V1&lt;=Inputs!$B$93),V50*Inputs!$B$62/12,0)</f>
        <v>0</v>
      </c>
      <c r="W52" s="5" t="n">
        <f aca="false">IF(AND(W1&gt;Inputs!$B$58,W1&lt;=Inputs!$B$93),W50*Inputs!$B$62/12,0)</f>
        <v>0</v>
      </c>
      <c r="X52" s="5" t="n">
        <f aca="false">IF(AND(X1&gt;Inputs!$B$58,X1&lt;=Inputs!$B$93),X50*Inputs!$B$62/12,0)</f>
        <v>0</v>
      </c>
      <c r="Y52" s="5" t="n">
        <f aca="false">IF(AND(Y1&gt;Inputs!$B$58,Y1&lt;=Inputs!$B$93),Y50*Inputs!$B$62/12,0)</f>
        <v>0</v>
      </c>
      <c r="Z52" s="5" t="n">
        <f aca="false">IF(AND(Z1&gt;Inputs!$B$58,Z1&lt;=Inputs!$B$93),Z50*Inputs!$B$62/12,0)</f>
        <v>0</v>
      </c>
      <c r="AA52" s="5" t="n">
        <f aca="false">IF(AND(AA1&gt;Inputs!$B$58,AA1&lt;=Inputs!$B$93),AA50*Inputs!$B$62/12,0)</f>
        <v>0</v>
      </c>
      <c r="AB52" s="5" t="n">
        <f aca="false">IF(AND(AB1&gt;Inputs!$B$58,AB1&lt;=Inputs!$B$93),AB50*Inputs!$B$62/12,0)</f>
        <v>0</v>
      </c>
      <c r="AC52" s="5" t="n">
        <f aca="false">IF(AND(AC1&gt;Inputs!$B$58,AC1&lt;=Inputs!$B$93),AC50*Inputs!$B$62/12,0)</f>
        <v>0</v>
      </c>
      <c r="AD52" s="5" t="n">
        <f aca="false">IF(AND(AD1&gt;Inputs!$B$58,AD1&lt;=Inputs!$B$93),AD50*Inputs!$B$62/12,0)</f>
        <v>0</v>
      </c>
      <c r="AE52" s="5" t="n">
        <f aca="false">IF(AND(AE1&gt;Inputs!$B$58,AE1&lt;=Inputs!$B$93),AE50*Inputs!$B$62/12,0)</f>
        <v>0</v>
      </c>
      <c r="AF52" s="5" t="n">
        <f aca="false">IF(AND(AF1&gt;Inputs!$B$58,AF1&lt;=Inputs!$B$93),AF50*Inputs!$B$62/12,0)</f>
        <v>0</v>
      </c>
      <c r="AG52" s="5" t="n">
        <f aca="false">IF(AND(AG1&gt;Inputs!$B$58,AG1&lt;=Inputs!$B$93),AG50*Inputs!$B$62/12,0)</f>
        <v>0</v>
      </c>
      <c r="AH52" s="5" t="n">
        <f aca="false">IF(AND(AH1&gt;Inputs!$B$58,AH1&lt;=Inputs!$B$93),AH50*Inputs!$B$62/12,0)</f>
        <v>0</v>
      </c>
      <c r="AI52" s="5" t="n">
        <f aca="false">IF(AND(AI1&gt;Inputs!$B$58,AI1&lt;=Inputs!$B$93),AI50*Inputs!$B$62/12,0)</f>
        <v>0</v>
      </c>
      <c r="AJ52" s="5" t="n">
        <f aca="false">IF(AND(AJ1&gt;Inputs!$B$58,AJ1&lt;=Inputs!$B$93),AJ50*Inputs!$B$62/12,0)</f>
        <v>259781.623321542</v>
      </c>
      <c r="AK52" s="5" t="n">
        <f aca="false">IF(AND(AK1&gt;Inputs!$B$58,AK1&lt;=Inputs!$B$93),AK50*Inputs!$B$62/12,0)</f>
        <v>259609.535799872</v>
      </c>
      <c r="AL52" s="5" t="n">
        <f aca="false">IF(AND(AL1&gt;Inputs!$B$58,AL1&lt;=Inputs!$B$93),AL50*Inputs!$B$62/12,0)</f>
        <v>259436.551989026</v>
      </c>
      <c r="AM52" s="5" t="n">
        <f aca="false">IF(AND(AM1&gt;Inputs!$B$58,AM1&lt;=Inputs!$B$93),AM50*Inputs!$B$62/12,0)</f>
        <v>259262.667220832</v>
      </c>
      <c r="AN52" s="5" t="n">
        <f aca="false">IF(AND(AN1&gt;Inputs!$B$58,AN1&lt;=Inputs!$B$93),AN50*Inputs!$B$62/12,0)</f>
        <v>259087.876802803</v>
      </c>
      <c r="AO52" s="5" t="n">
        <f aca="false">IF(AND(AO1&gt;Inputs!$B$58,AO1&lt;=Inputs!$B$93),AO50*Inputs!$B$62/12,0)</f>
        <v>258912.176018014</v>
      </c>
      <c r="AP52" s="5" t="n">
        <f aca="false">IF(AND(AP1&gt;Inputs!$B$58,AP1&lt;=Inputs!$B$93),AP50*Inputs!$B$62/12,0)</f>
        <v>258735.560124971</v>
      </c>
      <c r="AQ52" s="5" t="n">
        <f aca="false">IF(AND(AQ1&gt;Inputs!$B$58,AQ1&lt;=Inputs!$B$93),AQ50*Inputs!$B$62/12,0)</f>
        <v>258558.024357485</v>
      </c>
      <c r="AR52" s="5" t="n">
        <f aca="false">IF(AND(AR1&gt;Inputs!$B$58,AR1&lt;=Inputs!$B$93),AR50*Inputs!$B$62/12,0)</f>
        <v>258379.563924543</v>
      </c>
      <c r="AS52" s="5" t="n">
        <f aca="false">IF(AND(AS1&gt;Inputs!$B$58,AS1&lt;=Inputs!$B$93),AS50*Inputs!$B$62/12,0)</f>
        <v>258200.17401018</v>
      </c>
      <c r="AT52" s="5" t="n">
        <f aca="false">IF(AND(AT1&gt;Inputs!$B$58,AT1&lt;=Inputs!$B$93),AT50*Inputs!$B$62/12,0)</f>
        <v>258019.849773346</v>
      </c>
      <c r="AU52" s="5" t="n">
        <f aca="false">IF(AND(AU1&gt;Inputs!$B$58,AU1&lt;=Inputs!$B$93),AU50*Inputs!$B$62/12,0)</f>
        <v>257838.586347778</v>
      </c>
      <c r="AV52" s="5" t="n">
        <f aca="false">IF(AND(AV1&gt;Inputs!$B$58,AV1&lt;=Inputs!$B$93),AV50*Inputs!$B$62/12,0)</f>
        <v>257656.378841869</v>
      </c>
      <c r="AW52" s="5" t="n">
        <f aca="false">IF(AND(AW1&gt;Inputs!$B$58,AW1&lt;=Inputs!$B$93),AW50*Inputs!$B$62/12,0)</f>
        <v>257473.222338534</v>
      </c>
      <c r="AX52" s="5" t="n">
        <f aca="false">IF(AND(AX1&gt;Inputs!$B$58,AX1&lt;=Inputs!$B$93),AX50*Inputs!$B$62/12,0)</f>
        <v>257289.111895076</v>
      </c>
      <c r="AY52" s="5" t="n">
        <f aca="false">IF(AND(AY1&gt;Inputs!$B$58,AY1&lt;=Inputs!$B$93),AY50*Inputs!$B$62/12,0)</f>
        <v>257104.04254306</v>
      </c>
      <c r="AZ52" s="5" t="n">
        <f aca="false">IF(AND(AZ1&gt;Inputs!$B$58,AZ1&lt;=Inputs!$B$93),AZ50*Inputs!$B$62/12,0)</f>
        <v>256918.009288168</v>
      </c>
      <c r="BA52" s="5" t="n">
        <f aca="false">IF(AND(BA1&gt;Inputs!$B$58,BA1&lt;=Inputs!$B$93),BA50*Inputs!$B$62/12,0)</f>
        <v>256731.007110073</v>
      </c>
      <c r="BB52" s="5" t="n">
        <f aca="false">IF(AND(BB1&gt;Inputs!$B$58,BB1&lt;=Inputs!$B$93),BB50*Inputs!$B$62/12,0)</f>
        <v>256543.030962301</v>
      </c>
      <c r="BC52" s="5" t="n">
        <f aca="false">IF(AND(BC1&gt;Inputs!$B$58,BC1&lt;=Inputs!$B$93),BC50*Inputs!$B$62/12,0)</f>
        <v>256354.075772093</v>
      </c>
      <c r="BD52" s="5" t="n">
        <f aca="false">IF(AND(BD1&gt;Inputs!$B$58,BD1&lt;=Inputs!$B$93),BD50*Inputs!$B$62/12,0)</f>
        <v>256164.136440269</v>
      </c>
      <c r="BE52" s="5" t="n">
        <f aca="false">IF(AND(BE1&gt;Inputs!$B$58,BE1&lt;=Inputs!$B$93),BE50*Inputs!$B$62/12,0)</f>
        <v>255973.207841092</v>
      </c>
      <c r="BF52" s="5" t="n">
        <f aca="false">IF(AND(BF1&gt;Inputs!$B$58,BF1&lt;=Inputs!$B$93),BF50*Inputs!$B$62/12,0)</f>
        <v>255781.284822127</v>
      </c>
      <c r="BG52" s="5" t="n">
        <f aca="false">IF(AND(BG1&gt;Inputs!$B$58,BG1&lt;=Inputs!$B$93),BG50*Inputs!$B$62/12,0)</f>
        <v>255588.362204105</v>
      </c>
      <c r="BH52" s="5" t="n">
        <f aca="false">IF(AND(BH1&gt;Inputs!$B$58,BH1&lt;=Inputs!$B$93),BH50*Inputs!$B$62/12,0)</f>
        <v>255394.434780781</v>
      </c>
      <c r="BI52" s="5" t="n">
        <f aca="false">IF(AND(BI1&gt;Inputs!$B$58,BI1&lt;=Inputs!$B$93),BI50*Inputs!$B$62/12,0)</f>
        <v>255199.497318794</v>
      </c>
      <c r="BJ52" s="5" t="n">
        <f aca="false">IF(AND(BJ1&gt;Inputs!$B$58,BJ1&lt;=Inputs!$B$93),BJ50*Inputs!$B$62/12,0)</f>
        <v>255003.544557526</v>
      </c>
      <c r="BK52" s="5" t="n">
        <f aca="false">IF(AND(BK1&gt;Inputs!$B$58,BK1&lt;=Inputs!$B$93),BK50*Inputs!$B$62/12,0)</f>
        <v>0</v>
      </c>
      <c r="BL52" s="5" t="n">
        <f aca="false">IF(AND(BL1&gt;Inputs!$B$58,BL1&lt;=Inputs!$B$93),BL50*Inputs!$B$62/12,0)</f>
        <v>0</v>
      </c>
      <c r="BM52" s="5" t="n">
        <f aca="false">IF(AND(BM1&gt;Inputs!$B$58,BM1&lt;=Inputs!$B$93),BM50*Inputs!$B$62/12,0)</f>
        <v>0</v>
      </c>
      <c r="BN52" s="5" t="n">
        <f aca="false">IF(AND(BN1&gt;Inputs!$B$58,BN1&lt;=Inputs!$B$93),BN50*Inputs!$B$62/12,0)</f>
        <v>0</v>
      </c>
      <c r="BO52" s="5" t="n">
        <f aca="false">IF(AND(BO1&gt;Inputs!$B$58,BO1&lt;=Inputs!$B$93),BO50*Inputs!$B$62/12,0)</f>
        <v>0</v>
      </c>
      <c r="BP52" s="5" t="n">
        <f aca="false">IF(AND(BP1&gt;Inputs!$B$58,BP1&lt;=Inputs!$B$93),BP50*Inputs!$B$62/12,0)</f>
        <v>0</v>
      </c>
      <c r="BQ52" s="5" t="n">
        <f aca="false">IF(AND(BQ1&gt;Inputs!$B$58,BQ1&lt;=Inputs!$B$93),BQ50*Inputs!$B$62/12,0)</f>
        <v>0</v>
      </c>
      <c r="BR52" s="5" t="n">
        <f aca="false">IF(AND(BR1&gt;Inputs!$B$58,BR1&lt;=Inputs!$B$93),BR50*Inputs!$B$62/12,0)</f>
        <v>0</v>
      </c>
      <c r="BS52" s="5" t="n">
        <f aca="false">IF(AND(BS1&gt;Inputs!$B$58,BS1&lt;=Inputs!$B$93),BS50*Inputs!$B$62/12,0)</f>
        <v>0</v>
      </c>
      <c r="BT52" s="5" t="n">
        <f aca="false">IF(AND(BT1&gt;Inputs!$B$58,BT1&lt;=Inputs!$B$93),BT50*Inputs!$B$62/12,0)</f>
        <v>0</v>
      </c>
      <c r="BU52" s="5" t="n">
        <f aca="false">IF(AND(BU1&gt;Inputs!$B$58,BU1&lt;=Inputs!$B$93),BU50*Inputs!$B$62/12,0)</f>
        <v>0</v>
      </c>
      <c r="BV52" s="5" t="n">
        <f aca="false">IF(AND(BV1&gt;Inputs!$B$58,BV1&lt;=Inputs!$B$93),BV50*Inputs!$B$62/12,0)</f>
        <v>0</v>
      </c>
      <c r="BW52" s="5" t="n">
        <f aca="false">IF(AND(BW1&gt;Inputs!$B$58,BW1&lt;=Inputs!$B$93),BW50*Inputs!$B$62/12,0)</f>
        <v>0</v>
      </c>
      <c r="BX52" s="5" t="n">
        <f aca="false">IF(AND(BX1&gt;Inputs!$B$58,BX1&lt;=Inputs!$B$93),BX50*Inputs!$B$62/12,0)</f>
        <v>0</v>
      </c>
      <c r="BY52" s="5" t="n">
        <f aca="false">IF(AND(BY1&gt;Inputs!$B$58,BY1&lt;=Inputs!$B$93),BY50*Inputs!$B$62/12,0)</f>
        <v>0</v>
      </c>
      <c r="BZ52" s="5" t="n">
        <f aca="false">IF(AND(BZ1&gt;Inputs!$B$58,BZ1&lt;=Inputs!$B$93),BZ50*Inputs!$B$62/12,0)</f>
        <v>0</v>
      </c>
      <c r="CA52" s="5" t="n">
        <f aca="false">IF(AND(CA1&gt;Inputs!$B$58,CA1&lt;=Inputs!$B$93),CA50*Inputs!$B$62/12,0)</f>
        <v>0</v>
      </c>
      <c r="CB52" s="5" t="n">
        <f aca="false">IF(AND(CB1&gt;Inputs!$B$58,CB1&lt;=Inputs!$B$93),CB50*Inputs!$B$62/12,0)</f>
        <v>0</v>
      </c>
      <c r="CC52" s="5" t="n">
        <f aca="false">IF(AND(CC1&gt;Inputs!$B$58,CC1&lt;=Inputs!$B$93),CC50*Inputs!$B$62/12,0)</f>
        <v>0</v>
      </c>
      <c r="CD52" s="5" t="n">
        <f aca="false">IF(AND(CD1&gt;Inputs!$B$58,CD1&lt;=Inputs!$B$93),CD50*Inputs!$B$62/12,0)</f>
        <v>0</v>
      </c>
      <c r="CE52" s="5" t="n">
        <f aca="false">IF(AND(CE1&gt;Inputs!$B$58,CE1&lt;=Inputs!$B$93),CE50*Inputs!$B$62/12,0)</f>
        <v>0</v>
      </c>
      <c r="CF52" s="5" t="n">
        <f aca="false">IF(AND(CF1&gt;Inputs!$B$58,CF1&lt;=Inputs!$B$93),CF50*Inputs!$B$62/12,0)</f>
        <v>0</v>
      </c>
      <c r="CG52" s="5" t="n">
        <f aca="false">IF(AND(CG1&gt;Inputs!$B$58,CG1&lt;=Inputs!$B$93),CG50*Inputs!$B$62/12,0)</f>
        <v>0</v>
      </c>
      <c r="CH52" s="5" t="n">
        <f aca="false">IF(AND(CH1&gt;Inputs!$B$58,CH1&lt;=Inputs!$B$93),CH50*Inputs!$B$62/12,0)</f>
        <v>0</v>
      </c>
      <c r="CI52" s="5" t="n">
        <f aca="false">IF(AND(CI1&gt;Inputs!$B$58,CI1&lt;=Inputs!$B$93),CI50*Inputs!$B$62/12,0)</f>
        <v>0</v>
      </c>
      <c r="CJ52" s="5" t="n">
        <f aca="false">IF(AND(CJ1&gt;Inputs!$B$58,CJ1&lt;=Inputs!$B$93),CJ50*Inputs!$B$62/12,0)</f>
        <v>0</v>
      </c>
      <c r="CK52" s="5" t="n">
        <f aca="false">IF(AND(CK1&gt;Inputs!$B$58,CK1&lt;=Inputs!$B$93),CK50*Inputs!$B$62/12,0)</f>
        <v>0</v>
      </c>
      <c r="CL52" s="5" t="n">
        <f aca="false">IF(AND(CL1&gt;Inputs!$B$58,CL1&lt;=Inputs!$B$93),CL50*Inputs!$B$62/12,0)</f>
        <v>0</v>
      </c>
      <c r="CM52" s="5" t="n">
        <f aca="false">IF(AND(CM1&gt;Inputs!$B$58,CM1&lt;=Inputs!$B$93),CM50*Inputs!$B$62/12,0)</f>
        <v>0</v>
      </c>
      <c r="CN52" s="5" t="n">
        <f aca="false">IF(AND(CN1&gt;Inputs!$B$58,CN1&lt;=Inputs!$B$93),CN50*Inputs!$B$62/12,0)</f>
        <v>0</v>
      </c>
      <c r="CO52" s="5" t="n">
        <f aca="false">IF(AND(CO1&gt;Inputs!$B$58,CO1&lt;=Inputs!$B$93),CO50*Inputs!$B$62/12,0)</f>
        <v>0</v>
      </c>
      <c r="CP52" s="5" t="n">
        <f aca="false">IF(AND(CP1&gt;Inputs!$B$58,CP1&lt;=Inputs!$B$93),CP50*Inputs!$B$62/12,0)</f>
        <v>0</v>
      </c>
      <c r="CQ52" s="5" t="n">
        <f aca="false">IF(AND(CQ1&gt;Inputs!$B$58,CQ1&lt;=Inputs!$B$93),CQ50*Inputs!$B$62/12,0)</f>
        <v>0</v>
      </c>
      <c r="CR52" s="5" t="n">
        <f aca="false">IF(AND(CR1&gt;Inputs!$B$58,CR1&lt;=Inputs!$B$93),CR50*Inputs!$B$62/12,0)</f>
        <v>0</v>
      </c>
      <c r="CS52" s="5" t="n">
        <f aca="false">IF(AND(CS1&gt;Inputs!$B$58,CS1&lt;=Inputs!$B$93),CS50*Inputs!$B$62/12,0)</f>
        <v>0</v>
      </c>
      <c r="CT52" s="5" t="n">
        <f aca="false">IF(AND(CT1&gt;Inputs!$B$58,CT1&lt;=Inputs!$B$93),CT50*Inputs!$B$62/12,0)</f>
        <v>0</v>
      </c>
    </row>
    <row r="53" customFormat="false" ht="15" hidden="false" customHeight="false" outlineLevel="0" collapsed="false">
      <c r="B53" s="26" t="s">
        <v>189</v>
      </c>
      <c r="C53" s="5" t="n">
        <f aca="false">MAX(C51-C52,0)</f>
        <v>0</v>
      </c>
      <c r="D53" s="5" t="n">
        <f aca="false">MAX(D51-D52,0)</f>
        <v>0</v>
      </c>
      <c r="E53" s="5" t="n">
        <f aca="false">MAX(E51-E52,0)</f>
        <v>0</v>
      </c>
      <c r="F53" s="5" t="n">
        <f aca="false">MAX(F51-F52,0)</f>
        <v>0</v>
      </c>
      <c r="G53" s="5" t="n">
        <f aca="false">MAX(G51-G52,0)</f>
        <v>0</v>
      </c>
      <c r="H53" s="5" t="n">
        <f aca="false">MAX(H51-H52,0)</f>
        <v>0</v>
      </c>
      <c r="I53" s="5" t="n">
        <f aca="false">MAX(I51-I52,0)</f>
        <v>0</v>
      </c>
      <c r="J53" s="5" t="n">
        <f aca="false">MAX(J51-J52,0)</f>
        <v>0</v>
      </c>
      <c r="K53" s="5" t="n">
        <f aca="false">MAX(K51-K52,0)</f>
        <v>0</v>
      </c>
      <c r="L53" s="5" t="n">
        <f aca="false">MAX(L51-L52,0)</f>
        <v>0</v>
      </c>
      <c r="M53" s="5" t="n">
        <f aca="false">MAX(M51-M52,0)</f>
        <v>0</v>
      </c>
      <c r="N53" s="5" t="n">
        <f aca="false">MAX(N51-N52,0)</f>
        <v>0</v>
      </c>
      <c r="O53" s="5" t="n">
        <f aca="false">MAX(O51-O52,0)</f>
        <v>0</v>
      </c>
      <c r="P53" s="5" t="n">
        <f aca="false">MAX(P51-P52,0)</f>
        <v>0</v>
      </c>
      <c r="Q53" s="5" t="n">
        <f aca="false">MAX(Q51-Q52,0)</f>
        <v>0</v>
      </c>
      <c r="R53" s="5" t="n">
        <f aca="false">MAX(R51-R52,0)</f>
        <v>0</v>
      </c>
      <c r="S53" s="5" t="n">
        <f aca="false">MAX(S51-S52,0)</f>
        <v>0</v>
      </c>
      <c r="T53" s="5" t="n">
        <f aca="false">MAX(T51-T52,0)</f>
        <v>0</v>
      </c>
      <c r="U53" s="5" t="n">
        <f aca="false">MAX(U51-U52,0)</f>
        <v>0</v>
      </c>
      <c r="V53" s="5" t="n">
        <f aca="false">MAX(V51-V52,0)</f>
        <v>0</v>
      </c>
      <c r="W53" s="5" t="n">
        <f aca="false">MAX(W51-W52,0)</f>
        <v>0</v>
      </c>
      <c r="X53" s="5" t="n">
        <f aca="false">MAX(X51-X52,0)</f>
        <v>0</v>
      </c>
      <c r="Y53" s="5" t="n">
        <f aca="false">MAX(Y51-Y52,0)</f>
        <v>0</v>
      </c>
      <c r="Z53" s="5" t="n">
        <f aca="false">MAX(Z51-Z52,0)</f>
        <v>0</v>
      </c>
      <c r="AA53" s="5" t="n">
        <f aca="false">MAX(AA51-AA52,0)</f>
        <v>0</v>
      </c>
      <c r="AB53" s="5" t="n">
        <f aca="false">MAX(AB51-AB52,0)</f>
        <v>0</v>
      </c>
      <c r="AC53" s="5" t="n">
        <f aca="false">MAX(AC51-AC52,0)</f>
        <v>0</v>
      </c>
      <c r="AD53" s="5" t="n">
        <f aca="false">MAX(AD51-AD52,0)</f>
        <v>0</v>
      </c>
      <c r="AE53" s="5" t="n">
        <f aca="false">MAX(AE51-AE52,0)</f>
        <v>0</v>
      </c>
      <c r="AF53" s="5" t="n">
        <f aca="false">MAX(AF51-AF52,0)</f>
        <v>0</v>
      </c>
      <c r="AG53" s="5" t="n">
        <f aca="false">MAX(AG51-AG52,0)</f>
        <v>0</v>
      </c>
      <c r="AH53" s="5" t="n">
        <f aca="false">MAX(AH51-AH52,0)</f>
        <v>0</v>
      </c>
      <c r="AI53" s="5" t="n">
        <f aca="false">MAX(AI51-AI52,0)</f>
        <v>0</v>
      </c>
      <c r="AJ53" s="5" t="n">
        <f aca="false">MAX(AJ51-AJ52,0)</f>
        <v>33040.804160761</v>
      </c>
      <c r="AK53" s="5" t="n">
        <f aca="false">MAX(AK51-AK52,0)</f>
        <v>33212.8916824316</v>
      </c>
      <c r="AL53" s="5" t="n">
        <f aca="false">MAX(AL51-AL52,0)</f>
        <v>33385.8754932776</v>
      </c>
      <c r="AM53" s="5" t="n">
        <f aca="false">MAX(AM51-AM52,0)</f>
        <v>33559.7602614718</v>
      </c>
      <c r="AN53" s="5" t="n">
        <f aca="false">MAX(AN51-AN52,0)</f>
        <v>33734.5506795003</v>
      </c>
      <c r="AO53" s="5" t="n">
        <f aca="false">MAX(AO51-AO52,0)</f>
        <v>33910.2514642893</v>
      </c>
      <c r="AP53" s="5" t="n">
        <f aca="false">MAX(AP51-AP52,0)</f>
        <v>34086.8673573325</v>
      </c>
      <c r="AQ53" s="5" t="n">
        <f aca="false">MAX(AQ51-AQ52,0)</f>
        <v>34264.4031248186</v>
      </c>
      <c r="AR53" s="5" t="n">
        <f aca="false">MAX(AR51-AR52,0)</f>
        <v>34442.8635577604</v>
      </c>
      <c r="AS53" s="5" t="n">
        <f aca="false">MAX(AS51-AS52,0)</f>
        <v>34622.2534721237</v>
      </c>
      <c r="AT53" s="5" t="n">
        <f aca="false">MAX(AT51-AT52,0)</f>
        <v>34802.5777089577</v>
      </c>
      <c r="AU53" s="5" t="n">
        <f aca="false">MAX(AU51-AU52,0)</f>
        <v>34983.8411345252</v>
      </c>
      <c r="AV53" s="5" t="n">
        <f aca="false">MAX(AV51-AV52,0)</f>
        <v>35166.0486404342</v>
      </c>
      <c r="AW53" s="5" t="n">
        <f aca="false">MAX(AW51-AW52,0)</f>
        <v>35349.2051437698</v>
      </c>
      <c r="AX53" s="5" t="n">
        <f aca="false">MAX(AX51-AX52,0)</f>
        <v>35533.315587227</v>
      </c>
      <c r="AY53" s="5" t="n">
        <f aca="false">MAX(AY51-AY52,0)</f>
        <v>35718.3849392438</v>
      </c>
      <c r="AZ53" s="5" t="n">
        <f aca="false">MAX(AZ51-AZ52,0)</f>
        <v>35904.4181941357</v>
      </c>
      <c r="BA53" s="5" t="n">
        <f aca="false">MAX(BA51-BA52,0)</f>
        <v>36091.4203722302</v>
      </c>
      <c r="BB53" s="5" t="n">
        <f aca="false">MAX(BB51-BB52,0)</f>
        <v>36279.3965200022</v>
      </c>
      <c r="BC53" s="5" t="n">
        <f aca="false">MAX(BC51-BC52,0)</f>
        <v>36468.3517102106</v>
      </c>
      <c r="BD53" s="5" t="n">
        <f aca="false">MAX(BD51-BD52,0)</f>
        <v>36658.2910420346</v>
      </c>
      <c r="BE53" s="5" t="n">
        <f aca="false">MAX(BE51-BE52,0)</f>
        <v>36849.2196412119</v>
      </c>
      <c r="BF53" s="5" t="n">
        <f aca="false">MAX(BF51-BF52,0)</f>
        <v>37041.1426601765</v>
      </c>
      <c r="BG53" s="5" t="n">
        <f aca="false">MAX(BG51-BG52,0)</f>
        <v>37234.0652781983</v>
      </c>
      <c r="BH53" s="5" t="n">
        <f aca="false">MAX(BH51-BH52,0)</f>
        <v>37427.9927015222</v>
      </c>
      <c r="BI53" s="5" t="n">
        <f aca="false">MAX(BI51-BI52,0)</f>
        <v>37622.9301635093</v>
      </c>
      <c r="BJ53" s="5" t="n">
        <f aca="false">MAX(BJ51-BJ52,0)</f>
        <v>37818.8829247775</v>
      </c>
      <c r="BK53" s="5" t="n">
        <f aca="false">MAX(BK51-BK52,0)</f>
        <v>0</v>
      </c>
      <c r="BL53" s="5" t="n">
        <f aca="false">MAX(BL51-BL52,0)</f>
        <v>0</v>
      </c>
      <c r="BM53" s="5" t="n">
        <f aca="false">MAX(BM51-BM52,0)</f>
        <v>0</v>
      </c>
      <c r="BN53" s="5" t="n">
        <f aca="false">MAX(BN51-BN52,0)</f>
        <v>0</v>
      </c>
      <c r="BO53" s="5" t="n">
        <f aca="false">MAX(BO51-BO52,0)</f>
        <v>0</v>
      </c>
      <c r="BP53" s="5" t="n">
        <f aca="false">MAX(BP51-BP52,0)</f>
        <v>0</v>
      </c>
      <c r="BQ53" s="5" t="n">
        <f aca="false">MAX(BQ51-BQ52,0)</f>
        <v>0</v>
      </c>
      <c r="BR53" s="5" t="n">
        <f aca="false">MAX(BR51-BR52,0)</f>
        <v>0</v>
      </c>
      <c r="BS53" s="5" t="n">
        <f aca="false">MAX(BS51-BS52,0)</f>
        <v>0</v>
      </c>
      <c r="BT53" s="5" t="n">
        <f aca="false">MAX(BT51-BT52,0)</f>
        <v>0</v>
      </c>
      <c r="BU53" s="5" t="n">
        <f aca="false">MAX(BU51-BU52,0)</f>
        <v>0</v>
      </c>
      <c r="BV53" s="5" t="n">
        <f aca="false">MAX(BV51-BV52,0)</f>
        <v>0</v>
      </c>
      <c r="BW53" s="5" t="n">
        <f aca="false">MAX(BW51-BW52,0)</f>
        <v>0</v>
      </c>
      <c r="BX53" s="5" t="n">
        <f aca="false">MAX(BX51-BX52,0)</f>
        <v>0</v>
      </c>
      <c r="BY53" s="5" t="n">
        <f aca="false">MAX(BY51-BY52,0)</f>
        <v>0</v>
      </c>
      <c r="BZ53" s="5" t="n">
        <f aca="false">MAX(BZ51-BZ52,0)</f>
        <v>0</v>
      </c>
      <c r="CA53" s="5" t="n">
        <f aca="false">MAX(CA51-CA52,0)</f>
        <v>0</v>
      </c>
      <c r="CB53" s="5" t="n">
        <f aca="false">MAX(CB51-CB52,0)</f>
        <v>0</v>
      </c>
      <c r="CC53" s="5" t="n">
        <f aca="false">MAX(CC51-CC52,0)</f>
        <v>0</v>
      </c>
      <c r="CD53" s="5" t="n">
        <f aca="false">MAX(CD51-CD52,0)</f>
        <v>0</v>
      </c>
      <c r="CE53" s="5" t="n">
        <f aca="false">MAX(CE51-CE52,0)</f>
        <v>0</v>
      </c>
      <c r="CF53" s="5" t="n">
        <f aca="false">MAX(CF51-CF52,0)</f>
        <v>0</v>
      </c>
      <c r="CG53" s="5" t="n">
        <f aca="false">MAX(CG51-CG52,0)</f>
        <v>0</v>
      </c>
      <c r="CH53" s="5" t="n">
        <f aca="false">MAX(CH51-CH52,0)</f>
        <v>0</v>
      </c>
      <c r="CI53" s="5" t="n">
        <f aca="false">MAX(CI51-CI52,0)</f>
        <v>0</v>
      </c>
      <c r="CJ53" s="5" t="n">
        <f aca="false">MAX(CJ51-CJ52,0)</f>
        <v>0</v>
      </c>
      <c r="CK53" s="5" t="n">
        <f aca="false">MAX(CK51-CK52,0)</f>
        <v>0</v>
      </c>
      <c r="CL53" s="5" t="n">
        <f aca="false">MAX(CL51-CL52,0)</f>
        <v>0</v>
      </c>
      <c r="CM53" s="5" t="n">
        <f aca="false">MAX(CM51-CM52,0)</f>
        <v>0</v>
      </c>
      <c r="CN53" s="5" t="n">
        <f aca="false">MAX(CN51-CN52,0)</f>
        <v>0</v>
      </c>
      <c r="CO53" s="5" t="n">
        <f aca="false">MAX(CO51-CO52,0)</f>
        <v>0</v>
      </c>
      <c r="CP53" s="5" t="n">
        <f aca="false">MAX(CP51-CP52,0)</f>
        <v>0</v>
      </c>
      <c r="CQ53" s="5" t="n">
        <f aca="false">MAX(CQ51-CQ52,0)</f>
        <v>0</v>
      </c>
      <c r="CR53" s="5" t="n">
        <f aca="false">MAX(CR51-CR52,0)</f>
        <v>0</v>
      </c>
      <c r="CS53" s="5" t="n">
        <f aca="false">MAX(CS51-CS52,0)</f>
        <v>0</v>
      </c>
      <c r="CT53" s="5" t="n">
        <f aca="false">MAX(CT51-CT52,0)</f>
        <v>0</v>
      </c>
    </row>
    <row r="54" customFormat="false" ht="15" hidden="false" customHeight="false" outlineLevel="0" collapsed="false">
      <c r="B54" s="26" t="s">
        <v>190</v>
      </c>
      <c r="C54" s="5" t="n">
        <f aca="false">IF(AND(C1&gt;Inputs!$B$58,C1&lt;=Inputs!$B$93),C50*Inputs!$B$64/12,0)</f>
        <v>0</v>
      </c>
      <c r="D54" s="5" t="n">
        <f aca="false">IF(AND(D1&gt;Inputs!$B$58,D1&lt;=Inputs!$B$93),D50*Inputs!$B$64/12,0)</f>
        <v>0</v>
      </c>
      <c r="E54" s="5" t="n">
        <f aca="false">IF(AND(E1&gt;Inputs!$B$58,E1&lt;=Inputs!$B$93),E50*Inputs!$B$64/12,0)</f>
        <v>0</v>
      </c>
      <c r="F54" s="5" t="n">
        <f aca="false">IF(AND(F1&gt;Inputs!$B$58,F1&lt;=Inputs!$B$93),F50*Inputs!$B$64/12,0)</f>
        <v>0</v>
      </c>
      <c r="G54" s="5" t="n">
        <f aca="false">IF(AND(G1&gt;Inputs!$B$58,G1&lt;=Inputs!$B$93),G50*Inputs!$B$64/12,0)</f>
        <v>0</v>
      </c>
      <c r="H54" s="5" t="n">
        <f aca="false">IF(AND(H1&gt;Inputs!$B$58,H1&lt;=Inputs!$B$93),H50*Inputs!$B$64/12,0)</f>
        <v>0</v>
      </c>
      <c r="I54" s="5" t="n">
        <f aca="false">IF(AND(I1&gt;Inputs!$B$58,I1&lt;=Inputs!$B$93),I50*Inputs!$B$64/12,0)</f>
        <v>0</v>
      </c>
      <c r="J54" s="5" t="n">
        <f aca="false">IF(AND(J1&gt;Inputs!$B$58,J1&lt;=Inputs!$B$93),J50*Inputs!$B$64/12,0)</f>
        <v>0</v>
      </c>
      <c r="K54" s="5" t="n">
        <f aca="false">IF(AND(K1&gt;Inputs!$B$58,K1&lt;=Inputs!$B$93),K50*Inputs!$B$64/12,0)</f>
        <v>0</v>
      </c>
      <c r="L54" s="5" t="n">
        <f aca="false">IF(AND(L1&gt;Inputs!$B$58,L1&lt;=Inputs!$B$93),L50*Inputs!$B$64/12,0)</f>
        <v>0</v>
      </c>
      <c r="M54" s="5" t="n">
        <f aca="false">IF(AND(M1&gt;Inputs!$B$58,M1&lt;=Inputs!$B$93),M50*Inputs!$B$64/12,0)</f>
        <v>0</v>
      </c>
      <c r="N54" s="5" t="n">
        <f aca="false">IF(AND(N1&gt;Inputs!$B$58,N1&lt;=Inputs!$B$93),N50*Inputs!$B$64/12,0)</f>
        <v>0</v>
      </c>
      <c r="O54" s="5" t="n">
        <f aca="false">IF(AND(O1&gt;Inputs!$B$58,O1&lt;=Inputs!$B$93),O50*Inputs!$B$64/12,0)</f>
        <v>0</v>
      </c>
      <c r="P54" s="5" t="n">
        <f aca="false">IF(AND(P1&gt;Inputs!$B$58,P1&lt;=Inputs!$B$93),P50*Inputs!$B$64/12,0)</f>
        <v>0</v>
      </c>
      <c r="Q54" s="5" t="n">
        <f aca="false">IF(AND(Q1&gt;Inputs!$B$58,Q1&lt;=Inputs!$B$93),Q50*Inputs!$B$64/12,0)</f>
        <v>0</v>
      </c>
      <c r="R54" s="5" t="n">
        <f aca="false">IF(AND(R1&gt;Inputs!$B$58,R1&lt;=Inputs!$B$93),R50*Inputs!$B$64/12,0)</f>
        <v>0</v>
      </c>
      <c r="S54" s="5" t="n">
        <f aca="false">IF(AND(S1&gt;Inputs!$B$58,S1&lt;=Inputs!$B$93),S50*Inputs!$B$64/12,0)</f>
        <v>0</v>
      </c>
      <c r="T54" s="5" t="n">
        <f aca="false">IF(AND(T1&gt;Inputs!$B$58,T1&lt;=Inputs!$B$93),T50*Inputs!$B$64/12,0)</f>
        <v>0</v>
      </c>
      <c r="U54" s="5" t="n">
        <f aca="false">IF(AND(U1&gt;Inputs!$B$58,U1&lt;=Inputs!$B$93),U50*Inputs!$B$64/12,0)</f>
        <v>0</v>
      </c>
      <c r="V54" s="5" t="n">
        <f aca="false">IF(AND(V1&gt;Inputs!$B$58,V1&lt;=Inputs!$B$93),V50*Inputs!$B$64/12,0)</f>
        <v>0</v>
      </c>
      <c r="W54" s="5" t="n">
        <f aca="false">IF(AND(W1&gt;Inputs!$B$58,W1&lt;=Inputs!$B$93),W50*Inputs!$B$64/12,0)</f>
        <v>0</v>
      </c>
      <c r="X54" s="5" t="n">
        <f aca="false">IF(AND(X1&gt;Inputs!$B$58,X1&lt;=Inputs!$B$93),X50*Inputs!$B$64/12,0)</f>
        <v>0</v>
      </c>
      <c r="Y54" s="5" t="n">
        <f aca="false">IF(AND(Y1&gt;Inputs!$B$58,Y1&lt;=Inputs!$B$93),Y50*Inputs!$B$64/12,0)</f>
        <v>0</v>
      </c>
      <c r="Z54" s="5" t="n">
        <f aca="false">IF(AND(Z1&gt;Inputs!$B$58,Z1&lt;=Inputs!$B$93),Z50*Inputs!$B$64/12,0)</f>
        <v>0</v>
      </c>
      <c r="AA54" s="5" t="n">
        <f aca="false">IF(AND(AA1&gt;Inputs!$B$58,AA1&lt;=Inputs!$B$93),AA50*Inputs!$B$64/12,0)</f>
        <v>0</v>
      </c>
      <c r="AB54" s="5" t="n">
        <f aca="false">IF(AND(AB1&gt;Inputs!$B$58,AB1&lt;=Inputs!$B$93),AB50*Inputs!$B$64/12,0)</f>
        <v>0</v>
      </c>
      <c r="AC54" s="5" t="n">
        <f aca="false">IF(AND(AC1&gt;Inputs!$B$58,AC1&lt;=Inputs!$B$93),AC50*Inputs!$B$64/12,0)</f>
        <v>0</v>
      </c>
      <c r="AD54" s="5" t="n">
        <f aca="false">IF(AND(AD1&gt;Inputs!$B$58,AD1&lt;=Inputs!$B$93),AD50*Inputs!$B$64/12,0)</f>
        <v>0</v>
      </c>
      <c r="AE54" s="5" t="n">
        <f aca="false">IF(AND(AE1&gt;Inputs!$B$58,AE1&lt;=Inputs!$B$93),AE50*Inputs!$B$64/12,0)</f>
        <v>0</v>
      </c>
      <c r="AF54" s="5" t="n">
        <f aca="false">IF(AND(AF1&gt;Inputs!$B$58,AF1&lt;=Inputs!$B$93),AF50*Inputs!$B$64/12,0)</f>
        <v>0</v>
      </c>
      <c r="AG54" s="5" t="n">
        <f aca="false">IF(AND(AG1&gt;Inputs!$B$58,AG1&lt;=Inputs!$B$93),AG50*Inputs!$B$64/12,0)</f>
        <v>0</v>
      </c>
      <c r="AH54" s="5" t="n">
        <f aca="false">IF(AND(AH1&gt;Inputs!$B$58,AH1&lt;=Inputs!$B$93),AH50*Inputs!$B$64/12,0)</f>
        <v>0</v>
      </c>
      <c r="AI54" s="5" t="n">
        <f aca="false">IF(AND(AI1&gt;Inputs!$B$58,AI1&lt;=Inputs!$B$93),AI50*Inputs!$B$64/12,0)</f>
        <v>0</v>
      </c>
      <c r="AJ54" s="5" t="n">
        <f aca="false">IF(AND(AJ1&gt;Inputs!$B$58,AJ1&lt;=Inputs!$B$93),AJ50*Inputs!$B$64/12,0)</f>
        <v>10391.2649328617</v>
      </c>
      <c r="AK54" s="5" t="n">
        <f aca="false">IF(AND(AK1&gt;Inputs!$B$58,AK1&lt;=Inputs!$B$93),AK50*Inputs!$B$64/12,0)</f>
        <v>10384.3814319949</v>
      </c>
      <c r="AL54" s="5" t="n">
        <f aca="false">IF(AND(AL1&gt;Inputs!$B$58,AL1&lt;=Inputs!$B$93),AL50*Inputs!$B$64/12,0)</f>
        <v>10377.462079561</v>
      </c>
      <c r="AM54" s="5" t="n">
        <f aca="false">IF(AND(AM1&gt;Inputs!$B$58,AM1&lt;=Inputs!$B$93),AM50*Inputs!$B$64/12,0)</f>
        <v>10370.5066888333</v>
      </c>
      <c r="AN54" s="5" t="n">
        <f aca="false">IF(AND(AN1&gt;Inputs!$B$58,AN1&lt;=Inputs!$B$93),AN50*Inputs!$B$64/12,0)</f>
        <v>10363.5150721121</v>
      </c>
      <c r="AO54" s="5" t="n">
        <f aca="false">IF(AND(AO1&gt;Inputs!$B$58,AO1&lt;=Inputs!$B$93),AO50*Inputs!$B$64/12,0)</f>
        <v>10356.4870407206</v>
      </c>
      <c r="AP54" s="5" t="n">
        <f aca="false">IF(AND(AP1&gt;Inputs!$B$58,AP1&lt;=Inputs!$B$93),AP50*Inputs!$B$64/12,0)</f>
        <v>10349.4224049988</v>
      </c>
      <c r="AQ54" s="5" t="n">
        <f aca="false">IF(AND(AQ1&gt;Inputs!$B$58,AQ1&lt;=Inputs!$B$93),AQ50*Inputs!$B$64/12,0)</f>
        <v>10342.3209742994</v>
      </c>
      <c r="AR54" s="5" t="n">
        <f aca="false">IF(AND(AR1&gt;Inputs!$B$58,AR1&lt;=Inputs!$B$93),AR50*Inputs!$B$64/12,0)</f>
        <v>10335.1825569817</v>
      </c>
      <c r="AS54" s="5" t="n">
        <f aca="false">IF(AND(AS1&gt;Inputs!$B$58,AS1&lt;=Inputs!$B$93),AS50*Inputs!$B$64/12,0)</f>
        <v>10328.0069604072</v>
      </c>
      <c r="AT54" s="5" t="n">
        <f aca="false">IF(AND(AT1&gt;Inputs!$B$58,AT1&lt;=Inputs!$B$93),AT50*Inputs!$B$64/12,0)</f>
        <v>10320.7939909338</v>
      </c>
      <c r="AU54" s="5" t="n">
        <f aca="false">IF(AND(AU1&gt;Inputs!$B$58,AU1&lt;=Inputs!$B$93),AU50*Inputs!$B$64/12,0)</f>
        <v>10313.5434539111</v>
      </c>
      <c r="AV54" s="5" t="n">
        <f aca="false">IF(AND(AV1&gt;Inputs!$B$58,AV1&lt;=Inputs!$B$93),AV50*Inputs!$B$64/12,0)</f>
        <v>10306.2551536748</v>
      </c>
      <c r="AW54" s="5" t="n">
        <f aca="false">IF(AND(AW1&gt;Inputs!$B$58,AW1&lt;=Inputs!$B$93),AW50*Inputs!$B$64/12,0)</f>
        <v>10298.9288935413</v>
      </c>
      <c r="AX54" s="5" t="n">
        <f aca="false">IF(AND(AX1&gt;Inputs!$B$58,AX1&lt;=Inputs!$B$93),AX50*Inputs!$B$64/12,0)</f>
        <v>10291.5644758031</v>
      </c>
      <c r="AY54" s="5" t="n">
        <f aca="false">IF(AND(AY1&gt;Inputs!$B$58,AY1&lt;=Inputs!$B$93),AY50*Inputs!$B$64/12,0)</f>
        <v>10284.1617017224</v>
      </c>
      <c r="AZ54" s="5" t="n">
        <f aca="false">IF(AND(AZ1&gt;Inputs!$B$58,AZ1&lt;=Inputs!$B$93),AZ50*Inputs!$B$64/12,0)</f>
        <v>10276.7203715267</v>
      </c>
      <c r="BA54" s="5" t="n">
        <f aca="false">IF(AND(BA1&gt;Inputs!$B$58,BA1&lt;=Inputs!$B$93),BA50*Inputs!$B$64/12,0)</f>
        <v>10269.2402844029</v>
      </c>
      <c r="BB54" s="5" t="n">
        <f aca="false">IF(AND(BB1&gt;Inputs!$B$58,BB1&lt;=Inputs!$B$93),BB50*Inputs!$B$64/12,0)</f>
        <v>10261.721238492</v>
      </c>
      <c r="BC54" s="5" t="n">
        <f aca="false">IF(AND(BC1&gt;Inputs!$B$58,BC1&lt;=Inputs!$B$93),BC50*Inputs!$B$64/12,0)</f>
        <v>10254.1630308837</v>
      </c>
      <c r="BD54" s="5" t="n">
        <f aca="false">IF(AND(BD1&gt;Inputs!$B$58,BD1&lt;=Inputs!$B$93),BD50*Inputs!$B$64/12,0)</f>
        <v>10246.5654576108</v>
      </c>
      <c r="BE54" s="5" t="n">
        <f aca="false">IF(AND(BE1&gt;Inputs!$B$58,BE1&lt;=Inputs!$B$93),BE50*Inputs!$B$64/12,0)</f>
        <v>10238.9283136437</v>
      </c>
      <c r="BF54" s="5" t="n">
        <f aca="false">IF(AND(BF1&gt;Inputs!$B$58,BF1&lt;=Inputs!$B$93),BF50*Inputs!$B$64/12,0)</f>
        <v>10231.2513928851</v>
      </c>
      <c r="BG54" s="5" t="n">
        <f aca="false">IF(AND(BG1&gt;Inputs!$B$58,BG1&lt;=Inputs!$B$93),BG50*Inputs!$B$64/12,0)</f>
        <v>10223.5344881642</v>
      </c>
      <c r="BH54" s="5" t="n">
        <f aca="false">IF(AND(BH1&gt;Inputs!$B$58,BH1&lt;=Inputs!$B$93),BH50*Inputs!$B$64/12,0)</f>
        <v>10215.7773912313</v>
      </c>
      <c r="BI54" s="5" t="n">
        <f aca="false">IF(AND(BI1&gt;Inputs!$B$58,BI1&lt;=Inputs!$B$93),BI50*Inputs!$B$64/12,0)</f>
        <v>10207.9798927518</v>
      </c>
      <c r="BJ54" s="5" t="n">
        <f aca="false">IF(AND(BJ1&gt;Inputs!$B$58,BJ1&lt;=Inputs!$B$93),BJ50*Inputs!$B$64/12,0)</f>
        <v>10200.141782301</v>
      </c>
      <c r="BK54" s="5" t="n">
        <f aca="false">IF(AND(BK1&gt;Inputs!$B$58,BK1&lt;=Inputs!$B$93),BK50*Inputs!$B$64/12,0)</f>
        <v>0</v>
      </c>
      <c r="BL54" s="5" t="n">
        <f aca="false">IF(AND(BL1&gt;Inputs!$B$58,BL1&lt;=Inputs!$B$93),BL50*Inputs!$B$64/12,0)</f>
        <v>0</v>
      </c>
      <c r="BM54" s="5" t="n">
        <f aca="false">IF(AND(BM1&gt;Inputs!$B$58,BM1&lt;=Inputs!$B$93),BM50*Inputs!$B$64/12,0)</f>
        <v>0</v>
      </c>
      <c r="BN54" s="5" t="n">
        <f aca="false">IF(AND(BN1&gt;Inputs!$B$58,BN1&lt;=Inputs!$B$93),BN50*Inputs!$B$64/12,0)</f>
        <v>0</v>
      </c>
      <c r="BO54" s="5" t="n">
        <f aca="false">IF(AND(BO1&gt;Inputs!$B$58,BO1&lt;=Inputs!$B$93),BO50*Inputs!$B$64/12,0)</f>
        <v>0</v>
      </c>
      <c r="BP54" s="5" t="n">
        <f aca="false">IF(AND(BP1&gt;Inputs!$B$58,BP1&lt;=Inputs!$B$93),BP50*Inputs!$B$64/12,0)</f>
        <v>0</v>
      </c>
      <c r="BQ54" s="5" t="n">
        <f aca="false">IF(AND(BQ1&gt;Inputs!$B$58,BQ1&lt;=Inputs!$B$93),BQ50*Inputs!$B$64/12,0)</f>
        <v>0</v>
      </c>
      <c r="BR54" s="5" t="n">
        <f aca="false">IF(AND(BR1&gt;Inputs!$B$58,BR1&lt;=Inputs!$B$93),BR50*Inputs!$B$64/12,0)</f>
        <v>0</v>
      </c>
      <c r="BS54" s="5" t="n">
        <f aca="false">IF(AND(BS1&gt;Inputs!$B$58,BS1&lt;=Inputs!$B$93),BS50*Inputs!$B$64/12,0)</f>
        <v>0</v>
      </c>
      <c r="BT54" s="5" t="n">
        <f aca="false">IF(AND(BT1&gt;Inputs!$B$58,BT1&lt;=Inputs!$B$93),BT50*Inputs!$B$64/12,0)</f>
        <v>0</v>
      </c>
      <c r="BU54" s="5" t="n">
        <f aca="false">IF(AND(BU1&gt;Inputs!$B$58,BU1&lt;=Inputs!$B$93),BU50*Inputs!$B$64/12,0)</f>
        <v>0</v>
      </c>
      <c r="BV54" s="5" t="n">
        <f aca="false">IF(AND(BV1&gt;Inputs!$B$58,BV1&lt;=Inputs!$B$93),BV50*Inputs!$B$64/12,0)</f>
        <v>0</v>
      </c>
      <c r="BW54" s="5" t="n">
        <f aca="false">IF(AND(BW1&gt;Inputs!$B$58,BW1&lt;=Inputs!$B$93),BW50*Inputs!$B$64/12,0)</f>
        <v>0</v>
      </c>
      <c r="BX54" s="5" t="n">
        <f aca="false">IF(AND(BX1&gt;Inputs!$B$58,BX1&lt;=Inputs!$B$93),BX50*Inputs!$B$64/12,0)</f>
        <v>0</v>
      </c>
      <c r="BY54" s="5" t="n">
        <f aca="false">IF(AND(BY1&gt;Inputs!$B$58,BY1&lt;=Inputs!$B$93),BY50*Inputs!$B$64/12,0)</f>
        <v>0</v>
      </c>
      <c r="BZ54" s="5" t="n">
        <f aca="false">IF(AND(BZ1&gt;Inputs!$B$58,BZ1&lt;=Inputs!$B$93),BZ50*Inputs!$B$64/12,0)</f>
        <v>0</v>
      </c>
      <c r="CA54" s="5" t="n">
        <f aca="false">IF(AND(CA1&gt;Inputs!$B$58,CA1&lt;=Inputs!$B$93),CA50*Inputs!$B$64/12,0)</f>
        <v>0</v>
      </c>
      <c r="CB54" s="5" t="n">
        <f aca="false">IF(AND(CB1&gt;Inputs!$B$58,CB1&lt;=Inputs!$B$93),CB50*Inputs!$B$64/12,0)</f>
        <v>0</v>
      </c>
      <c r="CC54" s="5" t="n">
        <f aca="false">IF(AND(CC1&gt;Inputs!$B$58,CC1&lt;=Inputs!$B$93),CC50*Inputs!$B$64/12,0)</f>
        <v>0</v>
      </c>
      <c r="CD54" s="5" t="n">
        <f aca="false">IF(AND(CD1&gt;Inputs!$B$58,CD1&lt;=Inputs!$B$93),CD50*Inputs!$B$64/12,0)</f>
        <v>0</v>
      </c>
      <c r="CE54" s="5" t="n">
        <f aca="false">IF(AND(CE1&gt;Inputs!$B$58,CE1&lt;=Inputs!$B$93),CE50*Inputs!$B$64/12,0)</f>
        <v>0</v>
      </c>
      <c r="CF54" s="5" t="n">
        <f aca="false">IF(AND(CF1&gt;Inputs!$B$58,CF1&lt;=Inputs!$B$93),CF50*Inputs!$B$64/12,0)</f>
        <v>0</v>
      </c>
      <c r="CG54" s="5" t="n">
        <f aca="false">IF(AND(CG1&gt;Inputs!$B$58,CG1&lt;=Inputs!$B$93),CG50*Inputs!$B$64/12,0)</f>
        <v>0</v>
      </c>
      <c r="CH54" s="5" t="n">
        <f aca="false">IF(AND(CH1&gt;Inputs!$B$58,CH1&lt;=Inputs!$B$93),CH50*Inputs!$B$64/12,0)</f>
        <v>0</v>
      </c>
      <c r="CI54" s="5" t="n">
        <f aca="false">IF(AND(CI1&gt;Inputs!$B$58,CI1&lt;=Inputs!$B$93),CI50*Inputs!$B$64/12,0)</f>
        <v>0</v>
      </c>
      <c r="CJ54" s="5" t="n">
        <f aca="false">IF(AND(CJ1&gt;Inputs!$B$58,CJ1&lt;=Inputs!$B$93),CJ50*Inputs!$B$64/12,0)</f>
        <v>0</v>
      </c>
      <c r="CK54" s="5" t="n">
        <f aca="false">IF(AND(CK1&gt;Inputs!$B$58,CK1&lt;=Inputs!$B$93),CK50*Inputs!$B$64/12,0)</f>
        <v>0</v>
      </c>
      <c r="CL54" s="5" t="n">
        <f aca="false">IF(AND(CL1&gt;Inputs!$B$58,CL1&lt;=Inputs!$B$93),CL50*Inputs!$B$64/12,0)</f>
        <v>0</v>
      </c>
      <c r="CM54" s="5" t="n">
        <f aca="false">IF(AND(CM1&gt;Inputs!$B$58,CM1&lt;=Inputs!$B$93),CM50*Inputs!$B$64/12,0)</f>
        <v>0</v>
      </c>
      <c r="CN54" s="5" t="n">
        <f aca="false">IF(AND(CN1&gt;Inputs!$B$58,CN1&lt;=Inputs!$B$93),CN50*Inputs!$B$64/12,0)</f>
        <v>0</v>
      </c>
      <c r="CO54" s="5" t="n">
        <f aca="false">IF(AND(CO1&gt;Inputs!$B$58,CO1&lt;=Inputs!$B$93),CO50*Inputs!$B$64/12,0)</f>
        <v>0</v>
      </c>
      <c r="CP54" s="5" t="n">
        <f aca="false">IF(AND(CP1&gt;Inputs!$B$58,CP1&lt;=Inputs!$B$93),CP50*Inputs!$B$64/12,0)</f>
        <v>0</v>
      </c>
      <c r="CQ54" s="5" t="n">
        <f aca="false">IF(AND(CQ1&gt;Inputs!$B$58,CQ1&lt;=Inputs!$B$93),CQ50*Inputs!$B$64/12,0)</f>
        <v>0</v>
      </c>
      <c r="CR54" s="5" t="n">
        <f aca="false">IF(AND(CR1&gt;Inputs!$B$58,CR1&lt;=Inputs!$B$93),CR50*Inputs!$B$64/12,0)</f>
        <v>0</v>
      </c>
      <c r="CS54" s="5" t="n">
        <f aca="false">IF(AND(CS1&gt;Inputs!$B$58,CS1&lt;=Inputs!$B$93),CS50*Inputs!$B$64/12,0)</f>
        <v>0</v>
      </c>
      <c r="CT54" s="5" t="n">
        <f aca="false">IF(AND(CT1&gt;Inputs!$B$58,CT1&lt;=Inputs!$B$93),CT50*Inputs!$B$64/12,0)</f>
        <v>0</v>
      </c>
    </row>
    <row r="55" customFormat="false" ht="15" hidden="false" customHeight="false" outlineLevel="0" collapsed="false">
      <c r="B55" s="2" t="s">
        <v>191</v>
      </c>
      <c r="C55" s="5" t="n">
        <f aca="false">C50-C53</f>
        <v>0</v>
      </c>
      <c r="D55" s="5" t="n">
        <f aca="false">D50-D53</f>
        <v>0</v>
      </c>
      <c r="E55" s="5" t="n">
        <f aca="false">E50-E53</f>
        <v>0</v>
      </c>
      <c r="F55" s="5" t="n">
        <f aca="false">F50-F53</f>
        <v>0</v>
      </c>
      <c r="G55" s="5" t="n">
        <f aca="false">G50-G53</f>
        <v>0</v>
      </c>
      <c r="H55" s="5" t="n">
        <f aca="false">H50-H53</f>
        <v>0</v>
      </c>
      <c r="I55" s="5" t="n">
        <f aca="false">I50-I53</f>
        <v>0</v>
      </c>
      <c r="J55" s="5" t="n">
        <f aca="false">J50-J53</f>
        <v>0</v>
      </c>
      <c r="K55" s="5" t="n">
        <f aca="false">K50-K53</f>
        <v>0</v>
      </c>
      <c r="L55" s="5" t="n">
        <f aca="false">L50-L53</f>
        <v>0</v>
      </c>
      <c r="M55" s="5" t="n">
        <f aca="false">M50-M53</f>
        <v>0</v>
      </c>
      <c r="N55" s="5" t="n">
        <f aca="false">N50-N53</f>
        <v>0</v>
      </c>
      <c r="O55" s="5" t="n">
        <f aca="false">O50-O53</f>
        <v>0</v>
      </c>
      <c r="P55" s="5" t="n">
        <f aca="false">P50-P53</f>
        <v>0</v>
      </c>
      <c r="Q55" s="5" t="n">
        <f aca="false">Q50-Q53</f>
        <v>0</v>
      </c>
      <c r="R55" s="5" t="n">
        <f aca="false">R50-R53</f>
        <v>0</v>
      </c>
      <c r="S55" s="5" t="n">
        <f aca="false">S50-S53</f>
        <v>0</v>
      </c>
      <c r="T55" s="5" t="n">
        <f aca="false">T50-T53</f>
        <v>0</v>
      </c>
      <c r="U55" s="5" t="n">
        <f aca="false">U50-U53</f>
        <v>0</v>
      </c>
      <c r="V55" s="5" t="n">
        <f aca="false">V50-V53</f>
        <v>0</v>
      </c>
      <c r="W55" s="5" t="n">
        <f aca="false">W50-W53</f>
        <v>0</v>
      </c>
      <c r="X55" s="5" t="n">
        <f aca="false">X50-X53</f>
        <v>0</v>
      </c>
      <c r="Y55" s="5" t="n">
        <f aca="false">Y50-Y53</f>
        <v>0</v>
      </c>
      <c r="Z55" s="5" t="n">
        <f aca="false">Z50-Z53</f>
        <v>0</v>
      </c>
      <c r="AA55" s="5" t="n">
        <f aca="false">AA50-AA53</f>
        <v>0</v>
      </c>
      <c r="AB55" s="5" t="n">
        <f aca="false">AB50-AB53</f>
        <v>0</v>
      </c>
      <c r="AC55" s="5" t="n">
        <f aca="false">AC50-AC53</f>
        <v>0</v>
      </c>
      <c r="AD55" s="5" t="n">
        <f aca="false">AD50-AD53</f>
        <v>0</v>
      </c>
      <c r="AE55" s="5" t="n">
        <f aca="false">AE50-AE53</f>
        <v>0</v>
      </c>
      <c r="AF55" s="5" t="n">
        <f aca="false">AF50-AF53</f>
        <v>0</v>
      </c>
      <c r="AG55" s="5" t="n">
        <f aca="false">AG50-AG53</f>
        <v>0</v>
      </c>
      <c r="AH55" s="5" t="n">
        <f aca="false">AH50-AH53</f>
        <v>0</v>
      </c>
      <c r="AI55" s="5" t="n">
        <f aca="false">AI50-AI53</f>
        <v>0</v>
      </c>
      <c r="AJ55" s="5" t="n">
        <f aca="false">AJ50-AJ53</f>
        <v>49845030.8735754</v>
      </c>
      <c r="AK55" s="5" t="n">
        <f aca="false">AK50-AK53</f>
        <v>49811817.981893</v>
      </c>
      <c r="AL55" s="5" t="n">
        <f aca="false">AL50-AL53</f>
        <v>49778432.1063997</v>
      </c>
      <c r="AM55" s="5" t="n">
        <f aca="false">AM50-AM53</f>
        <v>49744872.3461382</v>
      </c>
      <c r="AN55" s="5" t="n">
        <f aca="false">AN50-AN53</f>
        <v>49711137.7954587</v>
      </c>
      <c r="AO55" s="5" t="n">
        <f aca="false">AO50-AO53</f>
        <v>49677227.5439944</v>
      </c>
      <c r="AP55" s="5" t="n">
        <f aca="false">AP50-AP53</f>
        <v>49643140.6766371</v>
      </c>
      <c r="AQ55" s="5" t="n">
        <f aca="false">AQ50-AQ53</f>
        <v>49608876.2735123</v>
      </c>
      <c r="AR55" s="5" t="n">
        <f aca="false">AR50-AR53</f>
        <v>49574433.4099545</v>
      </c>
      <c r="AS55" s="5" t="n">
        <f aca="false">AS50-AS53</f>
        <v>49539811.1564824</v>
      </c>
      <c r="AT55" s="5" t="n">
        <f aca="false">AT50-AT53</f>
        <v>49505008.5787734</v>
      </c>
      <c r="AU55" s="5" t="n">
        <f aca="false">AU50-AU53</f>
        <v>49470024.7376389</v>
      </c>
      <c r="AV55" s="5" t="n">
        <f aca="false">AV50-AV53</f>
        <v>49434858.6889984</v>
      </c>
      <c r="AW55" s="5" t="n">
        <f aca="false">AW50-AW53</f>
        <v>49399509.4838547</v>
      </c>
      <c r="AX55" s="5" t="n">
        <f aca="false">AX50-AX53</f>
        <v>49363976.1682674</v>
      </c>
      <c r="AY55" s="5" t="n">
        <f aca="false">AY50-AY53</f>
        <v>49328257.7833282</v>
      </c>
      <c r="AZ55" s="5" t="n">
        <f aca="false">AZ50-AZ53</f>
        <v>49292353.3651341</v>
      </c>
      <c r="BA55" s="5" t="n">
        <f aca="false">BA50-BA53</f>
        <v>49256261.9447618</v>
      </c>
      <c r="BB55" s="5" t="n">
        <f aca="false">BB50-BB53</f>
        <v>49219982.5482418</v>
      </c>
      <c r="BC55" s="5" t="n">
        <f aca="false">BC50-BC53</f>
        <v>49183514.1965316</v>
      </c>
      <c r="BD55" s="5" t="n">
        <f aca="false">BD50-BD53</f>
        <v>49146855.9054896</v>
      </c>
      <c r="BE55" s="5" t="n">
        <f aca="false">BE50-BE53</f>
        <v>49110006.6858484</v>
      </c>
      <c r="BF55" s="5" t="n">
        <f aca="false">BF50-BF53</f>
        <v>49072965.5431882</v>
      </c>
      <c r="BG55" s="5" t="n">
        <f aca="false">BG50-BG53</f>
        <v>49035731.47791</v>
      </c>
      <c r="BH55" s="5" t="n">
        <f aca="false">BH50-BH53</f>
        <v>48998303.4852085</v>
      </c>
      <c r="BI55" s="5" t="n">
        <f aca="false">BI50-BI53</f>
        <v>48960680.555045</v>
      </c>
      <c r="BJ55" s="5" t="n">
        <f aca="false">BJ50-BJ53</f>
        <v>48922861.6721202</v>
      </c>
      <c r="BK55" s="5" t="n">
        <f aca="false">BK50-BK53</f>
        <v>48922861.6721202</v>
      </c>
      <c r="BL55" s="5" t="n">
        <f aca="false">BL50-BL53</f>
        <v>48922861.6721202</v>
      </c>
      <c r="BM55" s="5" t="n">
        <f aca="false">BM50-BM53</f>
        <v>48922861.6721202</v>
      </c>
      <c r="BN55" s="5" t="n">
        <f aca="false">BN50-BN53</f>
        <v>48922861.6721202</v>
      </c>
      <c r="BO55" s="5" t="n">
        <f aca="false">BO50-BO53</f>
        <v>48922861.6721202</v>
      </c>
      <c r="BP55" s="5" t="n">
        <f aca="false">BP50-BP53</f>
        <v>48922861.6721202</v>
      </c>
      <c r="BQ55" s="5" t="n">
        <f aca="false">BQ50-BQ53</f>
        <v>48922861.6721202</v>
      </c>
      <c r="BR55" s="5" t="n">
        <f aca="false">BR50-BR53</f>
        <v>48922861.6721202</v>
      </c>
      <c r="BS55" s="5" t="n">
        <f aca="false">BS50-BS53</f>
        <v>48922861.6721202</v>
      </c>
      <c r="BT55" s="5" t="n">
        <f aca="false">BT50-BT53</f>
        <v>48922861.6721202</v>
      </c>
      <c r="BU55" s="5" t="n">
        <f aca="false">BU50-BU53</f>
        <v>48922861.6721202</v>
      </c>
      <c r="BV55" s="5" t="n">
        <f aca="false">BV50-BV53</f>
        <v>48922861.6721202</v>
      </c>
      <c r="BW55" s="5" t="n">
        <f aca="false">BW50-BW53</f>
        <v>48922861.6721202</v>
      </c>
      <c r="BX55" s="5" t="n">
        <f aca="false">BX50-BX53</f>
        <v>48922861.6721202</v>
      </c>
      <c r="BY55" s="5" t="n">
        <f aca="false">BY50-BY53</f>
        <v>48922861.6721202</v>
      </c>
      <c r="BZ55" s="5" t="n">
        <f aca="false">BZ50-BZ53</f>
        <v>48922861.6721202</v>
      </c>
      <c r="CA55" s="5" t="n">
        <f aca="false">CA50-CA53</f>
        <v>48922861.6721202</v>
      </c>
      <c r="CB55" s="5" t="n">
        <f aca="false">CB50-CB53</f>
        <v>48922861.6721202</v>
      </c>
      <c r="CC55" s="5" t="n">
        <f aca="false">CC50-CC53</f>
        <v>48922861.6721202</v>
      </c>
      <c r="CD55" s="5" t="n">
        <f aca="false">CD50-CD53</f>
        <v>48922861.6721202</v>
      </c>
      <c r="CE55" s="5" t="n">
        <f aca="false">CE50-CE53</f>
        <v>48922861.6721202</v>
      </c>
      <c r="CF55" s="5" t="n">
        <f aca="false">CF50-CF53</f>
        <v>48922861.6721202</v>
      </c>
      <c r="CG55" s="5" t="n">
        <f aca="false">CG50-CG53</f>
        <v>48922861.6721202</v>
      </c>
      <c r="CH55" s="5" t="n">
        <f aca="false">CH50-CH53</f>
        <v>48922861.6721202</v>
      </c>
      <c r="CI55" s="5" t="n">
        <f aca="false">CI50-CI53</f>
        <v>48922861.6721202</v>
      </c>
      <c r="CJ55" s="5" t="n">
        <f aca="false">CJ50-CJ53</f>
        <v>48922861.6721202</v>
      </c>
      <c r="CK55" s="5" t="n">
        <f aca="false">CK50-CK53</f>
        <v>48922861.6721202</v>
      </c>
      <c r="CL55" s="5" t="n">
        <f aca="false">CL50-CL53</f>
        <v>48922861.6721202</v>
      </c>
      <c r="CM55" s="5" t="n">
        <f aca="false">CM50-CM53</f>
        <v>48922861.6721202</v>
      </c>
      <c r="CN55" s="5" t="n">
        <f aca="false">CN50-CN53</f>
        <v>48922861.6721202</v>
      </c>
      <c r="CO55" s="5" t="n">
        <f aca="false">CO50-CO53</f>
        <v>48922861.6721202</v>
      </c>
      <c r="CP55" s="5" t="n">
        <f aca="false">CP50-CP53</f>
        <v>48922861.6721202</v>
      </c>
      <c r="CQ55" s="5" t="n">
        <f aca="false">CQ50-CQ53</f>
        <v>48922861.6721202</v>
      </c>
      <c r="CR55" s="5" t="n">
        <f aca="false">CR50-CR53</f>
        <v>48922861.6721202</v>
      </c>
      <c r="CS55" s="5" t="n">
        <f aca="false">CS50-CS53</f>
        <v>48922861.6721202</v>
      </c>
      <c r="CT55" s="5" t="n">
        <f aca="false">CT50-CT53</f>
        <v>48922861.6721202</v>
      </c>
    </row>
    <row r="56" customFormat="false" ht="15" hidden="false" customHeight="false" outlineLevel="0" collapsed="false">
      <c r="B56" s="26" t="s">
        <v>192</v>
      </c>
      <c r="C56" s="5" t="n">
        <f aca="false">IF(AND(Inputs!$B$69="Sell",C1=Inputs!$B$70),-C55,0)</f>
        <v>0</v>
      </c>
      <c r="D56" s="5" t="n">
        <f aca="false">IF(AND(Inputs!$B$69="Sell",D1=Inputs!$B$70),-D55,0)</f>
        <v>0</v>
      </c>
      <c r="E56" s="5" t="n">
        <f aca="false">IF(AND(Inputs!$B$69="Sell",E1=Inputs!$B$70),-E55,0)</f>
        <v>0</v>
      </c>
      <c r="F56" s="5" t="n">
        <f aca="false">IF(AND(Inputs!$B$69="Sell",F1=Inputs!$B$70),-F55,0)</f>
        <v>0</v>
      </c>
      <c r="G56" s="5" t="n">
        <f aca="false">IF(AND(Inputs!$B$69="Sell",G1=Inputs!$B$70),-G55,0)</f>
        <v>0</v>
      </c>
      <c r="H56" s="5" t="n">
        <f aca="false">IF(AND(Inputs!$B$69="Sell",H1=Inputs!$B$70),-H55,0)</f>
        <v>0</v>
      </c>
      <c r="I56" s="5" t="n">
        <f aca="false">IF(AND(Inputs!$B$69="Sell",I1=Inputs!$B$70),-I55,0)</f>
        <v>0</v>
      </c>
      <c r="J56" s="5" t="n">
        <f aca="false">IF(AND(Inputs!$B$69="Sell",J1=Inputs!$B$70),-J55,0)</f>
        <v>0</v>
      </c>
      <c r="K56" s="5" t="n">
        <f aca="false">IF(AND(Inputs!$B$69="Sell",K1=Inputs!$B$70),-K55,0)</f>
        <v>0</v>
      </c>
      <c r="L56" s="5" t="n">
        <f aca="false">IF(AND(Inputs!$B$69="Sell",L1=Inputs!$B$70),-L55,0)</f>
        <v>0</v>
      </c>
      <c r="M56" s="5" t="n">
        <f aca="false">IF(AND(Inputs!$B$69="Sell",M1=Inputs!$B$70),-M55,0)</f>
        <v>0</v>
      </c>
      <c r="N56" s="5" t="n">
        <f aca="false">IF(AND(Inputs!$B$69="Sell",N1=Inputs!$B$70),-N55,0)</f>
        <v>0</v>
      </c>
      <c r="O56" s="5" t="n">
        <f aca="false">IF(AND(Inputs!$B$69="Sell",O1=Inputs!$B$70),-O55,0)</f>
        <v>0</v>
      </c>
      <c r="P56" s="5" t="n">
        <f aca="false">IF(AND(Inputs!$B$69="Sell",P1=Inputs!$B$70),-P55,0)</f>
        <v>0</v>
      </c>
      <c r="Q56" s="5" t="n">
        <f aca="false">IF(AND(Inputs!$B$69="Sell",Q1=Inputs!$B$70),-Q55,0)</f>
        <v>0</v>
      </c>
      <c r="R56" s="5" t="n">
        <f aca="false">IF(AND(Inputs!$B$69="Sell",R1=Inputs!$B$70),-R55,0)</f>
        <v>0</v>
      </c>
      <c r="S56" s="5" t="n">
        <f aca="false">IF(AND(Inputs!$B$69="Sell",S1=Inputs!$B$70),-S55,0)</f>
        <v>0</v>
      </c>
      <c r="T56" s="5" t="n">
        <f aca="false">IF(AND(Inputs!$B$69="Sell",T1=Inputs!$B$70),-T55,0)</f>
        <v>0</v>
      </c>
      <c r="U56" s="5" t="n">
        <f aca="false">IF(AND(Inputs!$B$69="Sell",U1=Inputs!$B$70),-U55,0)</f>
        <v>0</v>
      </c>
      <c r="V56" s="5" t="n">
        <f aca="false">IF(AND(Inputs!$B$69="Sell",V1=Inputs!$B$70),-V55,0)</f>
        <v>0</v>
      </c>
      <c r="W56" s="5" t="n">
        <f aca="false">IF(AND(Inputs!$B$69="Sell",W1=Inputs!$B$70),-W55,0)</f>
        <v>0</v>
      </c>
      <c r="X56" s="5" t="n">
        <f aca="false">IF(AND(Inputs!$B$69="Sell",X1=Inputs!$B$70),-X55,0)</f>
        <v>0</v>
      </c>
      <c r="Y56" s="5" t="n">
        <f aca="false">IF(AND(Inputs!$B$69="Sell",Y1=Inputs!$B$70),-Y55,0)</f>
        <v>0</v>
      </c>
      <c r="Z56" s="5" t="n">
        <f aca="false">IF(AND(Inputs!$B$69="Sell",Z1=Inputs!$B$70),-Z55,0)</f>
        <v>0</v>
      </c>
      <c r="AA56" s="5" t="n">
        <f aca="false">IF(AND(Inputs!$B$69="Sell",AA1=Inputs!$B$70),-AA55,0)</f>
        <v>0</v>
      </c>
      <c r="AB56" s="5" t="n">
        <f aca="false">IF(AND(Inputs!$B$69="Sell",AB1=Inputs!$B$70),-AB55,0)</f>
        <v>0</v>
      </c>
      <c r="AC56" s="5" t="n">
        <f aca="false">IF(AND(Inputs!$B$69="Sell",AC1=Inputs!$B$70),-AC55,0)</f>
        <v>0</v>
      </c>
      <c r="AD56" s="5" t="n">
        <f aca="false">IF(AND(Inputs!$B$69="Sell",AD1=Inputs!$B$70),-AD55,0)</f>
        <v>0</v>
      </c>
      <c r="AE56" s="5" t="n">
        <f aca="false">IF(AND(Inputs!$B$69="Sell",AE1=Inputs!$B$70),-AE55,0)</f>
        <v>0</v>
      </c>
      <c r="AF56" s="5" t="n">
        <f aca="false">IF(AND(Inputs!$B$69="Sell",AF1=Inputs!$B$70),-AF55,0)</f>
        <v>0</v>
      </c>
      <c r="AG56" s="5" t="n">
        <f aca="false">IF(AND(Inputs!$B$69="Sell",AG1=Inputs!$B$70),-AG55,0)</f>
        <v>0</v>
      </c>
      <c r="AH56" s="5" t="n">
        <f aca="false">IF(AND(Inputs!$B$69="Sell",AH1=Inputs!$B$70),-AH55,0)</f>
        <v>0</v>
      </c>
      <c r="AI56" s="5" t="n">
        <f aca="false">IF(AND(Inputs!$B$69="Sell",AI1=Inputs!$B$70),-AI55,0)</f>
        <v>0</v>
      </c>
      <c r="AJ56" s="5" t="n">
        <f aca="false">IF(AND(Inputs!$B$69="Sell",AJ1=Inputs!$B$70),-AJ55,0)</f>
        <v>0</v>
      </c>
      <c r="AK56" s="5" t="n">
        <f aca="false">IF(AND(Inputs!$B$69="Sell",AK1=Inputs!$B$70),-AK55,0)</f>
        <v>0</v>
      </c>
      <c r="AL56" s="5" t="n">
        <f aca="false">IF(AND(Inputs!$B$69="Sell",AL1=Inputs!$B$70),-AL55,0)</f>
        <v>0</v>
      </c>
      <c r="AM56" s="5" t="n">
        <f aca="false">IF(AND(Inputs!$B$69="Sell",AM1=Inputs!$B$70),-AM55,0)</f>
        <v>0</v>
      </c>
      <c r="AN56" s="5" t="n">
        <f aca="false">IF(AND(Inputs!$B$69="Sell",AN1=Inputs!$B$70),-AN55,0)</f>
        <v>0</v>
      </c>
      <c r="AO56" s="5" t="n">
        <f aca="false">IF(AND(Inputs!$B$69="Sell",AO1=Inputs!$B$70),-AO55,0)</f>
        <v>0</v>
      </c>
      <c r="AP56" s="5" t="n">
        <f aca="false">IF(AND(Inputs!$B$69="Sell",AP1=Inputs!$B$70),-AP55,0)</f>
        <v>0</v>
      </c>
      <c r="AQ56" s="5" t="n">
        <f aca="false">IF(AND(Inputs!$B$69="Sell",AQ1=Inputs!$B$70),-AQ55,0)</f>
        <v>0</v>
      </c>
      <c r="AR56" s="5" t="n">
        <f aca="false">IF(AND(Inputs!$B$69="Sell",AR1=Inputs!$B$70),-AR55,0)</f>
        <v>0</v>
      </c>
      <c r="AS56" s="5" t="n">
        <f aca="false">IF(AND(Inputs!$B$69="Sell",AS1=Inputs!$B$70),-AS55,0)</f>
        <v>0</v>
      </c>
      <c r="AT56" s="5" t="n">
        <f aca="false">IF(AND(Inputs!$B$69="Sell",AT1=Inputs!$B$70),-AT55,0)</f>
        <v>0</v>
      </c>
      <c r="AU56" s="5" t="n">
        <f aca="false">IF(AND(Inputs!$B$69="Sell",AU1=Inputs!$B$70),-AU55,0)</f>
        <v>0</v>
      </c>
      <c r="AV56" s="5" t="n">
        <f aca="false">IF(AND(Inputs!$B$69="Sell",AV1=Inputs!$B$70),-AV55,0)</f>
        <v>0</v>
      </c>
      <c r="AW56" s="5" t="n">
        <f aca="false">IF(AND(Inputs!$B$69="Sell",AW1=Inputs!$B$70),-AW55,0)</f>
        <v>0</v>
      </c>
      <c r="AX56" s="5" t="n">
        <f aca="false">IF(AND(Inputs!$B$69="Sell",AX1=Inputs!$B$70),-AX55,0)</f>
        <v>0</v>
      </c>
      <c r="AY56" s="5" t="n">
        <f aca="false">IF(AND(Inputs!$B$69="Sell",AY1=Inputs!$B$70),-AY55,0)</f>
        <v>0</v>
      </c>
      <c r="AZ56" s="5" t="n">
        <f aca="false">IF(AND(Inputs!$B$69="Sell",AZ1=Inputs!$B$70),-AZ55,0)</f>
        <v>0</v>
      </c>
      <c r="BA56" s="5" t="n">
        <f aca="false">IF(AND(Inputs!$B$69="Sell",BA1=Inputs!$B$70),-BA55,0)</f>
        <v>0</v>
      </c>
      <c r="BB56" s="5" t="n">
        <f aca="false">IF(AND(Inputs!$B$69="Sell",BB1=Inputs!$B$70),-BB55,0)</f>
        <v>0</v>
      </c>
      <c r="BC56" s="5" t="n">
        <f aca="false">IF(AND(Inputs!$B$69="Sell",BC1=Inputs!$B$70),-BC55,0)</f>
        <v>0</v>
      </c>
      <c r="BD56" s="5" t="n">
        <f aca="false">IF(AND(Inputs!$B$69="Sell",BD1=Inputs!$B$70),-BD55,0)</f>
        <v>0</v>
      </c>
      <c r="BE56" s="5" t="n">
        <f aca="false">IF(AND(Inputs!$B$69="Sell",BE1=Inputs!$B$70),-BE55,0)</f>
        <v>0</v>
      </c>
      <c r="BF56" s="5" t="n">
        <f aca="false">IF(AND(Inputs!$B$69="Sell",BF1=Inputs!$B$70),-BF55,0)</f>
        <v>0</v>
      </c>
      <c r="BG56" s="5" t="n">
        <f aca="false">IF(AND(Inputs!$B$69="Sell",BG1=Inputs!$B$70),-BG55,0)</f>
        <v>0</v>
      </c>
      <c r="BH56" s="5" t="n">
        <f aca="false">IF(AND(Inputs!$B$69="Sell",BH1=Inputs!$B$70),-BH55,0)</f>
        <v>0</v>
      </c>
      <c r="BI56" s="5" t="n">
        <f aca="false">IF(AND(Inputs!$B$69="Sell",BI1=Inputs!$B$70),-BI55,0)</f>
        <v>0</v>
      </c>
      <c r="BJ56" s="5" t="n">
        <f aca="false">IF(AND(Inputs!$B$69="Sell",BJ1=Inputs!$B$70),-BJ55,0)</f>
        <v>-48922861.6721202</v>
      </c>
      <c r="BK56" s="5" t="n">
        <f aca="false">IF(AND(Inputs!$B$69="Sell",BK1=Inputs!$B$70),-BK55,0)</f>
        <v>0</v>
      </c>
      <c r="BL56" s="5" t="n">
        <f aca="false">IF(AND(Inputs!$B$69="Sell",BL1=Inputs!$B$70),-BL55,0)</f>
        <v>0</v>
      </c>
      <c r="BM56" s="5" t="n">
        <f aca="false">IF(AND(Inputs!$B$69="Sell",BM1=Inputs!$B$70),-BM55,0)</f>
        <v>0</v>
      </c>
      <c r="BN56" s="5" t="n">
        <f aca="false">IF(AND(Inputs!$B$69="Sell",BN1=Inputs!$B$70),-BN55,0)</f>
        <v>0</v>
      </c>
      <c r="BO56" s="5" t="n">
        <f aca="false">IF(AND(Inputs!$B$69="Sell",BO1=Inputs!$B$70),-BO55,0)</f>
        <v>0</v>
      </c>
      <c r="BP56" s="5" t="n">
        <f aca="false">IF(AND(Inputs!$B$69="Sell",BP1=Inputs!$B$70),-BP55,0)</f>
        <v>0</v>
      </c>
      <c r="BQ56" s="5" t="n">
        <f aca="false">IF(AND(Inputs!$B$69="Sell",BQ1=Inputs!$B$70),-BQ55,0)</f>
        <v>0</v>
      </c>
      <c r="BR56" s="5" t="n">
        <f aca="false">IF(AND(Inputs!$B$69="Sell",BR1=Inputs!$B$70),-BR55,0)</f>
        <v>0</v>
      </c>
      <c r="BS56" s="5" t="n">
        <f aca="false">IF(AND(Inputs!$B$69="Sell",BS1=Inputs!$B$70),-BS55,0)</f>
        <v>0</v>
      </c>
      <c r="BT56" s="5" t="n">
        <f aca="false">IF(AND(Inputs!$B$69="Sell",BT1=Inputs!$B$70),-BT55,0)</f>
        <v>0</v>
      </c>
      <c r="BU56" s="5" t="n">
        <f aca="false">IF(AND(Inputs!$B$69="Sell",BU1=Inputs!$B$70),-BU55,0)</f>
        <v>0</v>
      </c>
      <c r="BV56" s="5" t="n">
        <f aca="false">IF(AND(Inputs!$B$69="Sell",BV1=Inputs!$B$70),-BV55,0)</f>
        <v>0</v>
      </c>
      <c r="BW56" s="5" t="n">
        <f aca="false">IF(AND(Inputs!$B$69="Sell",BW1=Inputs!$B$70),-BW55,0)</f>
        <v>0</v>
      </c>
      <c r="BX56" s="5" t="n">
        <f aca="false">IF(AND(Inputs!$B$69="Sell",BX1=Inputs!$B$70),-BX55,0)</f>
        <v>0</v>
      </c>
      <c r="BY56" s="5" t="n">
        <f aca="false">IF(AND(Inputs!$B$69="Sell",BY1=Inputs!$B$70),-BY55,0)</f>
        <v>0</v>
      </c>
      <c r="BZ56" s="5" t="n">
        <f aca="false">IF(AND(Inputs!$B$69="Sell",BZ1=Inputs!$B$70),-BZ55,0)</f>
        <v>0</v>
      </c>
      <c r="CA56" s="5" t="n">
        <f aca="false">IF(AND(Inputs!$B$69="Sell",CA1=Inputs!$B$70),-CA55,0)</f>
        <v>0</v>
      </c>
      <c r="CB56" s="5" t="n">
        <f aca="false">IF(AND(Inputs!$B$69="Sell",CB1=Inputs!$B$70),-CB55,0)</f>
        <v>0</v>
      </c>
      <c r="CC56" s="5" t="n">
        <f aca="false">IF(AND(Inputs!$B$69="Sell",CC1=Inputs!$B$70),-CC55,0)</f>
        <v>0</v>
      </c>
      <c r="CD56" s="5" t="n">
        <f aca="false">IF(AND(Inputs!$B$69="Sell",CD1=Inputs!$B$70),-CD55,0)</f>
        <v>0</v>
      </c>
      <c r="CE56" s="5" t="n">
        <f aca="false">IF(AND(Inputs!$B$69="Sell",CE1=Inputs!$B$70),-CE55,0)</f>
        <v>0</v>
      </c>
      <c r="CF56" s="5" t="n">
        <f aca="false">IF(AND(Inputs!$B$69="Sell",CF1=Inputs!$B$70),-CF55,0)</f>
        <v>0</v>
      </c>
      <c r="CG56" s="5" t="n">
        <f aca="false">IF(AND(Inputs!$B$69="Sell",CG1=Inputs!$B$70),-CG55,0)</f>
        <v>0</v>
      </c>
      <c r="CH56" s="5" t="n">
        <f aca="false">IF(AND(Inputs!$B$69="Sell",CH1=Inputs!$B$70),-CH55,0)</f>
        <v>0</v>
      </c>
      <c r="CI56" s="5" t="n">
        <f aca="false">IF(AND(Inputs!$B$69="Sell",CI1=Inputs!$B$70),-CI55,0)</f>
        <v>0</v>
      </c>
      <c r="CJ56" s="5" t="n">
        <f aca="false">IF(AND(Inputs!$B$69="Sell",CJ1=Inputs!$B$70),-CJ55,0)</f>
        <v>0</v>
      </c>
      <c r="CK56" s="5" t="n">
        <f aca="false">IF(AND(Inputs!$B$69="Sell",CK1=Inputs!$B$70),-CK55,0)</f>
        <v>0</v>
      </c>
      <c r="CL56" s="5" t="n">
        <f aca="false">IF(AND(Inputs!$B$69="Sell",CL1=Inputs!$B$70),-CL55,0)</f>
        <v>0</v>
      </c>
      <c r="CM56" s="5" t="n">
        <f aca="false">IF(AND(Inputs!$B$69="Sell",CM1=Inputs!$B$70),-CM55,0)</f>
        <v>0</v>
      </c>
      <c r="CN56" s="5" t="n">
        <f aca="false">IF(AND(Inputs!$B$69="Sell",CN1=Inputs!$B$70),-CN55,0)</f>
        <v>0</v>
      </c>
      <c r="CO56" s="5" t="n">
        <f aca="false">IF(AND(Inputs!$B$69="Sell",CO1=Inputs!$B$70),-CO55,0)</f>
        <v>0</v>
      </c>
      <c r="CP56" s="5" t="n">
        <f aca="false">IF(AND(Inputs!$B$69="Sell",CP1=Inputs!$B$70),-CP55,0)</f>
        <v>0</v>
      </c>
      <c r="CQ56" s="5" t="n">
        <f aca="false">IF(AND(Inputs!$B$69="Sell",CQ1=Inputs!$B$70),-CQ55,0)</f>
        <v>0</v>
      </c>
      <c r="CR56" s="5" t="n">
        <f aca="false">IF(AND(Inputs!$B$69="Sell",CR1=Inputs!$B$70),-CR55,0)</f>
        <v>0</v>
      </c>
      <c r="CS56" s="5" t="n">
        <f aca="false">IF(AND(Inputs!$B$69="Sell",CS1=Inputs!$B$70),-CS55,0)</f>
        <v>0</v>
      </c>
      <c r="CT56" s="5" t="n">
        <f aca="false">IF(AND(Inputs!$B$69="Sell",CT1=Inputs!$B$70),-CT55,0)</f>
        <v>0</v>
      </c>
    </row>
    <row r="58" customFormat="false" ht="15" hidden="false" customHeight="false" outlineLevel="0" collapsed="false">
      <c r="B58" s="26" t="s">
        <v>193</v>
      </c>
      <c r="C58" s="5" t="n">
        <f aca="false">IF(AND(Inputs!$B$69="Sell",C1=Inputs!$B$70),C26*12/Inputs!$B$71,0)</f>
        <v>0</v>
      </c>
      <c r="D58" s="5" t="n">
        <f aca="false">IF(AND(Inputs!$B$69="Sell",D1=Inputs!$B$70),D26*12/Inputs!$B$71,0)</f>
        <v>0</v>
      </c>
      <c r="E58" s="5" t="n">
        <f aca="false">IF(AND(Inputs!$B$69="Sell",E1=Inputs!$B$70),E26*12/Inputs!$B$71,0)</f>
        <v>0</v>
      </c>
      <c r="F58" s="5" t="n">
        <f aca="false">IF(AND(Inputs!$B$69="Sell",F1=Inputs!$B$70),F26*12/Inputs!$B$71,0)</f>
        <v>0</v>
      </c>
      <c r="G58" s="5" t="n">
        <f aca="false">IF(AND(Inputs!$B$69="Sell",G1=Inputs!$B$70),G26*12/Inputs!$B$71,0)</f>
        <v>0</v>
      </c>
      <c r="H58" s="5" t="n">
        <f aca="false">IF(AND(Inputs!$B$69="Sell",H1=Inputs!$B$70),H26*12/Inputs!$B$71,0)</f>
        <v>0</v>
      </c>
      <c r="I58" s="5" t="n">
        <f aca="false">IF(AND(Inputs!$B$69="Sell",I1=Inputs!$B$70),I26*12/Inputs!$B$71,0)</f>
        <v>0</v>
      </c>
      <c r="J58" s="5" t="n">
        <f aca="false">IF(AND(Inputs!$B$69="Sell",J1=Inputs!$B$70),J26*12/Inputs!$B$71,0)</f>
        <v>0</v>
      </c>
      <c r="K58" s="5" t="n">
        <f aca="false">IF(AND(Inputs!$B$69="Sell",K1=Inputs!$B$70),K26*12/Inputs!$B$71,0)</f>
        <v>0</v>
      </c>
      <c r="L58" s="5" t="n">
        <f aca="false">IF(AND(Inputs!$B$69="Sell",L1=Inputs!$B$70),L26*12/Inputs!$B$71,0)</f>
        <v>0</v>
      </c>
      <c r="M58" s="5" t="n">
        <f aca="false">IF(AND(Inputs!$B$69="Sell",M1=Inputs!$B$70),M26*12/Inputs!$B$71,0)</f>
        <v>0</v>
      </c>
      <c r="N58" s="5" t="n">
        <f aca="false">IF(AND(Inputs!$B$69="Sell",N1=Inputs!$B$70),N26*12/Inputs!$B$71,0)</f>
        <v>0</v>
      </c>
      <c r="O58" s="5" t="n">
        <f aca="false">IF(AND(Inputs!$B$69="Sell",O1=Inputs!$B$70),O26*12/Inputs!$B$71,0)</f>
        <v>0</v>
      </c>
      <c r="P58" s="5" t="n">
        <f aca="false">IF(AND(Inputs!$B$69="Sell",P1=Inputs!$B$70),P26*12/Inputs!$B$71,0)</f>
        <v>0</v>
      </c>
      <c r="Q58" s="5" t="n">
        <f aca="false">IF(AND(Inputs!$B$69="Sell",Q1=Inputs!$B$70),Q26*12/Inputs!$B$71,0)</f>
        <v>0</v>
      </c>
      <c r="R58" s="5" t="n">
        <f aca="false">IF(AND(Inputs!$B$69="Sell",R1=Inputs!$B$70),R26*12/Inputs!$B$71,0)</f>
        <v>0</v>
      </c>
      <c r="S58" s="5" t="n">
        <f aca="false">IF(AND(Inputs!$B$69="Sell",S1=Inputs!$B$70),S26*12/Inputs!$B$71,0)</f>
        <v>0</v>
      </c>
      <c r="T58" s="5" t="n">
        <f aca="false">IF(AND(Inputs!$B$69="Sell",T1=Inputs!$B$70),T26*12/Inputs!$B$71,0)</f>
        <v>0</v>
      </c>
      <c r="U58" s="5" t="n">
        <f aca="false">IF(AND(Inputs!$B$69="Sell",U1=Inputs!$B$70),U26*12/Inputs!$B$71,0)</f>
        <v>0</v>
      </c>
      <c r="V58" s="5" t="n">
        <f aca="false">IF(AND(Inputs!$B$69="Sell",V1=Inputs!$B$70),V26*12/Inputs!$B$71,0)</f>
        <v>0</v>
      </c>
      <c r="W58" s="5" t="n">
        <f aca="false">IF(AND(Inputs!$B$69="Sell",W1=Inputs!$B$70),W26*12/Inputs!$B$71,0)</f>
        <v>0</v>
      </c>
      <c r="X58" s="5" t="n">
        <f aca="false">IF(AND(Inputs!$B$69="Sell",X1=Inputs!$B$70),X26*12/Inputs!$B$71,0)</f>
        <v>0</v>
      </c>
      <c r="Y58" s="5" t="n">
        <f aca="false">IF(AND(Inputs!$B$69="Sell",Y1=Inputs!$B$70),Y26*12/Inputs!$B$71,0)</f>
        <v>0</v>
      </c>
      <c r="Z58" s="5" t="n">
        <f aca="false">IF(AND(Inputs!$B$69="Sell",Z1=Inputs!$B$70),Z26*12/Inputs!$B$71,0)</f>
        <v>0</v>
      </c>
      <c r="AA58" s="5" t="n">
        <f aca="false">IF(AND(Inputs!$B$69="Sell",AA1=Inputs!$B$70),AA26*12/Inputs!$B$71,0)</f>
        <v>0</v>
      </c>
      <c r="AB58" s="5" t="n">
        <f aca="false">IF(AND(Inputs!$B$69="Sell",AB1=Inputs!$B$70),AB26*12/Inputs!$B$71,0)</f>
        <v>0</v>
      </c>
      <c r="AC58" s="5" t="n">
        <f aca="false">IF(AND(Inputs!$B$69="Sell",AC1=Inputs!$B$70),AC26*12/Inputs!$B$71,0)</f>
        <v>0</v>
      </c>
      <c r="AD58" s="5" t="n">
        <f aca="false">IF(AND(Inputs!$B$69="Sell",AD1=Inputs!$B$70),AD26*12/Inputs!$B$71,0)</f>
        <v>0</v>
      </c>
      <c r="AE58" s="5" t="n">
        <f aca="false">IF(AND(Inputs!$B$69="Sell",AE1=Inputs!$B$70),AE26*12/Inputs!$B$71,0)</f>
        <v>0</v>
      </c>
      <c r="AF58" s="5" t="n">
        <f aca="false">IF(AND(Inputs!$B$69="Sell",AF1=Inputs!$B$70),AF26*12/Inputs!$B$71,0)</f>
        <v>0</v>
      </c>
      <c r="AG58" s="5" t="n">
        <f aca="false">IF(AND(Inputs!$B$69="Sell",AG1=Inputs!$B$70),AG26*12/Inputs!$B$71,0)</f>
        <v>0</v>
      </c>
      <c r="AH58" s="5" t="n">
        <f aca="false">IF(AND(Inputs!$B$69="Sell",AH1=Inputs!$B$70),AH26*12/Inputs!$B$71,0)</f>
        <v>0</v>
      </c>
      <c r="AI58" s="5" t="n">
        <f aca="false">IF(AND(Inputs!$B$69="Sell",AI1=Inputs!$B$70),AI26*12/Inputs!$B$71,0)</f>
        <v>0</v>
      </c>
      <c r="AJ58" s="5" t="n">
        <f aca="false">IF(AND(Inputs!$B$69="Sell",AJ1=Inputs!$B$70),AJ26*12/Inputs!$B$71,0)</f>
        <v>0</v>
      </c>
      <c r="AK58" s="5" t="n">
        <f aca="false">IF(AND(Inputs!$B$69="Sell",AK1=Inputs!$B$70),AK26*12/Inputs!$B$71,0)</f>
        <v>0</v>
      </c>
      <c r="AL58" s="5" t="n">
        <f aca="false">IF(AND(Inputs!$B$69="Sell",AL1=Inputs!$B$70),AL26*12/Inputs!$B$71,0)</f>
        <v>0</v>
      </c>
      <c r="AM58" s="5" t="n">
        <f aca="false">IF(AND(Inputs!$B$69="Sell",AM1=Inputs!$B$70),AM26*12/Inputs!$B$71,0)</f>
        <v>0</v>
      </c>
      <c r="AN58" s="5" t="n">
        <f aca="false">IF(AND(Inputs!$B$69="Sell",AN1=Inputs!$B$70),AN26*12/Inputs!$B$71,0)</f>
        <v>0</v>
      </c>
      <c r="AO58" s="5" t="n">
        <f aca="false">IF(AND(Inputs!$B$69="Sell",AO1=Inputs!$B$70),AO26*12/Inputs!$B$71,0)</f>
        <v>0</v>
      </c>
      <c r="AP58" s="5" t="n">
        <f aca="false">IF(AND(Inputs!$B$69="Sell",AP1=Inputs!$B$70),AP26*12/Inputs!$B$71,0)</f>
        <v>0</v>
      </c>
      <c r="AQ58" s="5" t="n">
        <f aca="false">IF(AND(Inputs!$B$69="Sell",AQ1=Inputs!$B$70),AQ26*12/Inputs!$B$71,0)</f>
        <v>0</v>
      </c>
      <c r="AR58" s="5" t="n">
        <f aca="false">IF(AND(Inputs!$B$69="Sell",AR1=Inputs!$B$70),AR26*12/Inputs!$B$71,0)</f>
        <v>0</v>
      </c>
      <c r="AS58" s="5" t="n">
        <f aca="false">IF(AND(Inputs!$B$69="Sell",AS1=Inputs!$B$70),AS26*12/Inputs!$B$71,0)</f>
        <v>0</v>
      </c>
      <c r="AT58" s="5" t="n">
        <f aca="false">IF(AND(Inputs!$B$69="Sell",AT1=Inputs!$B$70),AT26*12/Inputs!$B$71,0)</f>
        <v>0</v>
      </c>
      <c r="AU58" s="5" t="n">
        <f aca="false">IF(AND(Inputs!$B$69="Sell",AU1=Inputs!$B$70),AU26*12/Inputs!$B$71,0)</f>
        <v>0</v>
      </c>
      <c r="AV58" s="5" t="n">
        <f aca="false">IF(AND(Inputs!$B$69="Sell",AV1=Inputs!$B$70),AV26*12/Inputs!$B$71,0)</f>
        <v>0</v>
      </c>
      <c r="AW58" s="5" t="n">
        <f aca="false">IF(AND(Inputs!$B$69="Sell",AW1=Inputs!$B$70),AW26*12/Inputs!$B$71,0)</f>
        <v>0</v>
      </c>
      <c r="AX58" s="5" t="n">
        <f aca="false">IF(AND(Inputs!$B$69="Sell",AX1=Inputs!$B$70),AX26*12/Inputs!$B$71,0)</f>
        <v>0</v>
      </c>
      <c r="AY58" s="5" t="n">
        <f aca="false">IF(AND(Inputs!$B$69="Sell",AY1=Inputs!$B$70),AY26*12/Inputs!$B$71,0)</f>
        <v>0</v>
      </c>
      <c r="AZ58" s="5" t="n">
        <f aca="false">IF(AND(Inputs!$B$69="Sell",AZ1=Inputs!$B$70),AZ26*12/Inputs!$B$71,0)</f>
        <v>0</v>
      </c>
      <c r="BA58" s="5" t="n">
        <f aca="false">IF(AND(Inputs!$B$69="Sell",BA1=Inputs!$B$70),BA26*12/Inputs!$B$71,0)</f>
        <v>0</v>
      </c>
      <c r="BB58" s="5" t="n">
        <f aca="false">IF(AND(Inputs!$B$69="Sell",BB1=Inputs!$B$70),BB26*12/Inputs!$B$71,0)</f>
        <v>0</v>
      </c>
      <c r="BC58" s="5" t="n">
        <f aca="false">IF(AND(Inputs!$B$69="Sell",BC1=Inputs!$B$70),BC26*12/Inputs!$B$71,0)</f>
        <v>0</v>
      </c>
      <c r="BD58" s="5" t="n">
        <f aca="false">IF(AND(Inputs!$B$69="Sell",BD1=Inputs!$B$70),BD26*12/Inputs!$B$71,0)</f>
        <v>0</v>
      </c>
      <c r="BE58" s="5" t="n">
        <f aca="false">IF(AND(Inputs!$B$69="Sell",BE1=Inputs!$B$70),BE26*12/Inputs!$B$71,0)</f>
        <v>0</v>
      </c>
      <c r="BF58" s="5" t="n">
        <f aca="false">IF(AND(Inputs!$B$69="Sell",BF1=Inputs!$B$70),BF26*12/Inputs!$B$71,0)</f>
        <v>0</v>
      </c>
      <c r="BG58" s="5" t="n">
        <f aca="false">IF(AND(Inputs!$B$69="Sell",BG1=Inputs!$B$70),BG26*12/Inputs!$B$71,0)</f>
        <v>0</v>
      </c>
      <c r="BH58" s="5" t="n">
        <f aca="false">IF(AND(Inputs!$B$69="Sell",BH1=Inputs!$B$70),BH26*12/Inputs!$B$71,0)</f>
        <v>0</v>
      </c>
      <c r="BI58" s="5" t="n">
        <f aca="false">IF(AND(Inputs!$B$69="Sell",BI1=Inputs!$B$70),BI26*12/Inputs!$B$71,0)</f>
        <v>0</v>
      </c>
      <c r="BJ58" s="5" t="n">
        <f aca="false">IF(AND(Inputs!$B$69="Sell",BJ1=Inputs!$B$70),BJ26*12/Inputs!$B$71,0)</f>
        <v>65794387.9510639</v>
      </c>
      <c r="BK58" s="5" t="n">
        <f aca="false">IF(AND(Inputs!$B$69="Sell",BK1=Inputs!$B$70),BK26*12/Inputs!$B$71,0)</f>
        <v>0</v>
      </c>
      <c r="BL58" s="5" t="n">
        <f aca="false">IF(AND(Inputs!$B$69="Sell",BL1=Inputs!$B$70),BL26*12/Inputs!$B$71,0)</f>
        <v>0</v>
      </c>
      <c r="BM58" s="5" t="n">
        <f aca="false">IF(AND(Inputs!$B$69="Sell",BM1=Inputs!$B$70),BM26*12/Inputs!$B$71,0)</f>
        <v>0</v>
      </c>
      <c r="BN58" s="5" t="n">
        <f aca="false">IF(AND(Inputs!$B$69="Sell",BN1=Inputs!$B$70),BN26*12/Inputs!$B$71,0)</f>
        <v>0</v>
      </c>
      <c r="BO58" s="5" t="n">
        <f aca="false">IF(AND(Inputs!$B$69="Sell",BO1=Inputs!$B$70),BO26*12/Inputs!$B$71,0)</f>
        <v>0</v>
      </c>
      <c r="BP58" s="5" t="n">
        <f aca="false">IF(AND(Inputs!$B$69="Sell",BP1=Inputs!$B$70),BP26*12/Inputs!$B$71,0)</f>
        <v>0</v>
      </c>
      <c r="BQ58" s="5" t="n">
        <f aca="false">IF(AND(Inputs!$B$69="Sell",BQ1=Inputs!$B$70),BQ26*12/Inputs!$B$71,0)</f>
        <v>0</v>
      </c>
      <c r="BR58" s="5" t="n">
        <f aca="false">IF(AND(Inputs!$B$69="Sell",BR1=Inputs!$B$70),BR26*12/Inputs!$B$71,0)</f>
        <v>0</v>
      </c>
      <c r="BS58" s="5" t="n">
        <f aca="false">IF(AND(Inputs!$B$69="Sell",BS1=Inputs!$B$70),BS26*12/Inputs!$B$71,0)</f>
        <v>0</v>
      </c>
      <c r="BT58" s="5" t="n">
        <f aca="false">IF(AND(Inputs!$B$69="Sell",BT1=Inputs!$B$70),BT26*12/Inputs!$B$71,0)</f>
        <v>0</v>
      </c>
      <c r="BU58" s="5" t="n">
        <f aca="false">IF(AND(Inputs!$B$69="Sell",BU1=Inputs!$B$70),BU26*12/Inputs!$B$71,0)</f>
        <v>0</v>
      </c>
      <c r="BV58" s="5" t="n">
        <f aca="false">IF(AND(Inputs!$B$69="Sell",BV1=Inputs!$B$70),BV26*12/Inputs!$B$71,0)</f>
        <v>0</v>
      </c>
      <c r="BW58" s="5" t="n">
        <f aca="false">IF(AND(Inputs!$B$69="Sell",BW1=Inputs!$B$70),BW26*12/Inputs!$B$71,0)</f>
        <v>0</v>
      </c>
      <c r="BX58" s="5" t="n">
        <f aca="false">IF(AND(Inputs!$B$69="Sell",BX1=Inputs!$B$70),BX26*12/Inputs!$B$71,0)</f>
        <v>0</v>
      </c>
      <c r="BY58" s="5" t="n">
        <f aca="false">IF(AND(Inputs!$B$69="Sell",BY1=Inputs!$B$70),BY26*12/Inputs!$B$71,0)</f>
        <v>0</v>
      </c>
      <c r="BZ58" s="5" t="n">
        <f aca="false">IF(AND(Inputs!$B$69="Sell",BZ1=Inputs!$B$70),BZ26*12/Inputs!$B$71,0)</f>
        <v>0</v>
      </c>
      <c r="CA58" s="5" t="n">
        <f aca="false">IF(AND(Inputs!$B$69="Sell",CA1=Inputs!$B$70),CA26*12/Inputs!$B$71,0)</f>
        <v>0</v>
      </c>
      <c r="CB58" s="5" t="n">
        <f aca="false">IF(AND(Inputs!$B$69="Sell",CB1=Inputs!$B$70),CB26*12/Inputs!$B$71,0)</f>
        <v>0</v>
      </c>
      <c r="CC58" s="5" t="n">
        <f aca="false">IF(AND(Inputs!$B$69="Sell",CC1=Inputs!$B$70),CC26*12/Inputs!$B$71,0)</f>
        <v>0</v>
      </c>
      <c r="CD58" s="5" t="n">
        <f aca="false">IF(AND(Inputs!$B$69="Sell",CD1=Inputs!$B$70),CD26*12/Inputs!$B$71,0)</f>
        <v>0</v>
      </c>
      <c r="CE58" s="5" t="n">
        <f aca="false">IF(AND(Inputs!$B$69="Sell",CE1=Inputs!$B$70),CE26*12/Inputs!$B$71,0)</f>
        <v>0</v>
      </c>
      <c r="CF58" s="5" t="n">
        <f aca="false">IF(AND(Inputs!$B$69="Sell",CF1=Inputs!$B$70),CF26*12/Inputs!$B$71,0)</f>
        <v>0</v>
      </c>
      <c r="CG58" s="5" t="n">
        <f aca="false">IF(AND(Inputs!$B$69="Sell",CG1=Inputs!$B$70),CG26*12/Inputs!$B$71,0)</f>
        <v>0</v>
      </c>
      <c r="CH58" s="5" t="n">
        <f aca="false">IF(AND(Inputs!$B$69="Sell",CH1=Inputs!$B$70),CH26*12/Inputs!$B$71,0)</f>
        <v>0</v>
      </c>
      <c r="CI58" s="5" t="n">
        <f aca="false">IF(AND(Inputs!$B$69="Sell",CI1=Inputs!$B$70),CI26*12/Inputs!$B$71,0)</f>
        <v>0</v>
      </c>
      <c r="CJ58" s="5" t="n">
        <f aca="false">IF(AND(Inputs!$B$69="Sell",CJ1=Inputs!$B$70),CJ26*12/Inputs!$B$71,0)</f>
        <v>0</v>
      </c>
      <c r="CK58" s="5" t="n">
        <f aca="false">IF(AND(Inputs!$B$69="Sell",CK1=Inputs!$B$70),CK26*12/Inputs!$B$71,0)</f>
        <v>0</v>
      </c>
      <c r="CL58" s="5" t="n">
        <f aca="false">IF(AND(Inputs!$B$69="Sell",CL1=Inputs!$B$70),CL26*12/Inputs!$B$71,0)</f>
        <v>0</v>
      </c>
      <c r="CM58" s="5" t="n">
        <f aca="false">IF(AND(Inputs!$B$69="Sell",CM1=Inputs!$B$70),CM26*12/Inputs!$B$71,0)</f>
        <v>0</v>
      </c>
      <c r="CN58" s="5" t="n">
        <f aca="false">IF(AND(Inputs!$B$69="Sell",CN1=Inputs!$B$70),CN26*12/Inputs!$B$71,0)</f>
        <v>0</v>
      </c>
      <c r="CO58" s="5" t="n">
        <f aca="false">IF(AND(Inputs!$B$69="Sell",CO1=Inputs!$B$70),CO26*12/Inputs!$B$71,0)</f>
        <v>0</v>
      </c>
      <c r="CP58" s="5" t="n">
        <f aca="false">IF(AND(Inputs!$B$69="Sell",CP1=Inputs!$B$70),CP26*12/Inputs!$B$71,0)</f>
        <v>0</v>
      </c>
      <c r="CQ58" s="5" t="n">
        <f aca="false">IF(AND(Inputs!$B$69="Sell",CQ1=Inputs!$B$70),CQ26*12/Inputs!$B$71,0)</f>
        <v>0</v>
      </c>
      <c r="CR58" s="5" t="n">
        <f aca="false">IF(AND(Inputs!$B$69="Sell",CR1=Inputs!$B$70),CR26*12/Inputs!$B$71,0)</f>
        <v>0</v>
      </c>
      <c r="CS58" s="5" t="n">
        <f aca="false">IF(AND(Inputs!$B$69="Sell",CS1=Inputs!$B$70),CS26*12/Inputs!$B$71,0)</f>
        <v>0</v>
      </c>
      <c r="CT58" s="5" t="n">
        <f aca="false">IF(AND(Inputs!$B$69="Sell",CT1=Inputs!$B$70),CT26*12/Inputs!$B$71,0)</f>
        <v>0</v>
      </c>
    </row>
    <row r="59" customFormat="false" ht="15" hidden="false" customHeight="false" outlineLevel="0" collapsed="false">
      <c r="B59" s="26" t="s">
        <v>194</v>
      </c>
      <c r="C59" s="5" t="n">
        <f aca="false">-C58*Inputs!$B$72</f>
        <v>-0</v>
      </c>
      <c r="D59" s="5" t="n">
        <f aca="false">-D58*Inputs!$B$72</f>
        <v>-0</v>
      </c>
      <c r="E59" s="5" t="n">
        <f aca="false">-E58*Inputs!$B$72</f>
        <v>-0</v>
      </c>
      <c r="F59" s="5" t="n">
        <f aca="false">-F58*Inputs!$B$72</f>
        <v>-0</v>
      </c>
      <c r="G59" s="5" t="n">
        <f aca="false">-G58*Inputs!$B$72</f>
        <v>-0</v>
      </c>
      <c r="H59" s="5" t="n">
        <f aca="false">-H58*Inputs!$B$72</f>
        <v>-0</v>
      </c>
      <c r="I59" s="5" t="n">
        <f aca="false">-I58*Inputs!$B$72</f>
        <v>-0</v>
      </c>
      <c r="J59" s="5" t="n">
        <f aca="false">-J58*Inputs!$B$72</f>
        <v>-0</v>
      </c>
      <c r="K59" s="5" t="n">
        <f aca="false">-K58*Inputs!$B$72</f>
        <v>-0</v>
      </c>
      <c r="L59" s="5" t="n">
        <f aca="false">-L58*Inputs!$B$72</f>
        <v>-0</v>
      </c>
      <c r="M59" s="5" t="n">
        <f aca="false">-M58*Inputs!$B$72</f>
        <v>-0</v>
      </c>
      <c r="N59" s="5" t="n">
        <f aca="false">-N58*Inputs!$B$72</f>
        <v>-0</v>
      </c>
      <c r="O59" s="5" t="n">
        <f aca="false">-O58*Inputs!$B$72</f>
        <v>-0</v>
      </c>
      <c r="P59" s="5" t="n">
        <f aca="false">-P58*Inputs!$B$72</f>
        <v>-0</v>
      </c>
      <c r="Q59" s="5" t="n">
        <f aca="false">-Q58*Inputs!$B$72</f>
        <v>-0</v>
      </c>
      <c r="R59" s="5" t="n">
        <f aca="false">-R58*Inputs!$B$72</f>
        <v>-0</v>
      </c>
      <c r="S59" s="5" t="n">
        <f aca="false">-S58*Inputs!$B$72</f>
        <v>-0</v>
      </c>
      <c r="T59" s="5" t="n">
        <f aca="false">-T58*Inputs!$B$72</f>
        <v>-0</v>
      </c>
      <c r="U59" s="5" t="n">
        <f aca="false">-U58*Inputs!$B$72</f>
        <v>-0</v>
      </c>
      <c r="V59" s="5" t="n">
        <f aca="false">-V58*Inputs!$B$72</f>
        <v>-0</v>
      </c>
      <c r="W59" s="5" t="n">
        <f aca="false">-W58*Inputs!$B$72</f>
        <v>-0</v>
      </c>
      <c r="X59" s="5" t="n">
        <f aca="false">-X58*Inputs!$B$72</f>
        <v>-0</v>
      </c>
      <c r="Y59" s="5" t="n">
        <f aca="false">-Y58*Inputs!$B$72</f>
        <v>-0</v>
      </c>
      <c r="Z59" s="5" t="n">
        <f aca="false">-Z58*Inputs!$B$72</f>
        <v>-0</v>
      </c>
      <c r="AA59" s="5" t="n">
        <f aca="false">-AA58*Inputs!$B$72</f>
        <v>-0</v>
      </c>
      <c r="AB59" s="5" t="n">
        <f aca="false">-AB58*Inputs!$B$72</f>
        <v>-0</v>
      </c>
      <c r="AC59" s="5" t="n">
        <f aca="false">-AC58*Inputs!$B$72</f>
        <v>-0</v>
      </c>
      <c r="AD59" s="5" t="n">
        <f aca="false">-AD58*Inputs!$B$72</f>
        <v>-0</v>
      </c>
      <c r="AE59" s="5" t="n">
        <f aca="false">-AE58*Inputs!$B$72</f>
        <v>-0</v>
      </c>
      <c r="AF59" s="5" t="n">
        <f aca="false">-AF58*Inputs!$B$72</f>
        <v>-0</v>
      </c>
      <c r="AG59" s="5" t="n">
        <f aca="false">-AG58*Inputs!$B$72</f>
        <v>-0</v>
      </c>
      <c r="AH59" s="5" t="n">
        <f aca="false">-AH58*Inputs!$B$72</f>
        <v>-0</v>
      </c>
      <c r="AI59" s="5" t="n">
        <f aca="false">-AI58*Inputs!$B$72</f>
        <v>-0</v>
      </c>
      <c r="AJ59" s="5" t="n">
        <f aca="false">-AJ58*Inputs!$B$72</f>
        <v>-0</v>
      </c>
      <c r="AK59" s="5" t="n">
        <f aca="false">-AK58*Inputs!$B$72</f>
        <v>-0</v>
      </c>
      <c r="AL59" s="5" t="n">
        <f aca="false">-AL58*Inputs!$B$72</f>
        <v>-0</v>
      </c>
      <c r="AM59" s="5" t="n">
        <f aca="false">-AM58*Inputs!$B$72</f>
        <v>-0</v>
      </c>
      <c r="AN59" s="5" t="n">
        <f aca="false">-AN58*Inputs!$B$72</f>
        <v>-0</v>
      </c>
      <c r="AO59" s="5" t="n">
        <f aca="false">-AO58*Inputs!$B$72</f>
        <v>-0</v>
      </c>
      <c r="AP59" s="5" t="n">
        <f aca="false">-AP58*Inputs!$B$72</f>
        <v>-0</v>
      </c>
      <c r="AQ59" s="5" t="n">
        <f aca="false">-AQ58*Inputs!$B$72</f>
        <v>-0</v>
      </c>
      <c r="AR59" s="5" t="n">
        <f aca="false">-AR58*Inputs!$B$72</f>
        <v>-0</v>
      </c>
      <c r="AS59" s="5" t="n">
        <f aca="false">-AS58*Inputs!$B$72</f>
        <v>-0</v>
      </c>
      <c r="AT59" s="5" t="n">
        <f aca="false">-AT58*Inputs!$B$72</f>
        <v>-0</v>
      </c>
      <c r="AU59" s="5" t="n">
        <f aca="false">-AU58*Inputs!$B$72</f>
        <v>-0</v>
      </c>
      <c r="AV59" s="5" t="n">
        <f aca="false">-AV58*Inputs!$B$72</f>
        <v>-0</v>
      </c>
      <c r="AW59" s="5" t="n">
        <f aca="false">-AW58*Inputs!$B$72</f>
        <v>-0</v>
      </c>
      <c r="AX59" s="5" t="n">
        <f aca="false">-AX58*Inputs!$B$72</f>
        <v>-0</v>
      </c>
      <c r="AY59" s="5" t="n">
        <f aca="false">-AY58*Inputs!$B$72</f>
        <v>-0</v>
      </c>
      <c r="AZ59" s="5" t="n">
        <f aca="false">-AZ58*Inputs!$B$72</f>
        <v>-0</v>
      </c>
      <c r="BA59" s="5" t="n">
        <f aca="false">-BA58*Inputs!$B$72</f>
        <v>-0</v>
      </c>
      <c r="BB59" s="5" t="n">
        <f aca="false">-BB58*Inputs!$B$72</f>
        <v>-0</v>
      </c>
      <c r="BC59" s="5" t="n">
        <f aca="false">-BC58*Inputs!$B$72</f>
        <v>-0</v>
      </c>
      <c r="BD59" s="5" t="n">
        <f aca="false">-BD58*Inputs!$B$72</f>
        <v>-0</v>
      </c>
      <c r="BE59" s="5" t="n">
        <f aca="false">-BE58*Inputs!$B$72</f>
        <v>-0</v>
      </c>
      <c r="BF59" s="5" t="n">
        <f aca="false">-BF58*Inputs!$B$72</f>
        <v>-0</v>
      </c>
      <c r="BG59" s="5" t="n">
        <f aca="false">-BG58*Inputs!$B$72</f>
        <v>-0</v>
      </c>
      <c r="BH59" s="5" t="n">
        <f aca="false">-BH58*Inputs!$B$72</f>
        <v>-0</v>
      </c>
      <c r="BI59" s="5" t="n">
        <f aca="false">-BI58*Inputs!$B$72</f>
        <v>-0</v>
      </c>
      <c r="BJ59" s="5" t="n">
        <f aca="false">-BJ58*Inputs!$B$72</f>
        <v>-493457.909632979</v>
      </c>
      <c r="BK59" s="5" t="n">
        <f aca="false">-BK58*Inputs!$B$72</f>
        <v>-0</v>
      </c>
      <c r="BL59" s="5" t="n">
        <f aca="false">-BL58*Inputs!$B$72</f>
        <v>-0</v>
      </c>
      <c r="BM59" s="5" t="n">
        <f aca="false">-BM58*Inputs!$B$72</f>
        <v>-0</v>
      </c>
      <c r="BN59" s="5" t="n">
        <f aca="false">-BN58*Inputs!$B$72</f>
        <v>-0</v>
      </c>
      <c r="BO59" s="5" t="n">
        <f aca="false">-BO58*Inputs!$B$72</f>
        <v>-0</v>
      </c>
      <c r="BP59" s="5" t="n">
        <f aca="false">-BP58*Inputs!$B$72</f>
        <v>-0</v>
      </c>
      <c r="BQ59" s="5" t="n">
        <f aca="false">-BQ58*Inputs!$B$72</f>
        <v>-0</v>
      </c>
      <c r="BR59" s="5" t="n">
        <f aca="false">-BR58*Inputs!$B$72</f>
        <v>-0</v>
      </c>
      <c r="BS59" s="5" t="n">
        <f aca="false">-BS58*Inputs!$B$72</f>
        <v>-0</v>
      </c>
      <c r="BT59" s="5" t="n">
        <f aca="false">-BT58*Inputs!$B$72</f>
        <v>-0</v>
      </c>
      <c r="BU59" s="5" t="n">
        <f aca="false">-BU58*Inputs!$B$72</f>
        <v>-0</v>
      </c>
      <c r="BV59" s="5" t="n">
        <f aca="false">-BV58*Inputs!$B$72</f>
        <v>-0</v>
      </c>
      <c r="BW59" s="5" t="n">
        <f aca="false">-BW58*Inputs!$B$72</f>
        <v>-0</v>
      </c>
      <c r="BX59" s="5" t="n">
        <f aca="false">-BX58*Inputs!$B$72</f>
        <v>-0</v>
      </c>
      <c r="BY59" s="5" t="n">
        <f aca="false">-BY58*Inputs!$B$72</f>
        <v>-0</v>
      </c>
      <c r="BZ59" s="5" t="n">
        <f aca="false">-BZ58*Inputs!$B$72</f>
        <v>-0</v>
      </c>
      <c r="CA59" s="5" t="n">
        <f aca="false">-CA58*Inputs!$B$72</f>
        <v>-0</v>
      </c>
      <c r="CB59" s="5" t="n">
        <f aca="false">-CB58*Inputs!$B$72</f>
        <v>-0</v>
      </c>
      <c r="CC59" s="5" t="n">
        <f aca="false">-CC58*Inputs!$B$72</f>
        <v>-0</v>
      </c>
      <c r="CD59" s="5" t="n">
        <f aca="false">-CD58*Inputs!$B$72</f>
        <v>-0</v>
      </c>
      <c r="CE59" s="5" t="n">
        <f aca="false">-CE58*Inputs!$B$72</f>
        <v>-0</v>
      </c>
      <c r="CF59" s="5" t="n">
        <f aca="false">-CF58*Inputs!$B$72</f>
        <v>-0</v>
      </c>
      <c r="CG59" s="5" t="n">
        <f aca="false">-CG58*Inputs!$B$72</f>
        <v>-0</v>
      </c>
      <c r="CH59" s="5" t="n">
        <f aca="false">-CH58*Inputs!$B$72</f>
        <v>-0</v>
      </c>
      <c r="CI59" s="5" t="n">
        <f aca="false">-CI58*Inputs!$B$72</f>
        <v>-0</v>
      </c>
      <c r="CJ59" s="5" t="n">
        <f aca="false">-CJ58*Inputs!$B$72</f>
        <v>-0</v>
      </c>
      <c r="CK59" s="5" t="n">
        <f aca="false">-CK58*Inputs!$B$72</f>
        <v>-0</v>
      </c>
      <c r="CL59" s="5" t="n">
        <f aca="false">-CL58*Inputs!$B$72</f>
        <v>-0</v>
      </c>
      <c r="CM59" s="5" t="n">
        <f aca="false">-CM58*Inputs!$B$72</f>
        <v>-0</v>
      </c>
      <c r="CN59" s="5" t="n">
        <f aca="false">-CN58*Inputs!$B$72</f>
        <v>-0</v>
      </c>
      <c r="CO59" s="5" t="n">
        <f aca="false">-CO58*Inputs!$B$72</f>
        <v>-0</v>
      </c>
      <c r="CP59" s="5" t="n">
        <f aca="false">-CP58*Inputs!$B$72</f>
        <v>-0</v>
      </c>
      <c r="CQ59" s="5" t="n">
        <f aca="false">-CQ58*Inputs!$B$72</f>
        <v>-0</v>
      </c>
      <c r="CR59" s="5" t="n">
        <f aca="false">-CR58*Inputs!$B$72</f>
        <v>-0</v>
      </c>
      <c r="CS59" s="5" t="n">
        <f aca="false">-CS58*Inputs!$B$72</f>
        <v>-0</v>
      </c>
      <c r="CT59" s="5" t="n">
        <f aca="false">-CT58*Inputs!$B$72</f>
        <v>-0</v>
      </c>
    </row>
    <row r="61" customFormat="false" ht="15" hidden="false" customHeight="false" outlineLevel="0" collapsed="false">
      <c r="B61" s="2" t="s">
        <v>195</v>
      </c>
      <c r="C61" s="5" t="n">
        <f aca="false">-C38+IF(C1&lt;Inputs!$B$58,MAX(0,C29),0)+IF(C1=Inputs!$B$58,C29+C49,0)+IF(AND(C1&gt;Inputs!$B$58,C1&lt;=Inputs!$B$93),C29-C51-C54,0)+C58+C59+C56</f>
        <v>-7234888.17370002</v>
      </c>
      <c r="D61" s="5" t="n">
        <f aca="false">-D38+IF(D1&lt;Inputs!$B$58,MAX(0,D29),0)+IF(D1=Inputs!$B$58,D29+D49,0)+IF(AND(D1&gt;Inputs!$B$58,D1&lt;=Inputs!$B$93),D29-D51-D54,0)+D58+D59+D56</f>
        <v>-988505.982457879</v>
      </c>
      <c r="E61" s="5" t="n">
        <f aca="false">-E38+IF(E1&lt;Inputs!$B$58,MAX(0,E29),0)+IF(E1=Inputs!$B$58,E29+E49,0)+IF(AND(E1&gt;Inputs!$B$58,E1&lt;=Inputs!$B$93),E29-E51-E54,0)+E58+E59+E56</f>
        <v>-1255209.31968563</v>
      </c>
      <c r="F61" s="5" t="n">
        <f aca="false">-F38+IF(F1&lt;Inputs!$B$58,MAX(0,F29),0)+IF(F1=Inputs!$B$58,F29+F49,0)+IF(AND(F1&gt;Inputs!$B$58,F1&lt;=Inputs!$B$93),F29-F51-F54,0)+F58+F59+F56</f>
        <v>-1558849.0178664</v>
      </c>
      <c r="G61" s="5" t="n">
        <f aca="false">-G38+IF(G1&lt;Inputs!$B$58,MAX(0,G29),0)+IF(G1=Inputs!$B$58,G29+G49,0)+IF(AND(G1&gt;Inputs!$B$58,G1&lt;=Inputs!$B$93),G29-G51-G54,0)+G58+G59+G56</f>
        <v>-1891085.47650877</v>
      </c>
      <c r="H61" s="5" t="n">
        <f aca="false">-H38+IF(H1&lt;Inputs!$B$58,MAX(0,H29),0)+IF(H1=Inputs!$B$58,H29+H49,0)+IF(AND(H1&gt;Inputs!$B$58,H1&lt;=Inputs!$B$93),H29-H51-H54,0)+H58+H59+H56</f>
        <v>-1246458.09986488</v>
      </c>
      <c r="I61" s="5" t="n">
        <f aca="false">-I38+IF(I1&lt;Inputs!$B$58,MAX(0,I29),0)+IF(I1=Inputs!$B$58,I29+I49,0)+IF(AND(I1&gt;Inputs!$B$58,I1&lt;=Inputs!$B$93),I29-I51-I54,0)+I58+I59+I56</f>
        <v>0</v>
      </c>
      <c r="J61" s="5" t="n">
        <f aca="false">-J38+IF(J1&lt;Inputs!$B$58,MAX(0,J29),0)+IF(J1=Inputs!$B$58,J29+J49,0)+IF(AND(J1&gt;Inputs!$B$58,J1&lt;=Inputs!$B$93),J29-J51-J54,0)+J58+J59+J56</f>
        <v>0</v>
      </c>
      <c r="K61" s="5" t="n">
        <f aca="false">-K38+IF(K1&lt;Inputs!$B$58,MAX(0,K29),0)+IF(K1=Inputs!$B$58,K29+K49,0)+IF(AND(K1&gt;Inputs!$B$58,K1&lt;=Inputs!$B$93),K29-K51-K54,0)+K58+K59+K56</f>
        <v>0</v>
      </c>
      <c r="L61" s="5" t="n">
        <f aca="false">-L38+IF(L1&lt;Inputs!$B$58,MAX(0,L29),0)+IF(L1=Inputs!$B$58,L29+L49,0)+IF(AND(L1&gt;Inputs!$B$58,L1&lt;=Inputs!$B$93),L29-L51-L54,0)+L58+L59+L56</f>
        <v>0</v>
      </c>
      <c r="M61" s="5" t="n">
        <f aca="false">-M38+IF(M1&lt;Inputs!$B$58,MAX(0,M29),0)+IF(M1=Inputs!$B$58,M29+M49,0)+IF(AND(M1&gt;Inputs!$B$58,M1&lt;=Inputs!$B$93),M29-M51-M54,0)+M58+M59+M56</f>
        <v>0</v>
      </c>
      <c r="N61" s="5" t="n">
        <f aca="false">-N38+IF(N1&lt;Inputs!$B$58,MAX(0,N29),0)+IF(N1=Inputs!$B$58,N29+N49,0)+IF(AND(N1&gt;Inputs!$B$58,N1&lt;=Inputs!$B$93),N29-N51-N54,0)+N58+N59+N56</f>
        <v>0</v>
      </c>
      <c r="O61" s="5" t="n">
        <f aca="false">-O38+IF(O1&lt;Inputs!$B$58,MAX(0,O29),0)+IF(O1=Inputs!$B$58,O29+O49,0)+IF(AND(O1&gt;Inputs!$B$58,O1&lt;=Inputs!$B$93),O29-O51-O54,0)+O58+O59+O56</f>
        <v>0</v>
      </c>
      <c r="P61" s="5" t="n">
        <f aca="false">-P38+IF(P1&lt;Inputs!$B$58,MAX(0,P29),0)+IF(P1=Inputs!$B$58,P29+P49,0)+IF(AND(P1&gt;Inputs!$B$58,P1&lt;=Inputs!$B$93),P29-P51-P54,0)+P58+P59+P56</f>
        <v>0</v>
      </c>
      <c r="Q61" s="5" t="n">
        <f aca="false">-Q38+IF(Q1&lt;Inputs!$B$58,MAX(0,Q29),0)+IF(Q1=Inputs!$B$58,Q29+Q49,0)+IF(AND(Q1&gt;Inputs!$B$58,Q1&lt;=Inputs!$B$93),Q29-Q51-Q54,0)+Q58+Q59+Q56</f>
        <v>0</v>
      </c>
      <c r="R61" s="5" t="n">
        <f aca="false">-R38+IF(R1&lt;Inputs!$B$58,MAX(0,R29),0)+IF(R1=Inputs!$B$58,R29+R49,0)+IF(AND(R1&gt;Inputs!$B$58,R1&lt;=Inputs!$B$93),R29-R51-R54,0)+R58+R59+R56</f>
        <v>0</v>
      </c>
      <c r="S61" s="5" t="n">
        <f aca="false">-S38+IF(S1&lt;Inputs!$B$58,MAX(0,S29),0)+IF(S1=Inputs!$B$58,S29+S49,0)+IF(AND(S1&gt;Inputs!$B$58,S1&lt;=Inputs!$B$93),S29-S51-S54,0)+S58+S59+S56</f>
        <v>23591.0213100409</v>
      </c>
      <c r="T61" s="5" t="n">
        <f aca="false">-T38+IF(T1&lt;Inputs!$B$58,MAX(0,T29),0)+IF(T1=Inputs!$B$58,T29+T49,0)+IF(AND(T1&gt;Inputs!$B$58,T1&lt;=Inputs!$B$93),T29-T51-T54,0)+T58+T59+T56</f>
        <v>61420.3516375511</v>
      </c>
      <c r="U61" s="5" t="n">
        <f aca="false">-U38+IF(U1&lt;Inputs!$B$58,MAX(0,U29),0)+IF(U1=Inputs!$B$58,U29+U49,0)+IF(AND(U1&gt;Inputs!$B$58,U1&lt;=Inputs!$B$93),U29-U51-U54,0)+U58+U59+U56</f>
        <v>99249.6819650613</v>
      </c>
      <c r="V61" s="5" t="n">
        <f aca="false">-V38+IF(V1&lt;Inputs!$B$58,MAX(0,V29),0)+IF(V1=Inputs!$B$58,V29+V49,0)+IF(AND(V1&gt;Inputs!$B$58,V1&lt;=Inputs!$B$93),V29-V51-V54,0)+V58+V59+V56</f>
        <v>137079.012292571</v>
      </c>
      <c r="W61" s="5" t="n">
        <f aca="false">-W38+IF(W1&lt;Inputs!$B$58,MAX(0,W29),0)+IF(W1=Inputs!$B$58,W29+W49,0)+IF(AND(W1&gt;Inputs!$B$58,W1&lt;=Inputs!$B$93),W29-W51-W54,0)+W58+W59+W56</f>
        <v>174908.342620082</v>
      </c>
      <c r="X61" s="5" t="n">
        <f aca="false">-X38+IF(X1&lt;Inputs!$B$58,MAX(0,X29),0)+IF(X1=Inputs!$B$58,X29+X49,0)+IF(AND(X1&gt;Inputs!$B$58,X1&lt;=Inputs!$B$93),X29-X51-X54,0)+X58+X59+X56</f>
        <v>181071.006280925</v>
      </c>
      <c r="Y61" s="5" t="n">
        <f aca="false">-Y38+IF(Y1&lt;Inputs!$B$58,MAX(0,Y29),0)+IF(Y1=Inputs!$B$58,Y29+Y49,0)+IF(AND(Y1&gt;Inputs!$B$58,Y1&lt;=Inputs!$B$93),Y29-Y51-Y54,0)+Y58+Y59+Y56</f>
        <v>218900.336608435</v>
      </c>
      <c r="Z61" s="5" t="n">
        <f aca="false">-Z38+IF(Z1&lt;Inputs!$B$58,MAX(0,Z29),0)+IF(Z1=Inputs!$B$58,Z29+Z49,0)+IF(AND(Z1&gt;Inputs!$B$58,Z1&lt;=Inputs!$B$93),Z29-Z51-Z54,0)+Z58+Z59+Z56</f>
        <v>256729.666935946</v>
      </c>
      <c r="AA61" s="5" t="n">
        <f aca="false">-AA38+IF(AA1&lt;Inputs!$B$58,MAX(0,AA29),0)+IF(AA1=Inputs!$B$58,AA29+AA49,0)+IF(AND(AA1&gt;Inputs!$B$58,AA1&lt;=Inputs!$B$93),AA29-AA51-AA54,0)+AA58+AA59+AA56</f>
        <v>299558.906518249</v>
      </c>
      <c r="AB61" s="5" t="n">
        <f aca="false">-AB38+IF(AB1&lt;Inputs!$B$58,MAX(0,AB29),0)+IF(AB1=Inputs!$B$58,AB29+AB49,0)+IF(AND(AB1&gt;Inputs!$B$58,AB1&lt;=Inputs!$B$93),AB29-AB51-AB54,0)+AB58+AB59+AB56</f>
        <v>338136.96463088</v>
      </c>
      <c r="AC61" s="5" t="n">
        <f aca="false">-AC38+IF(AC1&lt;Inputs!$B$58,MAX(0,AC29),0)+IF(AC1=Inputs!$B$58,AC29+AC49,0)+IF(AND(AC1&gt;Inputs!$B$58,AC1&lt;=Inputs!$B$93),AC29-AC51-AC54,0)+AC58+AC59+AC56</f>
        <v>338908.525793133</v>
      </c>
      <c r="AD61" s="5" t="n">
        <f aca="false">-AD38+IF(AD1&lt;Inputs!$B$58,MAX(0,AD29),0)+IF(AD1=Inputs!$B$58,AD29+AD49,0)+IF(AND(AD1&gt;Inputs!$B$58,AD1&lt;=Inputs!$B$93),AD29-AD51-AD54,0)+AD58+AD59+AD56</f>
        <v>332604.775793133</v>
      </c>
      <c r="AE61" s="5" t="n">
        <f aca="false">-AE38+IF(AE1&lt;Inputs!$B$58,MAX(0,AE29),0)+IF(AE1=Inputs!$B$58,AE29+AE49,0)+IF(AND(AE1&gt;Inputs!$B$58,AE1&lt;=Inputs!$B$93),AE29-AE51-AE54,0)+AE58+AE59+AE56</f>
        <v>332604.775793133</v>
      </c>
      <c r="AF61" s="5" t="n">
        <f aca="false">-AF38+IF(AF1&lt;Inputs!$B$58,MAX(0,AF29),0)+IF(AF1=Inputs!$B$58,AF29+AF49,0)+IF(AND(AF1&gt;Inputs!$B$58,AF1&lt;=Inputs!$B$93),AF29-AF51-AF54,0)+AF58+AF59+AF56</f>
        <v>332604.775793133</v>
      </c>
      <c r="AG61" s="5" t="n">
        <f aca="false">-AG38+IF(AG1&lt;Inputs!$B$58,MAX(0,AG29),0)+IF(AG1=Inputs!$B$58,AG29+AG49,0)+IF(AND(AG1&gt;Inputs!$B$58,AG1&lt;=Inputs!$B$93),AG29-AG51-AG54,0)+AG58+AG59+AG56</f>
        <v>332604.775793133</v>
      </c>
      <c r="AH61" s="5" t="n">
        <f aca="false">-AH38+IF(AH1&lt;Inputs!$B$58,MAX(0,AH29),0)+IF(AH1=Inputs!$B$58,AH29+AH49,0)+IF(AND(AH1&gt;Inputs!$B$58,AH1&lt;=Inputs!$B$93),AH29-AH51-AH54,0)+AH58+AH59+AH56</f>
        <v>332604.775793133</v>
      </c>
      <c r="AI61" s="5" t="n">
        <f aca="false">-AI38+IF(AI1&lt;Inputs!$B$58,MAX(0,AI29),0)+IF(AI1=Inputs!$B$58,AI29+AI49,0)+IF(AND(AI1&gt;Inputs!$B$58,AI1&lt;=Inputs!$B$93),AI29-AI51-AI54,0)+AI58+AI59+AI56</f>
        <v>216779.034645989</v>
      </c>
      <c r="AJ61" s="5" t="n">
        <f aca="false">-AJ38+IF(AJ1&lt;Inputs!$B$58,MAX(0,AJ29),0)+IF(AJ1=Inputs!$B$58,AJ29+AJ49,0)+IF(AND(AJ1&gt;Inputs!$B$58,AJ1&lt;=Inputs!$B$93),AJ29-AJ51-AJ54,0)+AJ58+AJ59+AJ56</f>
        <v>29391.0833779681</v>
      </c>
      <c r="AK61" s="5" t="n">
        <f aca="false">-AK38+IF(AK1&lt;Inputs!$B$58,MAX(0,AK29),0)+IF(AK1=Inputs!$B$58,AK29+AK49,0)+IF(AND(AK1&gt;Inputs!$B$58,AK1&lt;=Inputs!$B$93),AK29-AK51-AK54,0)+AK58+AK59+AK56</f>
        <v>29397.9668788349</v>
      </c>
      <c r="AL61" s="5" t="n">
        <f aca="false">-AL38+IF(AL1&lt;Inputs!$B$58,MAX(0,AL29),0)+IF(AL1=Inputs!$B$58,AL29+AL49,0)+IF(AND(AL1&gt;Inputs!$B$58,AL1&lt;=Inputs!$B$93),AL29-AL51-AL54,0)+AL58+AL59+AL56</f>
        <v>29404.8862312688</v>
      </c>
      <c r="AM61" s="5" t="n">
        <f aca="false">-AM38+IF(AM1&lt;Inputs!$B$58,MAX(0,AM29),0)+IF(AM1=Inputs!$B$58,AM29+AM49,0)+IF(AND(AM1&gt;Inputs!$B$58,AM1&lt;=Inputs!$B$93),AM29-AM51-AM54,0)+AM58+AM59+AM56</f>
        <v>35110.6495323174</v>
      </c>
      <c r="AN61" s="5" t="n">
        <f aca="false">-AN38+IF(AN1&lt;Inputs!$B$58,MAX(0,AN29),0)+IF(AN1=Inputs!$B$58,AN29+AN49,0)+IF(AND(AN1&gt;Inputs!$B$58,AN1&lt;=Inputs!$B$93),AN29-AN51-AN54,0)+AN58+AN59+AN56</f>
        <v>35117.6411490386</v>
      </c>
      <c r="AO61" s="5" t="n">
        <f aca="false">-AO38+IF(AO1&lt;Inputs!$B$58,MAX(0,AO29),0)+IF(AO1=Inputs!$B$58,AO29+AO49,0)+IF(AND(AO1&gt;Inputs!$B$58,AO1&lt;=Inputs!$B$93),AO29-AO51-AO54,0)+AO58+AO59+AO56</f>
        <v>35124.6691804302</v>
      </c>
      <c r="AP61" s="5" t="n">
        <f aca="false">-AP38+IF(AP1&lt;Inputs!$B$58,MAX(0,AP29),0)+IF(AP1=Inputs!$B$58,AP29+AP49,0)+IF(AND(AP1&gt;Inputs!$B$58,AP1&lt;=Inputs!$B$93),AP29-AP51-AP54,0)+AP58+AP59+AP56</f>
        <v>35131.7338161519</v>
      </c>
      <c r="AQ61" s="5" t="n">
        <f aca="false">-AQ38+IF(AQ1&lt;Inputs!$B$58,MAX(0,AQ29),0)+IF(AQ1=Inputs!$B$58,AQ29+AQ49,0)+IF(AND(AQ1&gt;Inputs!$B$58,AQ1&lt;=Inputs!$B$93),AQ29-AQ51-AQ54,0)+AQ58+AQ59+AQ56</f>
        <v>35138.8352468513</v>
      </c>
      <c r="AR61" s="5" t="n">
        <f aca="false">-AR38+IF(AR1&lt;Inputs!$B$58,MAX(0,AR29),0)+IF(AR1=Inputs!$B$58,AR29+AR49,0)+IF(AND(AR1&gt;Inputs!$B$58,AR1&lt;=Inputs!$B$93),AR29-AR51-AR54,0)+AR58+AR59+AR56</f>
        <v>35145.973664169</v>
      </c>
      <c r="AS61" s="5" t="n">
        <f aca="false">-AS38+IF(AS1&lt;Inputs!$B$58,MAX(0,AS29),0)+IF(AS1=Inputs!$B$58,AS29+AS49,0)+IF(AND(AS1&gt;Inputs!$B$58,AS1&lt;=Inputs!$B$93),AS29-AS51-AS54,0)+AS58+AS59+AS56</f>
        <v>35153.1492607435</v>
      </c>
      <c r="AT61" s="5" t="n">
        <f aca="false">-AT38+IF(AT1&lt;Inputs!$B$58,MAX(0,AT29),0)+IF(AT1=Inputs!$B$58,AT29+AT49,0)+IF(AND(AT1&gt;Inputs!$B$58,AT1&lt;=Inputs!$B$93),AT29-AT51-AT54,0)+AT58+AT59+AT56</f>
        <v>35160.3622302169</v>
      </c>
      <c r="AU61" s="5" t="n">
        <f aca="false">-AU38+IF(AU1&lt;Inputs!$B$58,MAX(0,AU29),0)+IF(AU1=Inputs!$B$58,AU29+AU49,0)+IF(AND(AU1&gt;Inputs!$B$58,AU1&lt;=Inputs!$B$93),AU29-AU51-AU54,0)+AU58+AU59+AU56</f>
        <v>35167.6127672396</v>
      </c>
      <c r="AV61" s="5" t="n">
        <f aca="false">-AV38+IF(AV1&lt;Inputs!$B$58,MAX(0,AV29),0)+IF(AV1=Inputs!$B$58,AV29+AV49,0)+IF(AND(AV1&gt;Inputs!$B$58,AV1&lt;=Inputs!$B$93),AV29-AV51-AV54,0)+AV58+AV59+AV56</f>
        <v>35174.9010674759</v>
      </c>
      <c r="AW61" s="5" t="n">
        <f aca="false">-AW38+IF(AW1&lt;Inputs!$B$58,MAX(0,AW29),0)+IF(AW1=Inputs!$B$58,AW29+AW49,0)+IF(AND(AW1&gt;Inputs!$B$58,AW1&lt;=Inputs!$B$93),AW29-AW51-AW54,0)+AW58+AW59+AW56</f>
        <v>35182.2273276094</v>
      </c>
      <c r="AX61" s="5" t="n">
        <f aca="false">-AX38+IF(AX1&lt;Inputs!$B$58,MAX(0,AX29),0)+IF(AX1=Inputs!$B$58,AX29+AX49,0)+IF(AND(AX1&gt;Inputs!$B$58,AX1&lt;=Inputs!$B$93),AX29-AX51-AX54,0)+AX58+AX59+AX56</f>
        <v>35189.5917453477</v>
      </c>
      <c r="AY61" s="5" t="n">
        <f aca="false">-AY38+IF(AY1&lt;Inputs!$B$58,MAX(0,AY29),0)+IF(AY1=Inputs!$B$58,AY29+AY49,0)+IF(AND(AY1&gt;Inputs!$B$58,AY1&lt;=Inputs!$B$93),AY29-AY51-AY54,0)+AY58+AY59+AY56</f>
        <v>40985.9463978172</v>
      </c>
      <c r="AZ61" s="5" t="n">
        <f aca="false">-AZ38+IF(AZ1&lt;Inputs!$B$58,MAX(0,AZ29),0)+IF(AZ1=Inputs!$B$58,AZ29+AZ49,0)+IF(AND(AZ1&gt;Inputs!$B$58,AZ1&lt;=Inputs!$B$93),AZ29-AZ51-AZ54,0)+AZ58+AZ59+AZ56</f>
        <v>40993.3877280129</v>
      </c>
      <c r="BA61" s="5" t="n">
        <f aca="false">-BA38+IF(BA1&lt;Inputs!$B$58,MAX(0,BA29),0)+IF(BA1=Inputs!$B$58,BA29+BA49,0)+IF(AND(BA1&gt;Inputs!$B$58,BA1&lt;=Inputs!$B$93),BA29-BA51-BA54,0)+BA58+BA59+BA56</f>
        <v>41000.8678151367</v>
      </c>
      <c r="BB61" s="5" t="n">
        <f aca="false">-BB38+IF(BB1&lt;Inputs!$B$58,MAX(0,BB29),0)+IF(BB1=Inputs!$B$58,BB29+BB49,0)+IF(AND(BB1&gt;Inputs!$B$58,BB1&lt;=Inputs!$B$93),BB29-BB51-BB54,0)+BB58+BB59+BB56</f>
        <v>41008.3868610475</v>
      </c>
      <c r="BC61" s="5" t="n">
        <f aca="false">-BC38+IF(BC1&lt;Inputs!$B$58,MAX(0,BC29),0)+IF(BC1=Inputs!$B$58,BC29+BC49,0)+IF(AND(BC1&gt;Inputs!$B$58,BC1&lt;=Inputs!$B$93),BC29-BC51-BC54,0)+BC58+BC59+BC56</f>
        <v>41015.9450686559</v>
      </c>
      <c r="BD61" s="5" t="n">
        <f aca="false">-BD38+IF(BD1&lt;Inputs!$B$58,MAX(0,BD29),0)+IF(BD1=Inputs!$B$58,BD29+BD49,0)+IF(AND(BD1&gt;Inputs!$B$58,BD1&lt;=Inputs!$B$93),BD29-BD51-BD54,0)+BD58+BD59+BD56</f>
        <v>41023.5426419288</v>
      </c>
      <c r="BE61" s="5" t="n">
        <f aca="false">-BE38+IF(BE1&lt;Inputs!$B$58,MAX(0,BE29),0)+IF(BE1=Inputs!$B$58,BE29+BE49,0)+IF(AND(BE1&gt;Inputs!$B$58,BE1&lt;=Inputs!$B$93),BE29-BE51-BE54,0)+BE58+BE59+BE56</f>
        <v>41031.1797858959</v>
      </c>
      <c r="BF61" s="5" t="n">
        <f aca="false">-BF38+IF(BF1&lt;Inputs!$B$58,MAX(0,BF29),0)+IF(BF1=Inputs!$B$58,BF29+BF49,0)+IF(AND(BF1&gt;Inputs!$B$58,BF1&lt;=Inputs!$B$93),BF29-BF51-BF54,0)+BF58+BF59+BF56</f>
        <v>41038.8567066545</v>
      </c>
      <c r="BG61" s="5" t="n">
        <f aca="false">-BG38+IF(BG1&lt;Inputs!$B$58,MAX(0,BG29),0)+IF(BG1=Inputs!$B$58,BG29+BG49,0)+IF(AND(BG1&gt;Inputs!$B$58,BG1&lt;=Inputs!$B$93),BG29-BG51-BG54,0)+BG58+BG59+BG56</f>
        <v>41046.5736113754</v>
      </c>
      <c r="BH61" s="5" t="n">
        <f aca="false">-BH38+IF(BH1&lt;Inputs!$B$58,MAX(0,BH29),0)+IF(BH1=Inputs!$B$58,BH29+BH49,0)+IF(AND(BH1&gt;Inputs!$B$58,BH1&lt;=Inputs!$B$93),BH29-BH51-BH54,0)+BH58+BH59+BH56</f>
        <v>41054.3307083083</v>
      </c>
      <c r="BI61" s="5" t="n">
        <f aca="false">-BI38+IF(BI1&lt;Inputs!$B$58,MAX(0,BI29),0)+IF(BI1=Inputs!$B$58,BI29+BI49,0)+IF(AND(BI1&gt;Inputs!$B$58,BI1&lt;=Inputs!$B$93),BI29-BI51-BI54,0)+BI58+BI59+BI56</f>
        <v>41062.1282067878</v>
      </c>
      <c r="BJ61" s="5" t="n">
        <f aca="false">-BJ38+IF(BJ1&lt;Inputs!$B$58,MAX(0,BJ29),0)+IF(BJ1=Inputs!$B$58,BJ29+BJ49,0)+IF(AND(BJ1&gt;Inputs!$B$58,BJ1&lt;=Inputs!$B$93),BJ29-BJ51-BJ54,0)+BJ58+BJ59+BJ56</f>
        <v>16419138.3356279</v>
      </c>
      <c r="BK61" s="5" t="n">
        <f aca="false">-BK38+IF(BK1&lt;Inputs!$B$58,MAX(0,BK29),0)+IF(BK1=Inputs!$B$58,BK29+BK49,0)+IF(AND(BK1&gt;Inputs!$B$58,BK1&lt;=Inputs!$B$93),BK29-BK51-BK54,0)+BK58+BK59+BK56</f>
        <v>0</v>
      </c>
      <c r="BL61" s="5" t="n">
        <f aca="false">-BL38+IF(BL1&lt;Inputs!$B$58,MAX(0,BL29),0)+IF(BL1=Inputs!$B$58,BL29+BL49,0)+IF(AND(BL1&gt;Inputs!$B$58,BL1&lt;=Inputs!$B$93),BL29-BL51-BL54,0)+BL58+BL59+BL56</f>
        <v>0</v>
      </c>
      <c r="BM61" s="5" t="n">
        <f aca="false">-BM38+IF(BM1&lt;Inputs!$B$58,MAX(0,BM29),0)+IF(BM1=Inputs!$B$58,BM29+BM49,0)+IF(AND(BM1&gt;Inputs!$B$58,BM1&lt;=Inputs!$B$93),BM29-BM51-BM54,0)+BM58+BM59+BM56</f>
        <v>0</v>
      </c>
      <c r="BN61" s="5" t="n">
        <f aca="false">-BN38+IF(BN1&lt;Inputs!$B$58,MAX(0,BN29),0)+IF(BN1=Inputs!$B$58,BN29+BN49,0)+IF(AND(BN1&gt;Inputs!$B$58,BN1&lt;=Inputs!$B$93),BN29-BN51-BN54,0)+BN58+BN59+BN56</f>
        <v>0</v>
      </c>
      <c r="BO61" s="5" t="n">
        <f aca="false">-BO38+IF(BO1&lt;Inputs!$B$58,MAX(0,BO29),0)+IF(BO1=Inputs!$B$58,BO29+BO49,0)+IF(AND(BO1&gt;Inputs!$B$58,BO1&lt;=Inputs!$B$93),BO29-BO51-BO54,0)+BO58+BO59+BO56</f>
        <v>0</v>
      </c>
      <c r="BP61" s="5" t="n">
        <f aca="false">-BP38+IF(BP1&lt;Inputs!$B$58,MAX(0,BP29),0)+IF(BP1=Inputs!$B$58,BP29+BP49,0)+IF(AND(BP1&gt;Inputs!$B$58,BP1&lt;=Inputs!$B$93),BP29-BP51-BP54,0)+BP58+BP59+BP56</f>
        <v>0</v>
      </c>
      <c r="BQ61" s="5" t="n">
        <f aca="false">-BQ38+IF(BQ1&lt;Inputs!$B$58,MAX(0,BQ29),0)+IF(BQ1=Inputs!$B$58,BQ29+BQ49,0)+IF(AND(BQ1&gt;Inputs!$B$58,BQ1&lt;=Inputs!$B$93),BQ29-BQ51-BQ54,0)+BQ58+BQ59+BQ56</f>
        <v>0</v>
      </c>
      <c r="BR61" s="5" t="n">
        <f aca="false">-BR38+IF(BR1&lt;Inputs!$B$58,MAX(0,BR29),0)+IF(BR1=Inputs!$B$58,BR29+BR49,0)+IF(AND(BR1&gt;Inputs!$B$58,BR1&lt;=Inputs!$B$93),BR29-BR51-BR54,0)+BR58+BR59+BR56</f>
        <v>0</v>
      </c>
      <c r="BS61" s="5" t="n">
        <f aca="false">-BS38+IF(BS1&lt;Inputs!$B$58,MAX(0,BS29),0)+IF(BS1=Inputs!$B$58,BS29+BS49,0)+IF(AND(BS1&gt;Inputs!$B$58,BS1&lt;=Inputs!$B$93),BS29-BS51-BS54,0)+BS58+BS59+BS56</f>
        <v>0</v>
      </c>
      <c r="BT61" s="5" t="n">
        <f aca="false">-BT38+IF(BT1&lt;Inputs!$B$58,MAX(0,BT29),0)+IF(BT1=Inputs!$B$58,BT29+BT49,0)+IF(AND(BT1&gt;Inputs!$B$58,BT1&lt;=Inputs!$B$93),BT29-BT51-BT54,0)+BT58+BT59+BT56</f>
        <v>0</v>
      </c>
      <c r="BU61" s="5" t="n">
        <f aca="false">-BU38+IF(BU1&lt;Inputs!$B$58,MAX(0,BU29),0)+IF(BU1=Inputs!$B$58,BU29+BU49,0)+IF(AND(BU1&gt;Inputs!$B$58,BU1&lt;=Inputs!$B$93),BU29-BU51-BU54,0)+BU58+BU59+BU56</f>
        <v>0</v>
      </c>
      <c r="BV61" s="5" t="n">
        <f aca="false">-BV38+IF(BV1&lt;Inputs!$B$58,MAX(0,BV29),0)+IF(BV1=Inputs!$B$58,BV29+BV49,0)+IF(AND(BV1&gt;Inputs!$B$58,BV1&lt;=Inputs!$B$93),BV29-BV51-BV54,0)+BV58+BV59+BV56</f>
        <v>0</v>
      </c>
      <c r="BW61" s="5" t="n">
        <f aca="false">-BW38+IF(BW1&lt;Inputs!$B$58,MAX(0,BW29),0)+IF(BW1=Inputs!$B$58,BW29+BW49,0)+IF(AND(BW1&gt;Inputs!$B$58,BW1&lt;=Inputs!$B$93),BW29-BW51-BW54,0)+BW58+BW59+BW56</f>
        <v>0</v>
      </c>
      <c r="BX61" s="5" t="n">
        <f aca="false">-BX38+IF(BX1&lt;Inputs!$B$58,MAX(0,BX29),0)+IF(BX1=Inputs!$B$58,BX29+BX49,0)+IF(AND(BX1&gt;Inputs!$B$58,BX1&lt;=Inputs!$B$93),BX29-BX51-BX54,0)+BX58+BX59+BX56</f>
        <v>0</v>
      </c>
      <c r="BY61" s="5" t="n">
        <f aca="false">-BY38+IF(BY1&lt;Inputs!$B$58,MAX(0,BY29),0)+IF(BY1=Inputs!$B$58,BY29+BY49,0)+IF(AND(BY1&gt;Inputs!$B$58,BY1&lt;=Inputs!$B$93),BY29-BY51-BY54,0)+BY58+BY59+BY56</f>
        <v>0</v>
      </c>
      <c r="BZ61" s="5" t="n">
        <f aca="false">-BZ38+IF(BZ1&lt;Inputs!$B$58,MAX(0,BZ29),0)+IF(BZ1=Inputs!$B$58,BZ29+BZ49,0)+IF(AND(BZ1&gt;Inputs!$B$58,BZ1&lt;=Inputs!$B$93),BZ29-BZ51-BZ54,0)+BZ58+BZ59+BZ56</f>
        <v>0</v>
      </c>
      <c r="CA61" s="5" t="n">
        <f aca="false">-CA38+IF(CA1&lt;Inputs!$B$58,MAX(0,CA29),0)+IF(CA1=Inputs!$B$58,CA29+CA49,0)+IF(AND(CA1&gt;Inputs!$B$58,CA1&lt;=Inputs!$B$93),CA29-CA51-CA54,0)+CA58+CA59+CA56</f>
        <v>0</v>
      </c>
      <c r="CB61" s="5" t="n">
        <f aca="false">-CB38+IF(CB1&lt;Inputs!$B$58,MAX(0,CB29),0)+IF(CB1=Inputs!$B$58,CB29+CB49,0)+IF(AND(CB1&gt;Inputs!$B$58,CB1&lt;=Inputs!$B$93),CB29-CB51-CB54,0)+CB58+CB59+CB56</f>
        <v>0</v>
      </c>
      <c r="CC61" s="5" t="n">
        <f aca="false">-CC38+IF(CC1&lt;Inputs!$B$58,MAX(0,CC29),0)+IF(CC1=Inputs!$B$58,CC29+CC49,0)+IF(AND(CC1&gt;Inputs!$B$58,CC1&lt;=Inputs!$B$93),CC29-CC51-CC54,0)+CC58+CC59+CC56</f>
        <v>0</v>
      </c>
      <c r="CD61" s="5" t="n">
        <f aca="false">-CD38+IF(CD1&lt;Inputs!$B$58,MAX(0,CD29),0)+IF(CD1=Inputs!$B$58,CD29+CD49,0)+IF(AND(CD1&gt;Inputs!$B$58,CD1&lt;=Inputs!$B$93),CD29-CD51-CD54,0)+CD58+CD59+CD56</f>
        <v>0</v>
      </c>
      <c r="CE61" s="5" t="n">
        <f aca="false">-CE38+IF(CE1&lt;Inputs!$B$58,MAX(0,CE29),0)+IF(CE1=Inputs!$B$58,CE29+CE49,0)+IF(AND(CE1&gt;Inputs!$B$58,CE1&lt;=Inputs!$B$93),CE29-CE51-CE54,0)+CE58+CE59+CE56</f>
        <v>0</v>
      </c>
      <c r="CF61" s="5" t="n">
        <f aca="false">-CF38+IF(CF1&lt;Inputs!$B$58,MAX(0,CF29),0)+IF(CF1=Inputs!$B$58,CF29+CF49,0)+IF(AND(CF1&gt;Inputs!$B$58,CF1&lt;=Inputs!$B$93),CF29-CF51-CF54,0)+CF58+CF59+CF56</f>
        <v>0</v>
      </c>
      <c r="CG61" s="5" t="n">
        <f aca="false">-CG38+IF(CG1&lt;Inputs!$B$58,MAX(0,CG29),0)+IF(CG1=Inputs!$B$58,CG29+CG49,0)+IF(AND(CG1&gt;Inputs!$B$58,CG1&lt;=Inputs!$B$93),CG29-CG51-CG54,0)+CG58+CG59+CG56</f>
        <v>0</v>
      </c>
      <c r="CH61" s="5" t="n">
        <f aca="false">-CH38+IF(CH1&lt;Inputs!$B$58,MAX(0,CH29),0)+IF(CH1=Inputs!$B$58,CH29+CH49,0)+IF(AND(CH1&gt;Inputs!$B$58,CH1&lt;=Inputs!$B$93),CH29-CH51-CH54,0)+CH58+CH59+CH56</f>
        <v>0</v>
      </c>
      <c r="CI61" s="5" t="n">
        <f aca="false">-CI38+IF(CI1&lt;Inputs!$B$58,MAX(0,CI29),0)+IF(CI1=Inputs!$B$58,CI29+CI49,0)+IF(AND(CI1&gt;Inputs!$B$58,CI1&lt;=Inputs!$B$93),CI29-CI51-CI54,0)+CI58+CI59+CI56</f>
        <v>0</v>
      </c>
      <c r="CJ61" s="5" t="n">
        <f aca="false">-CJ38+IF(CJ1&lt;Inputs!$B$58,MAX(0,CJ29),0)+IF(CJ1=Inputs!$B$58,CJ29+CJ49,0)+IF(AND(CJ1&gt;Inputs!$B$58,CJ1&lt;=Inputs!$B$93),CJ29-CJ51-CJ54,0)+CJ58+CJ59+CJ56</f>
        <v>0</v>
      </c>
      <c r="CK61" s="5" t="n">
        <f aca="false">-CK38+IF(CK1&lt;Inputs!$B$58,MAX(0,CK29),0)+IF(CK1=Inputs!$B$58,CK29+CK49,0)+IF(AND(CK1&gt;Inputs!$B$58,CK1&lt;=Inputs!$B$93),CK29-CK51-CK54,0)+CK58+CK59+CK56</f>
        <v>0</v>
      </c>
      <c r="CL61" s="5" t="n">
        <f aca="false">-CL38+IF(CL1&lt;Inputs!$B$58,MAX(0,CL29),0)+IF(CL1=Inputs!$B$58,CL29+CL49,0)+IF(AND(CL1&gt;Inputs!$B$58,CL1&lt;=Inputs!$B$93),CL29-CL51-CL54,0)+CL58+CL59+CL56</f>
        <v>0</v>
      </c>
      <c r="CM61" s="5" t="n">
        <f aca="false">-CM38+IF(CM1&lt;Inputs!$B$58,MAX(0,CM29),0)+IF(CM1=Inputs!$B$58,CM29+CM49,0)+IF(AND(CM1&gt;Inputs!$B$58,CM1&lt;=Inputs!$B$93),CM29-CM51-CM54,0)+CM58+CM59+CM56</f>
        <v>0</v>
      </c>
      <c r="CN61" s="5" t="n">
        <f aca="false">-CN38+IF(CN1&lt;Inputs!$B$58,MAX(0,CN29),0)+IF(CN1=Inputs!$B$58,CN29+CN49,0)+IF(AND(CN1&gt;Inputs!$B$58,CN1&lt;=Inputs!$B$93),CN29-CN51-CN54,0)+CN58+CN59+CN56</f>
        <v>0</v>
      </c>
      <c r="CO61" s="5" t="n">
        <f aca="false">-CO38+IF(CO1&lt;Inputs!$B$58,MAX(0,CO29),0)+IF(CO1=Inputs!$B$58,CO29+CO49,0)+IF(AND(CO1&gt;Inputs!$B$58,CO1&lt;=Inputs!$B$93),CO29-CO51-CO54,0)+CO58+CO59+CO56</f>
        <v>0</v>
      </c>
      <c r="CP61" s="5" t="n">
        <f aca="false">-CP38+IF(CP1&lt;Inputs!$B$58,MAX(0,CP29),0)+IF(CP1=Inputs!$B$58,CP29+CP49,0)+IF(AND(CP1&gt;Inputs!$B$58,CP1&lt;=Inputs!$B$93),CP29-CP51-CP54,0)+CP58+CP59+CP56</f>
        <v>0</v>
      </c>
      <c r="CQ61" s="5" t="n">
        <f aca="false">-CQ38+IF(CQ1&lt;Inputs!$B$58,MAX(0,CQ29),0)+IF(CQ1=Inputs!$B$58,CQ29+CQ49,0)+IF(AND(CQ1&gt;Inputs!$B$58,CQ1&lt;=Inputs!$B$93),CQ29-CQ51-CQ54,0)+CQ58+CQ59+CQ56</f>
        <v>0</v>
      </c>
      <c r="CR61" s="5" t="n">
        <f aca="false">-CR38+IF(CR1&lt;Inputs!$B$58,MAX(0,CR29),0)+IF(CR1=Inputs!$B$58,CR29+CR49,0)+IF(AND(CR1&gt;Inputs!$B$58,CR1&lt;=Inputs!$B$93),CR29-CR51-CR54,0)+CR58+CR59+CR56</f>
        <v>0</v>
      </c>
      <c r="CS61" s="5" t="n">
        <f aca="false">-CS38+IF(CS1&lt;Inputs!$B$58,MAX(0,CS29),0)+IF(CS1=Inputs!$B$58,CS29+CS49,0)+IF(AND(CS1&gt;Inputs!$B$58,CS1&lt;=Inputs!$B$93),CS29-CS51-CS54,0)+CS58+CS59+CS56</f>
        <v>0</v>
      </c>
      <c r="CT61" s="5" t="n">
        <f aca="false">-CT38+IF(CT1&lt;Inputs!$B$58,MAX(0,CT29),0)+IF(CT1=Inputs!$B$58,CT29+CT49,0)+IF(AND(CT1&gt;Inputs!$B$58,CT1&lt;=Inputs!$B$93),CT29-CT51-CT54,0)+CT58+CT59+CT56</f>
        <v>0</v>
      </c>
    </row>
    <row r="63" customFormat="false" ht="15" hidden="false" customHeight="false" outlineLevel="0" collapsed="false">
      <c r="B63" s="2" t="s">
        <v>196</v>
      </c>
      <c r="C63" s="30" t="n">
        <f aca="false">IFERROR(XIRR(C61:CT61,C2:CT2,0.1),"")</f>
        <v>0.103947623695495</v>
      </c>
    </row>
    <row r="64" customFormat="false" ht="15" hidden="false" customHeight="false" outlineLevel="0" collapsed="false">
      <c r="B64" s="2" t="s">
        <v>197</v>
      </c>
      <c r="C64" s="31" t="n">
        <f aca="false">IFERROR(SUMIF(C61:CT61,"&gt;0")/-SUMIF(C61:CT61,"&lt;0"),"")</f>
        <v>1.50897731393259</v>
      </c>
    </row>
    <row r="65" customFormat="false" ht="15" hidden="false" customHeight="false" outlineLevel="0" collapsed="false">
      <c r="B65" s="2" t="s">
        <v>198</v>
      </c>
      <c r="C65" s="5" t="n">
        <f aca="false">SUM(C61:CT61)</f>
        <v>7214751.42475618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</cols>
  <sheetData>
    <row r="1" customFormat="false" ht="15" hidden="false" customHeight="false" outlineLevel="0" collapsed="false">
      <c r="A1" s="2" t="s">
        <v>199</v>
      </c>
    </row>
    <row r="2" customFormat="false" ht="15" hidden="false" customHeight="false" outlineLevel="0" collapsed="false">
      <c r="B2" s="0" t="s">
        <v>117</v>
      </c>
      <c r="C2" s="32" t="n">
        <f aca="false">Inputs!$B$88</f>
        <v>14174996.0700836</v>
      </c>
    </row>
    <row r="3" customFormat="false" ht="15" hidden="false" customHeight="false" outlineLevel="0" collapsed="false">
      <c r="B3" s="0" t="s">
        <v>118</v>
      </c>
      <c r="C3" s="32" t="n">
        <f aca="false">Inputs!$B$89</f>
        <v>0</v>
      </c>
    </row>
    <row r="4" customFormat="false" ht="15" hidden="false" customHeight="false" outlineLevel="0" collapsed="false">
      <c r="B4" s="0" t="s">
        <v>119</v>
      </c>
      <c r="C4" s="32" t="n">
        <f aca="false">Inputs!$B$90</f>
        <v>0</v>
      </c>
    </row>
    <row r="6" customFormat="false" ht="15" hidden="false" customHeight="false" outlineLevel="0" collapsed="false">
      <c r="B6" s="26" t="s">
        <v>145</v>
      </c>
      <c r="C6" s="0" t="n">
        <f aca="false">'Monthly CF'!C1</f>
        <v>1</v>
      </c>
      <c r="D6" s="0" t="n">
        <f aca="false">'Monthly CF'!D1</f>
        <v>2</v>
      </c>
      <c r="E6" s="0" t="n">
        <f aca="false">'Monthly CF'!E1</f>
        <v>3</v>
      </c>
      <c r="F6" s="0" t="n">
        <f aca="false">'Monthly CF'!F1</f>
        <v>4</v>
      </c>
      <c r="G6" s="0" t="n">
        <f aca="false">'Monthly CF'!G1</f>
        <v>5</v>
      </c>
      <c r="H6" s="0" t="n">
        <f aca="false">'Monthly CF'!H1</f>
        <v>6</v>
      </c>
      <c r="I6" s="0" t="n">
        <f aca="false">'Monthly CF'!I1</f>
        <v>7</v>
      </c>
      <c r="J6" s="0" t="n">
        <f aca="false">'Monthly CF'!J1</f>
        <v>8</v>
      </c>
      <c r="K6" s="0" t="n">
        <f aca="false">'Monthly CF'!K1</f>
        <v>9</v>
      </c>
      <c r="L6" s="0" t="n">
        <f aca="false">'Monthly CF'!L1</f>
        <v>10</v>
      </c>
      <c r="M6" s="0" t="n">
        <f aca="false">'Monthly CF'!M1</f>
        <v>11</v>
      </c>
      <c r="N6" s="0" t="n">
        <f aca="false">'Monthly CF'!N1</f>
        <v>12</v>
      </c>
      <c r="O6" s="0" t="n">
        <f aca="false">'Monthly CF'!O1</f>
        <v>13</v>
      </c>
      <c r="P6" s="0" t="n">
        <f aca="false">'Monthly CF'!P1</f>
        <v>14</v>
      </c>
      <c r="Q6" s="0" t="n">
        <f aca="false">'Monthly CF'!Q1</f>
        <v>15</v>
      </c>
      <c r="R6" s="0" t="n">
        <f aca="false">'Monthly CF'!R1</f>
        <v>16</v>
      </c>
      <c r="S6" s="0" t="n">
        <f aca="false">'Monthly CF'!S1</f>
        <v>17</v>
      </c>
      <c r="T6" s="0" t="n">
        <f aca="false">'Monthly CF'!T1</f>
        <v>18</v>
      </c>
      <c r="U6" s="0" t="n">
        <f aca="false">'Monthly CF'!U1</f>
        <v>19</v>
      </c>
      <c r="V6" s="0" t="n">
        <f aca="false">'Monthly CF'!V1</f>
        <v>20</v>
      </c>
      <c r="W6" s="0" t="n">
        <f aca="false">'Monthly CF'!W1</f>
        <v>21</v>
      </c>
      <c r="X6" s="0" t="n">
        <f aca="false">'Monthly CF'!X1</f>
        <v>22</v>
      </c>
      <c r="Y6" s="0" t="n">
        <f aca="false">'Monthly CF'!Y1</f>
        <v>23</v>
      </c>
      <c r="Z6" s="0" t="n">
        <f aca="false">'Monthly CF'!Z1</f>
        <v>24</v>
      </c>
      <c r="AA6" s="0" t="n">
        <f aca="false">'Monthly CF'!AA1</f>
        <v>25</v>
      </c>
      <c r="AB6" s="0" t="n">
        <f aca="false">'Monthly CF'!AB1</f>
        <v>26</v>
      </c>
      <c r="AC6" s="0" t="n">
        <f aca="false">'Monthly CF'!AC1</f>
        <v>27</v>
      </c>
      <c r="AD6" s="0" t="n">
        <f aca="false">'Monthly CF'!AD1</f>
        <v>28</v>
      </c>
      <c r="AE6" s="0" t="n">
        <f aca="false">'Monthly CF'!AE1</f>
        <v>29</v>
      </c>
      <c r="AF6" s="0" t="n">
        <f aca="false">'Monthly CF'!AF1</f>
        <v>30</v>
      </c>
      <c r="AG6" s="0" t="n">
        <f aca="false">'Monthly CF'!AG1</f>
        <v>31</v>
      </c>
      <c r="AH6" s="0" t="n">
        <f aca="false">'Monthly CF'!AH1</f>
        <v>32</v>
      </c>
      <c r="AI6" s="0" t="n">
        <f aca="false">'Monthly CF'!AI1</f>
        <v>33</v>
      </c>
      <c r="AJ6" s="0" t="n">
        <f aca="false">'Monthly CF'!AJ1</f>
        <v>34</v>
      </c>
      <c r="AK6" s="0" t="n">
        <f aca="false">'Monthly CF'!AK1</f>
        <v>35</v>
      </c>
      <c r="AL6" s="0" t="n">
        <f aca="false">'Monthly CF'!AL1</f>
        <v>36</v>
      </c>
      <c r="AM6" s="0" t="n">
        <f aca="false">'Monthly CF'!AM1</f>
        <v>37</v>
      </c>
      <c r="AN6" s="0" t="n">
        <f aca="false">'Monthly CF'!AN1</f>
        <v>38</v>
      </c>
      <c r="AO6" s="0" t="n">
        <f aca="false">'Monthly CF'!AO1</f>
        <v>39</v>
      </c>
      <c r="AP6" s="0" t="n">
        <f aca="false">'Monthly CF'!AP1</f>
        <v>40</v>
      </c>
      <c r="AQ6" s="0" t="n">
        <f aca="false">'Monthly CF'!AQ1</f>
        <v>41</v>
      </c>
      <c r="AR6" s="0" t="n">
        <f aca="false">'Monthly CF'!AR1</f>
        <v>42</v>
      </c>
      <c r="AS6" s="0" t="n">
        <f aca="false">'Monthly CF'!AS1</f>
        <v>43</v>
      </c>
      <c r="AT6" s="0" t="n">
        <f aca="false">'Monthly CF'!AT1</f>
        <v>44</v>
      </c>
      <c r="AU6" s="0" t="n">
        <f aca="false">'Monthly CF'!AU1</f>
        <v>45</v>
      </c>
      <c r="AV6" s="0" t="n">
        <f aca="false">'Monthly CF'!AV1</f>
        <v>46</v>
      </c>
      <c r="AW6" s="0" t="n">
        <f aca="false">'Monthly CF'!AW1</f>
        <v>47</v>
      </c>
      <c r="AX6" s="0" t="n">
        <f aca="false">'Monthly CF'!AX1</f>
        <v>48</v>
      </c>
      <c r="AY6" s="0" t="n">
        <f aca="false">'Monthly CF'!AY1</f>
        <v>49</v>
      </c>
      <c r="AZ6" s="0" t="n">
        <f aca="false">'Monthly CF'!AZ1</f>
        <v>50</v>
      </c>
      <c r="BA6" s="0" t="n">
        <f aca="false">'Monthly CF'!BA1</f>
        <v>51</v>
      </c>
      <c r="BB6" s="0" t="n">
        <f aca="false">'Monthly CF'!BB1</f>
        <v>52</v>
      </c>
      <c r="BC6" s="0" t="n">
        <f aca="false">'Monthly CF'!BC1</f>
        <v>53</v>
      </c>
      <c r="BD6" s="0" t="n">
        <f aca="false">'Monthly CF'!BD1</f>
        <v>54</v>
      </c>
      <c r="BE6" s="0" t="n">
        <f aca="false">'Monthly CF'!BE1</f>
        <v>55</v>
      </c>
      <c r="BF6" s="0" t="n">
        <f aca="false">'Monthly CF'!BF1</f>
        <v>56</v>
      </c>
      <c r="BG6" s="0" t="n">
        <f aca="false">'Monthly CF'!BG1</f>
        <v>57</v>
      </c>
      <c r="BH6" s="0" t="n">
        <f aca="false">'Monthly CF'!BH1</f>
        <v>58</v>
      </c>
      <c r="BI6" s="0" t="n">
        <f aca="false">'Monthly CF'!BI1</f>
        <v>59</v>
      </c>
      <c r="BJ6" s="0" t="n">
        <f aca="false">'Monthly CF'!BJ1</f>
        <v>60</v>
      </c>
      <c r="BK6" s="0" t="n">
        <f aca="false">'Monthly CF'!BK1</f>
        <v>61</v>
      </c>
      <c r="BL6" s="0" t="n">
        <f aca="false">'Monthly CF'!BL1</f>
        <v>62</v>
      </c>
      <c r="BM6" s="0" t="n">
        <f aca="false">'Monthly CF'!BM1</f>
        <v>63</v>
      </c>
      <c r="BN6" s="0" t="n">
        <f aca="false">'Monthly CF'!BN1</f>
        <v>64</v>
      </c>
      <c r="BO6" s="0" t="n">
        <f aca="false">'Monthly CF'!BO1</f>
        <v>65</v>
      </c>
      <c r="BP6" s="0" t="n">
        <f aca="false">'Monthly CF'!BP1</f>
        <v>66</v>
      </c>
      <c r="BQ6" s="0" t="n">
        <f aca="false">'Monthly CF'!BQ1</f>
        <v>67</v>
      </c>
      <c r="BR6" s="0" t="n">
        <f aca="false">'Monthly CF'!BR1</f>
        <v>68</v>
      </c>
      <c r="BS6" s="0" t="n">
        <f aca="false">'Monthly CF'!BS1</f>
        <v>69</v>
      </c>
      <c r="BT6" s="0" t="n">
        <f aca="false">'Monthly CF'!BT1</f>
        <v>70</v>
      </c>
      <c r="BU6" s="0" t="n">
        <f aca="false">'Monthly CF'!BU1</f>
        <v>71</v>
      </c>
      <c r="BV6" s="0" t="n">
        <f aca="false">'Monthly CF'!BV1</f>
        <v>72</v>
      </c>
      <c r="BW6" s="0" t="n">
        <f aca="false">'Monthly CF'!BW1</f>
        <v>73</v>
      </c>
      <c r="BX6" s="0" t="n">
        <f aca="false">'Monthly CF'!BX1</f>
        <v>74</v>
      </c>
      <c r="BY6" s="0" t="n">
        <f aca="false">'Monthly CF'!BY1</f>
        <v>75</v>
      </c>
      <c r="BZ6" s="0" t="n">
        <f aca="false">'Monthly CF'!BZ1</f>
        <v>76</v>
      </c>
      <c r="CA6" s="0" t="n">
        <f aca="false">'Monthly CF'!CA1</f>
        <v>77</v>
      </c>
      <c r="CB6" s="0" t="n">
        <f aca="false">'Monthly CF'!CB1</f>
        <v>78</v>
      </c>
      <c r="CC6" s="0" t="n">
        <f aca="false">'Monthly CF'!CC1</f>
        <v>79</v>
      </c>
      <c r="CD6" s="0" t="n">
        <f aca="false">'Monthly CF'!CD1</f>
        <v>80</v>
      </c>
      <c r="CE6" s="0" t="n">
        <f aca="false">'Monthly CF'!CE1</f>
        <v>81</v>
      </c>
      <c r="CF6" s="0" t="n">
        <f aca="false">'Monthly CF'!CF1</f>
        <v>82</v>
      </c>
      <c r="CG6" s="0" t="n">
        <f aca="false">'Monthly CF'!CG1</f>
        <v>83</v>
      </c>
      <c r="CH6" s="0" t="n">
        <f aca="false">'Monthly CF'!CH1</f>
        <v>84</v>
      </c>
      <c r="CI6" s="0" t="n">
        <f aca="false">'Monthly CF'!CI1</f>
        <v>85</v>
      </c>
      <c r="CJ6" s="0" t="n">
        <f aca="false">'Monthly CF'!CJ1</f>
        <v>86</v>
      </c>
      <c r="CK6" s="0" t="n">
        <f aca="false">'Monthly CF'!CK1</f>
        <v>87</v>
      </c>
      <c r="CL6" s="0" t="n">
        <f aca="false">'Monthly CF'!CL1</f>
        <v>88</v>
      </c>
      <c r="CM6" s="0" t="n">
        <f aca="false">'Monthly CF'!CM1</f>
        <v>89</v>
      </c>
      <c r="CN6" s="0" t="n">
        <f aca="false">'Monthly CF'!CN1</f>
        <v>90</v>
      </c>
      <c r="CO6" s="0" t="n">
        <f aca="false">'Monthly CF'!CO1</f>
        <v>91</v>
      </c>
      <c r="CP6" s="0" t="n">
        <f aca="false">'Monthly CF'!CP1</f>
        <v>92</v>
      </c>
      <c r="CQ6" s="0" t="n">
        <f aca="false">'Monthly CF'!CQ1</f>
        <v>93</v>
      </c>
      <c r="CR6" s="0" t="n">
        <f aca="false">'Monthly CF'!CR1</f>
        <v>94</v>
      </c>
      <c r="CS6" s="0" t="n">
        <f aca="false">'Monthly CF'!CS1</f>
        <v>95</v>
      </c>
      <c r="CT6" s="0" t="n">
        <f aca="false">'Monthly CF'!CT1</f>
        <v>96</v>
      </c>
    </row>
    <row r="7" customFormat="false" ht="15" hidden="false" customHeight="false" outlineLevel="0" collapsed="false">
      <c r="B7" s="26" t="s">
        <v>153</v>
      </c>
      <c r="C7" s="28" t="n">
        <f aca="false">'Monthly CF'!C2</f>
        <v>46265</v>
      </c>
      <c r="D7" s="28" t="n">
        <f aca="false">'Monthly CF'!D2</f>
        <v>46295</v>
      </c>
      <c r="E7" s="28" t="n">
        <f aca="false">'Monthly CF'!E2</f>
        <v>46326</v>
      </c>
      <c r="F7" s="28" t="n">
        <f aca="false">'Monthly CF'!F2</f>
        <v>46356</v>
      </c>
      <c r="G7" s="28" t="n">
        <f aca="false">'Monthly CF'!G2</f>
        <v>46387</v>
      </c>
      <c r="H7" s="28" t="n">
        <f aca="false">'Monthly CF'!H2</f>
        <v>46418</v>
      </c>
      <c r="I7" s="28" t="n">
        <f aca="false">'Monthly CF'!I2</f>
        <v>46446</v>
      </c>
      <c r="J7" s="28" t="n">
        <f aca="false">'Monthly CF'!J2</f>
        <v>46477</v>
      </c>
      <c r="K7" s="28" t="n">
        <f aca="false">'Monthly CF'!K2</f>
        <v>46507</v>
      </c>
      <c r="L7" s="28" t="n">
        <f aca="false">'Monthly CF'!L2</f>
        <v>46538</v>
      </c>
      <c r="M7" s="28" t="n">
        <f aca="false">'Monthly CF'!M2</f>
        <v>46568</v>
      </c>
      <c r="N7" s="28" t="n">
        <f aca="false">'Monthly CF'!N2</f>
        <v>46599</v>
      </c>
      <c r="O7" s="28" t="n">
        <f aca="false">'Monthly CF'!O2</f>
        <v>46630</v>
      </c>
      <c r="P7" s="28" t="n">
        <f aca="false">'Monthly CF'!P2</f>
        <v>46660</v>
      </c>
      <c r="Q7" s="28" t="n">
        <f aca="false">'Monthly CF'!Q2</f>
        <v>46691</v>
      </c>
      <c r="R7" s="28" t="n">
        <f aca="false">'Monthly CF'!R2</f>
        <v>46721</v>
      </c>
      <c r="S7" s="28" t="n">
        <f aca="false">'Monthly CF'!S2</f>
        <v>46752</v>
      </c>
      <c r="T7" s="28" t="n">
        <f aca="false">'Monthly CF'!T2</f>
        <v>46783</v>
      </c>
      <c r="U7" s="28" t="n">
        <f aca="false">'Monthly CF'!U2</f>
        <v>46812</v>
      </c>
      <c r="V7" s="28" t="n">
        <f aca="false">'Monthly CF'!V2</f>
        <v>46843</v>
      </c>
      <c r="W7" s="28" t="n">
        <f aca="false">'Monthly CF'!W2</f>
        <v>46873</v>
      </c>
      <c r="X7" s="28" t="n">
        <f aca="false">'Monthly CF'!X2</f>
        <v>46904</v>
      </c>
      <c r="Y7" s="28" t="n">
        <f aca="false">'Monthly CF'!Y2</f>
        <v>46934</v>
      </c>
      <c r="Z7" s="28" t="n">
        <f aca="false">'Monthly CF'!Z2</f>
        <v>46965</v>
      </c>
      <c r="AA7" s="28" t="n">
        <f aca="false">'Monthly CF'!AA2</f>
        <v>46996</v>
      </c>
      <c r="AB7" s="28" t="n">
        <f aca="false">'Monthly CF'!AB2</f>
        <v>47026</v>
      </c>
      <c r="AC7" s="28" t="n">
        <f aca="false">'Monthly CF'!AC2</f>
        <v>47057</v>
      </c>
      <c r="AD7" s="28" t="n">
        <f aca="false">'Monthly CF'!AD2</f>
        <v>47087</v>
      </c>
      <c r="AE7" s="28" t="n">
        <f aca="false">'Monthly CF'!AE2</f>
        <v>47118</v>
      </c>
      <c r="AF7" s="28" t="n">
        <f aca="false">'Monthly CF'!AF2</f>
        <v>47149</v>
      </c>
      <c r="AG7" s="28" t="n">
        <f aca="false">'Monthly CF'!AG2</f>
        <v>47177</v>
      </c>
      <c r="AH7" s="28" t="n">
        <f aca="false">'Monthly CF'!AH2</f>
        <v>47208</v>
      </c>
      <c r="AI7" s="28" t="n">
        <f aca="false">'Monthly CF'!AI2</f>
        <v>47238</v>
      </c>
      <c r="AJ7" s="28" t="n">
        <f aca="false">'Monthly CF'!AJ2</f>
        <v>47269</v>
      </c>
      <c r="AK7" s="28" t="n">
        <f aca="false">'Monthly CF'!AK2</f>
        <v>47299</v>
      </c>
      <c r="AL7" s="28" t="n">
        <f aca="false">'Monthly CF'!AL2</f>
        <v>47330</v>
      </c>
      <c r="AM7" s="28" t="n">
        <f aca="false">'Monthly CF'!AM2</f>
        <v>47361</v>
      </c>
      <c r="AN7" s="28" t="n">
        <f aca="false">'Monthly CF'!AN2</f>
        <v>47391</v>
      </c>
      <c r="AO7" s="28" t="n">
        <f aca="false">'Monthly CF'!AO2</f>
        <v>47422</v>
      </c>
      <c r="AP7" s="28" t="n">
        <f aca="false">'Monthly CF'!AP2</f>
        <v>47452</v>
      </c>
      <c r="AQ7" s="28" t="n">
        <f aca="false">'Monthly CF'!AQ2</f>
        <v>47483</v>
      </c>
      <c r="AR7" s="28" t="n">
        <f aca="false">'Monthly CF'!AR2</f>
        <v>47514</v>
      </c>
      <c r="AS7" s="28" t="n">
        <f aca="false">'Monthly CF'!AS2</f>
        <v>47542</v>
      </c>
      <c r="AT7" s="28" t="n">
        <f aca="false">'Monthly CF'!AT2</f>
        <v>47573</v>
      </c>
      <c r="AU7" s="28" t="n">
        <f aca="false">'Monthly CF'!AU2</f>
        <v>47603</v>
      </c>
      <c r="AV7" s="28" t="n">
        <f aca="false">'Monthly CF'!AV2</f>
        <v>47634</v>
      </c>
      <c r="AW7" s="28" t="n">
        <f aca="false">'Monthly CF'!AW2</f>
        <v>47664</v>
      </c>
      <c r="AX7" s="28" t="n">
        <f aca="false">'Monthly CF'!AX2</f>
        <v>47695</v>
      </c>
      <c r="AY7" s="28" t="n">
        <f aca="false">'Monthly CF'!AY2</f>
        <v>47726</v>
      </c>
      <c r="AZ7" s="28" t="n">
        <f aca="false">'Monthly CF'!AZ2</f>
        <v>47756</v>
      </c>
      <c r="BA7" s="28" t="n">
        <f aca="false">'Monthly CF'!BA2</f>
        <v>47787</v>
      </c>
      <c r="BB7" s="28" t="n">
        <f aca="false">'Monthly CF'!BB2</f>
        <v>47817</v>
      </c>
      <c r="BC7" s="28" t="n">
        <f aca="false">'Monthly CF'!BC2</f>
        <v>47848</v>
      </c>
      <c r="BD7" s="28" t="n">
        <f aca="false">'Monthly CF'!BD2</f>
        <v>47879</v>
      </c>
      <c r="BE7" s="28" t="n">
        <f aca="false">'Monthly CF'!BE2</f>
        <v>47907</v>
      </c>
      <c r="BF7" s="28" t="n">
        <f aca="false">'Monthly CF'!BF2</f>
        <v>47938</v>
      </c>
      <c r="BG7" s="28" t="n">
        <f aca="false">'Monthly CF'!BG2</f>
        <v>47968</v>
      </c>
      <c r="BH7" s="28" t="n">
        <f aca="false">'Monthly CF'!BH2</f>
        <v>47999</v>
      </c>
      <c r="BI7" s="28" t="n">
        <f aca="false">'Monthly CF'!BI2</f>
        <v>48029</v>
      </c>
      <c r="BJ7" s="28" t="n">
        <f aca="false">'Monthly CF'!BJ2</f>
        <v>48060</v>
      </c>
      <c r="BK7" s="28" t="n">
        <f aca="false">'Monthly CF'!BK2</f>
        <v>48091</v>
      </c>
      <c r="BL7" s="28" t="n">
        <f aca="false">'Monthly CF'!BL2</f>
        <v>48121</v>
      </c>
      <c r="BM7" s="28" t="n">
        <f aca="false">'Monthly CF'!BM2</f>
        <v>48152</v>
      </c>
      <c r="BN7" s="28" t="n">
        <f aca="false">'Monthly CF'!BN2</f>
        <v>48182</v>
      </c>
      <c r="BO7" s="28" t="n">
        <f aca="false">'Monthly CF'!BO2</f>
        <v>48213</v>
      </c>
      <c r="BP7" s="28" t="n">
        <f aca="false">'Monthly CF'!BP2</f>
        <v>48244</v>
      </c>
      <c r="BQ7" s="28" t="n">
        <f aca="false">'Monthly CF'!BQ2</f>
        <v>48273</v>
      </c>
      <c r="BR7" s="28" t="n">
        <f aca="false">'Monthly CF'!BR2</f>
        <v>48304</v>
      </c>
      <c r="BS7" s="28" t="n">
        <f aca="false">'Monthly CF'!BS2</f>
        <v>48334</v>
      </c>
      <c r="BT7" s="28" t="n">
        <f aca="false">'Monthly CF'!BT2</f>
        <v>48365</v>
      </c>
      <c r="BU7" s="28" t="n">
        <f aca="false">'Monthly CF'!BU2</f>
        <v>48395</v>
      </c>
      <c r="BV7" s="28" t="n">
        <f aca="false">'Monthly CF'!BV2</f>
        <v>48426</v>
      </c>
      <c r="BW7" s="28" t="n">
        <f aca="false">'Monthly CF'!BW2</f>
        <v>48457</v>
      </c>
      <c r="BX7" s="28" t="n">
        <f aca="false">'Monthly CF'!BX2</f>
        <v>48487</v>
      </c>
      <c r="BY7" s="28" t="n">
        <f aca="false">'Monthly CF'!BY2</f>
        <v>48518</v>
      </c>
      <c r="BZ7" s="28" t="n">
        <f aca="false">'Monthly CF'!BZ2</f>
        <v>48548</v>
      </c>
      <c r="CA7" s="28" t="n">
        <f aca="false">'Monthly CF'!CA2</f>
        <v>48579</v>
      </c>
      <c r="CB7" s="28" t="n">
        <f aca="false">'Monthly CF'!CB2</f>
        <v>48610</v>
      </c>
      <c r="CC7" s="28" t="n">
        <f aca="false">'Monthly CF'!CC2</f>
        <v>48638</v>
      </c>
      <c r="CD7" s="28" t="n">
        <f aca="false">'Monthly CF'!CD2</f>
        <v>48669</v>
      </c>
      <c r="CE7" s="28" t="n">
        <f aca="false">'Monthly CF'!CE2</f>
        <v>48699</v>
      </c>
      <c r="CF7" s="28" t="n">
        <f aca="false">'Monthly CF'!CF2</f>
        <v>48730</v>
      </c>
      <c r="CG7" s="28" t="n">
        <f aca="false">'Monthly CF'!CG2</f>
        <v>48760</v>
      </c>
      <c r="CH7" s="28" t="n">
        <f aca="false">'Monthly CF'!CH2</f>
        <v>48791</v>
      </c>
      <c r="CI7" s="28" t="n">
        <f aca="false">'Monthly CF'!CI2</f>
        <v>48822</v>
      </c>
      <c r="CJ7" s="28" t="n">
        <f aca="false">'Monthly CF'!CJ2</f>
        <v>48852</v>
      </c>
      <c r="CK7" s="28" t="n">
        <f aca="false">'Monthly CF'!CK2</f>
        <v>48883</v>
      </c>
      <c r="CL7" s="28" t="n">
        <f aca="false">'Monthly CF'!CL2</f>
        <v>48913</v>
      </c>
      <c r="CM7" s="28" t="n">
        <f aca="false">'Monthly CF'!CM2</f>
        <v>48944</v>
      </c>
      <c r="CN7" s="28" t="n">
        <f aca="false">'Monthly CF'!CN2</f>
        <v>48975</v>
      </c>
      <c r="CO7" s="28" t="n">
        <f aca="false">'Monthly CF'!CO2</f>
        <v>49003</v>
      </c>
      <c r="CP7" s="28" t="n">
        <f aca="false">'Monthly CF'!CP2</f>
        <v>49034</v>
      </c>
      <c r="CQ7" s="28" t="n">
        <f aca="false">'Monthly CF'!CQ2</f>
        <v>49064</v>
      </c>
      <c r="CR7" s="28" t="n">
        <f aca="false">'Monthly CF'!CR2</f>
        <v>49095</v>
      </c>
      <c r="CS7" s="28" t="n">
        <f aca="false">'Monthly CF'!CS2</f>
        <v>49125</v>
      </c>
      <c r="CT7" s="28" t="n">
        <f aca="false">'Monthly CF'!CT2</f>
        <v>49156</v>
      </c>
    </row>
    <row r="8" customFormat="false" ht="15" hidden="false" customHeight="false" outlineLevel="0" collapsed="false">
      <c r="B8" s="26" t="s">
        <v>200</v>
      </c>
      <c r="C8" s="5" t="n">
        <f aca="false">'Monthly CF'!C38</f>
        <v>7234888.17370002</v>
      </c>
      <c r="D8" s="5" t="n">
        <f aca="false">'Monthly CF'!D38</f>
        <v>988505.982457879</v>
      </c>
      <c r="E8" s="5" t="n">
        <f aca="false">'Monthly CF'!E38</f>
        <v>1255209.31968563</v>
      </c>
      <c r="F8" s="5" t="n">
        <f aca="false">'Monthly CF'!F38</f>
        <v>1558849.0178664</v>
      </c>
      <c r="G8" s="5" t="n">
        <f aca="false">'Monthly CF'!G38</f>
        <v>1891085.47650877</v>
      </c>
      <c r="H8" s="5" t="n">
        <f aca="false">'Monthly CF'!H38</f>
        <v>1246458.09986488</v>
      </c>
      <c r="I8" s="5" t="n">
        <f aca="false">'Monthly CF'!I38</f>
        <v>0</v>
      </c>
      <c r="J8" s="5" t="n">
        <f aca="false">'Monthly CF'!J38</f>
        <v>0</v>
      </c>
      <c r="K8" s="5" t="n">
        <f aca="false">'Monthly CF'!K38</f>
        <v>0</v>
      </c>
      <c r="L8" s="5" t="n">
        <f aca="false">'Monthly CF'!L38</f>
        <v>0</v>
      </c>
      <c r="M8" s="5" t="n">
        <f aca="false">'Monthly CF'!M38</f>
        <v>0</v>
      </c>
      <c r="N8" s="5" t="n">
        <f aca="false">'Monthly CF'!N38</f>
        <v>0</v>
      </c>
      <c r="O8" s="5" t="n">
        <f aca="false">'Monthly CF'!O38</f>
        <v>0</v>
      </c>
      <c r="P8" s="5" t="n">
        <f aca="false">'Monthly CF'!P38</f>
        <v>0</v>
      </c>
      <c r="Q8" s="5" t="n">
        <f aca="false">'Monthly CF'!Q38</f>
        <v>0</v>
      </c>
      <c r="R8" s="5" t="n">
        <f aca="false">'Monthly CF'!R38</f>
        <v>0</v>
      </c>
      <c r="S8" s="5" t="n">
        <f aca="false">'Monthly CF'!S38</f>
        <v>0</v>
      </c>
      <c r="T8" s="5" t="n">
        <f aca="false">'Monthly CF'!T38</f>
        <v>0</v>
      </c>
      <c r="U8" s="5" t="n">
        <f aca="false">'Monthly CF'!U38</f>
        <v>0</v>
      </c>
      <c r="V8" s="5" t="n">
        <f aca="false">'Monthly CF'!V38</f>
        <v>0</v>
      </c>
      <c r="W8" s="5" t="n">
        <f aca="false">'Monthly CF'!W38</f>
        <v>0</v>
      </c>
      <c r="X8" s="5" t="n">
        <f aca="false">'Monthly CF'!X38</f>
        <v>0</v>
      </c>
      <c r="Y8" s="5" t="n">
        <f aca="false">'Monthly CF'!Y38</f>
        <v>0</v>
      </c>
      <c r="Z8" s="5" t="n">
        <f aca="false">'Monthly CF'!Z38</f>
        <v>0</v>
      </c>
      <c r="AA8" s="5" t="n">
        <f aca="false">'Monthly CF'!AA38</f>
        <v>0</v>
      </c>
      <c r="AB8" s="5" t="n">
        <f aca="false">'Monthly CF'!AB38</f>
        <v>0</v>
      </c>
      <c r="AC8" s="5" t="n">
        <f aca="false">'Monthly CF'!AC38</f>
        <v>0</v>
      </c>
      <c r="AD8" s="5" t="n">
        <f aca="false">'Monthly CF'!AD38</f>
        <v>0</v>
      </c>
      <c r="AE8" s="5" t="n">
        <f aca="false">'Monthly CF'!AE38</f>
        <v>0</v>
      </c>
      <c r="AF8" s="5" t="n">
        <f aca="false">'Monthly CF'!AF38</f>
        <v>0</v>
      </c>
      <c r="AG8" s="5" t="n">
        <f aca="false">'Monthly CF'!AG38</f>
        <v>0</v>
      </c>
      <c r="AH8" s="5" t="n">
        <f aca="false">'Monthly CF'!AH38</f>
        <v>0</v>
      </c>
      <c r="AI8" s="5" t="n">
        <f aca="false">'Monthly CF'!AI38</f>
        <v>0</v>
      </c>
      <c r="AJ8" s="5" t="n">
        <f aca="false">'Monthly CF'!AJ38</f>
        <v>0</v>
      </c>
      <c r="AK8" s="5" t="n">
        <f aca="false">'Monthly CF'!AK38</f>
        <v>0</v>
      </c>
      <c r="AL8" s="5" t="n">
        <f aca="false">'Monthly CF'!AL38</f>
        <v>0</v>
      </c>
      <c r="AM8" s="5" t="n">
        <f aca="false">'Monthly CF'!AM38</f>
        <v>0</v>
      </c>
      <c r="AN8" s="5" t="n">
        <f aca="false">'Monthly CF'!AN38</f>
        <v>0</v>
      </c>
      <c r="AO8" s="5" t="n">
        <f aca="false">'Monthly CF'!AO38</f>
        <v>0</v>
      </c>
      <c r="AP8" s="5" t="n">
        <f aca="false">'Monthly CF'!AP38</f>
        <v>0</v>
      </c>
      <c r="AQ8" s="5" t="n">
        <f aca="false">'Monthly CF'!AQ38</f>
        <v>0</v>
      </c>
      <c r="AR8" s="5" t="n">
        <f aca="false">'Monthly CF'!AR38</f>
        <v>0</v>
      </c>
      <c r="AS8" s="5" t="n">
        <f aca="false">'Monthly CF'!AS38</f>
        <v>0</v>
      </c>
      <c r="AT8" s="5" t="n">
        <f aca="false">'Monthly CF'!AT38</f>
        <v>0</v>
      </c>
      <c r="AU8" s="5" t="n">
        <f aca="false">'Monthly CF'!AU38</f>
        <v>0</v>
      </c>
      <c r="AV8" s="5" t="n">
        <f aca="false">'Monthly CF'!AV38</f>
        <v>0</v>
      </c>
      <c r="AW8" s="5" t="n">
        <f aca="false">'Monthly CF'!AW38</f>
        <v>0</v>
      </c>
      <c r="AX8" s="5" t="n">
        <f aca="false">'Monthly CF'!AX38</f>
        <v>0</v>
      </c>
      <c r="AY8" s="5" t="n">
        <f aca="false">'Monthly CF'!AY38</f>
        <v>0</v>
      </c>
      <c r="AZ8" s="5" t="n">
        <f aca="false">'Monthly CF'!AZ38</f>
        <v>0</v>
      </c>
      <c r="BA8" s="5" t="n">
        <f aca="false">'Monthly CF'!BA38</f>
        <v>0</v>
      </c>
      <c r="BB8" s="5" t="n">
        <f aca="false">'Monthly CF'!BB38</f>
        <v>0</v>
      </c>
      <c r="BC8" s="5" t="n">
        <f aca="false">'Monthly CF'!BC38</f>
        <v>0</v>
      </c>
      <c r="BD8" s="5" t="n">
        <f aca="false">'Monthly CF'!BD38</f>
        <v>0</v>
      </c>
      <c r="BE8" s="5" t="n">
        <f aca="false">'Monthly CF'!BE38</f>
        <v>0</v>
      </c>
      <c r="BF8" s="5" t="n">
        <f aca="false">'Monthly CF'!BF38</f>
        <v>0</v>
      </c>
      <c r="BG8" s="5" t="n">
        <f aca="false">'Monthly CF'!BG38</f>
        <v>0</v>
      </c>
      <c r="BH8" s="5" t="n">
        <f aca="false">'Monthly CF'!BH38</f>
        <v>0</v>
      </c>
      <c r="BI8" s="5" t="n">
        <f aca="false">'Monthly CF'!BI38</f>
        <v>0</v>
      </c>
      <c r="BJ8" s="5" t="n">
        <f aca="false">'Monthly CF'!BJ38</f>
        <v>0</v>
      </c>
      <c r="BK8" s="5" t="n">
        <f aca="false">'Monthly CF'!BK38</f>
        <v>0</v>
      </c>
      <c r="BL8" s="5" t="n">
        <f aca="false">'Monthly CF'!BL38</f>
        <v>0</v>
      </c>
      <c r="BM8" s="5" t="n">
        <f aca="false">'Monthly CF'!BM38</f>
        <v>0</v>
      </c>
      <c r="BN8" s="5" t="n">
        <f aca="false">'Monthly CF'!BN38</f>
        <v>0</v>
      </c>
      <c r="BO8" s="5" t="n">
        <f aca="false">'Monthly CF'!BO38</f>
        <v>0</v>
      </c>
      <c r="BP8" s="5" t="n">
        <f aca="false">'Monthly CF'!BP38</f>
        <v>0</v>
      </c>
      <c r="BQ8" s="5" t="n">
        <f aca="false">'Monthly CF'!BQ38</f>
        <v>0</v>
      </c>
      <c r="BR8" s="5" t="n">
        <f aca="false">'Monthly CF'!BR38</f>
        <v>0</v>
      </c>
      <c r="BS8" s="5" t="n">
        <f aca="false">'Monthly CF'!BS38</f>
        <v>0</v>
      </c>
      <c r="BT8" s="5" t="n">
        <f aca="false">'Monthly CF'!BT38</f>
        <v>0</v>
      </c>
      <c r="BU8" s="5" t="n">
        <f aca="false">'Monthly CF'!BU38</f>
        <v>0</v>
      </c>
      <c r="BV8" s="5" t="n">
        <f aca="false">'Monthly CF'!BV38</f>
        <v>0</v>
      </c>
      <c r="BW8" s="5" t="n">
        <f aca="false">'Monthly CF'!BW38</f>
        <v>0</v>
      </c>
      <c r="BX8" s="5" t="n">
        <f aca="false">'Monthly CF'!BX38</f>
        <v>0</v>
      </c>
      <c r="BY8" s="5" t="n">
        <f aca="false">'Monthly CF'!BY38</f>
        <v>0</v>
      </c>
      <c r="BZ8" s="5" t="n">
        <f aca="false">'Monthly CF'!BZ38</f>
        <v>0</v>
      </c>
      <c r="CA8" s="5" t="n">
        <f aca="false">'Monthly CF'!CA38</f>
        <v>0</v>
      </c>
      <c r="CB8" s="5" t="n">
        <f aca="false">'Monthly CF'!CB38</f>
        <v>0</v>
      </c>
      <c r="CC8" s="5" t="n">
        <f aca="false">'Monthly CF'!CC38</f>
        <v>0</v>
      </c>
      <c r="CD8" s="5" t="n">
        <f aca="false">'Monthly CF'!CD38</f>
        <v>0</v>
      </c>
      <c r="CE8" s="5" t="n">
        <f aca="false">'Monthly CF'!CE38</f>
        <v>0</v>
      </c>
      <c r="CF8" s="5" t="n">
        <f aca="false">'Monthly CF'!CF38</f>
        <v>0</v>
      </c>
      <c r="CG8" s="5" t="n">
        <f aca="false">'Monthly CF'!CG38</f>
        <v>0</v>
      </c>
      <c r="CH8" s="5" t="n">
        <f aca="false">'Monthly CF'!CH38</f>
        <v>0</v>
      </c>
      <c r="CI8" s="5" t="n">
        <f aca="false">'Monthly CF'!CI38</f>
        <v>0</v>
      </c>
      <c r="CJ8" s="5" t="n">
        <f aca="false">'Monthly CF'!CJ38</f>
        <v>0</v>
      </c>
      <c r="CK8" s="5" t="n">
        <f aca="false">'Monthly CF'!CK38</f>
        <v>0</v>
      </c>
      <c r="CL8" s="5" t="n">
        <f aca="false">'Monthly CF'!CL38</f>
        <v>0</v>
      </c>
      <c r="CM8" s="5" t="n">
        <f aca="false">'Monthly CF'!CM38</f>
        <v>0</v>
      </c>
      <c r="CN8" s="5" t="n">
        <f aca="false">'Monthly CF'!CN38</f>
        <v>0</v>
      </c>
      <c r="CO8" s="5" t="n">
        <f aca="false">'Monthly CF'!CO38</f>
        <v>0</v>
      </c>
      <c r="CP8" s="5" t="n">
        <f aca="false">'Monthly CF'!CP38</f>
        <v>0</v>
      </c>
      <c r="CQ8" s="5" t="n">
        <f aca="false">'Monthly CF'!CQ38</f>
        <v>0</v>
      </c>
      <c r="CR8" s="5" t="n">
        <f aca="false">'Monthly CF'!CR38</f>
        <v>0</v>
      </c>
      <c r="CS8" s="5" t="n">
        <f aca="false">'Monthly CF'!CS38</f>
        <v>0</v>
      </c>
      <c r="CT8" s="5" t="n">
        <f aca="false">'Monthly CF'!CT38</f>
        <v>0</v>
      </c>
    </row>
    <row r="9" customFormat="false" ht="15" hidden="false" customHeight="false" outlineLevel="0" collapsed="false">
      <c r="B9" s="26" t="s">
        <v>201</v>
      </c>
      <c r="C9" s="5" t="n">
        <f aca="false">C8*Inputs!$B$75</f>
        <v>7234888.17370002</v>
      </c>
      <c r="D9" s="5" t="n">
        <f aca="false">D8*Inputs!$B$75</f>
        <v>988505.982457879</v>
      </c>
      <c r="E9" s="5" t="n">
        <f aca="false">E8*Inputs!$B$75</f>
        <v>1255209.31968563</v>
      </c>
      <c r="F9" s="5" t="n">
        <f aca="false">F8*Inputs!$B$75</f>
        <v>1558849.0178664</v>
      </c>
      <c r="G9" s="5" t="n">
        <f aca="false">G8*Inputs!$B$75</f>
        <v>1891085.47650877</v>
      </c>
      <c r="H9" s="5" t="n">
        <f aca="false">H8*Inputs!$B$75</f>
        <v>1246458.09986488</v>
      </c>
      <c r="I9" s="5" t="n">
        <f aca="false">I8*Inputs!$B$75</f>
        <v>0</v>
      </c>
      <c r="J9" s="5" t="n">
        <f aca="false">J8*Inputs!$B$75</f>
        <v>0</v>
      </c>
      <c r="K9" s="5" t="n">
        <f aca="false">K8*Inputs!$B$75</f>
        <v>0</v>
      </c>
      <c r="L9" s="5" t="n">
        <f aca="false">L8*Inputs!$B$75</f>
        <v>0</v>
      </c>
      <c r="M9" s="5" t="n">
        <f aca="false">M8*Inputs!$B$75</f>
        <v>0</v>
      </c>
      <c r="N9" s="5" t="n">
        <f aca="false">N8*Inputs!$B$75</f>
        <v>0</v>
      </c>
      <c r="O9" s="5" t="n">
        <f aca="false">O8*Inputs!$B$75</f>
        <v>0</v>
      </c>
      <c r="P9" s="5" t="n">
        <f aca="false">P8*Inputs!$B$75</f>
        <v>0</v>
      </c>
      <c r="Q9" s="5" t="n">
        <f aca="false">Q8*Inputs!$B$75</f>
        <v>0</v>
      </c>
      <c r="R9" s="5" t="n">
        <f aca="false">R8*Inputs!$B$75</f>
        <v>0</v>
      </c>
      <c r="S9" s="5" t="n">
        <f aca="false">S8*Inputs!$B$75</f>
        <v>0</v>
      </c>
      <c r="T9" s="5" t="n">
        <f aca="false">T8*Inputs!$B$75</f>
        <v>0</v>
      </c>
      <c r="U9" s="5" t="n">
        <f aca="false">U8*Inputs!$B$75</f>
        <v>0</v>
      </c>
      <c r="V9" s="5" t="n">
        <f aca="false">V8*Inputs!$B$75</f>
        <v>0</v>
      </c>
      <c r="W9" s="5" t="n">
        <f aca="false">W8*Inputs!$B$75</f>
        <v>0</v>
      </c>
      <c r="X9" s="5" t="n">
        <f aca="false">X8*Inputs!$B$75</f>
        <v>0</v>
      </c>
      <c r="Y9" s="5" t="n">
        <f aca="false">Y8*Inputs!$B$75</f>
        <v>0</v>
      </c>
      <c r="Z9" s="5" t="n">
        <f aca="false">Z8*Inputs!$B$75</f>
        <v>0</v>
      </c>
      <c r="AA9" s="5" t="n">
        <f aca="false">AA8*Inputs!$B$75</f>
        <v>0</v>
      </c>
      <c r="AB9" s="5" t="n">
        <f aca="false">AB8*Inputs!$B$75</f>
        <v>0</v>
      </c>
      <c r="AC9" s="5" t="n">
        <f aca="false">AC8*Inputs!$B$75</f>
        <v>0</v>
      </c>
      <c r="AD9" s="5" t="n">
        <f aca="false">AD8*Inputs!$B$75</f>
        <v>0</v>
      </c>
      <c r="AE9" s="5" t="n">
        <f aca="false">AE8*Inputs!$B$75</f>
        <v>0</v>
      </c>
      <c r="AF9" s="5" t="n">
        <f aca="false">AF8*Inputs!$B$75</f>
        <v>0</v>
      </c>
      <c r="AG9" s="5" t="n">
        <f aca="false">AG8*Inputs!$B$75</f>
        <v>0</v>
      </c>
      <c r="AH9" s="5" t="n">
        <f aca="false">AH8*Inputs!$B$75</f>
        <v>0</v>
      </c>
      <c r="AI9" s="5" t="n">
        <f aca="false">AI8*Inputs!$B$75</f>
        <v>0</v>
      </c>
      <c r="AJ9" s="5" t="n">
        <f aca="false">AJ8*Inputs!$B$75</f>
        <v>0</v>
      </c>
      <c r="AK9" s="5" t="n">
        <f aca="false">AK8*Inputs!$B$75</f>
        <v>0</v>
      </c>
      <c r="AL9" s="5" t="n">
        <f aca="false">AL8*Inputs!$B$75</f>
        <v>0</v>
      </c>
      <c r="AM9" s="5" t="n">
        <f aca="false">AM8*Inputs!$B$75</f>
        <v>0</v>
      </c>
      <c r="AN9" s="5" t="n">
        <f aca="false">AN8*Inputs!$B$75</f>
        <v>0</v>
      </c>
      <c r="AO9" s="5" t="n">
        <f aca="false">AO8*Inputs!$B$75</f>
        <v>0</v>
      </c>
      <c r="AP9" s="5" t="n">
        <f aca="false">AP8*Inputs!$B$75</f>
        <v>0</v>
      </c>
      <c r="AQ9" s="5" t="n">
        <f aca="false">AQ8*Inputs!$B$75</f>
        <v>0</v>
      </c>
      <c r="AR9" s="5" t="n">
        <f aca="false">AR8*Inputs!$B$75</f>
        <v>0</v>
      </c>
      <c r="AS9" s="5" t="n">
        <f aca="false">AS8*Inputs!$B$75</f>
        <v>0</v>
      </c>
      <c r="AT9" s="5" t="n">
        <f aca="false">AT8*Inputs!$B$75</f>
        <v>0</v>
      </c>
      <c r="AU9" s="5" t="n">
        <f aca="false">AU8*Inputs!$B$75</f>
        <v>0</v>
      </c>
      <c r="AV9" s="5" t="n">
        <f aca="false">AV8*Inputs!$B$75</f>
        <v>0</v>
      </c>
      <c r="AW9" s="5" t="n">
        <f aca="false">AW8*Inputs!$B$75</f>
        <v>0</v>
      </c>
      <c r="AX9" s="5" t="n">
        <f aca="false">AX8*Inputs!$B$75</f>
        <v>0</v>
      </c>
      <c r="AY9" s="5" t="n">
        <f aca="false">AY8*Inputs!$B$75</f>
        <v>0</v>
      </c>
      <c r="AZ9" s="5" t="n">
        <f aca="false">AZ8*Inputs!$B$75</f>
        <v>0</v>
      </c>
      <c r="BA9" s="5" t="n">
        <f aca="false">BA8*Inputs!$B$75</f>
        <v>0</v>
      </c>
      <c r="BB9" s="5" t="n">
        <f aca="false">BB8*Inputs!$B$75</f>
        <v>0</v>
      </c>
      <c r="BC9" s="5" t="n">
        <f aca="false">BC8*Inputs!$B$75</f>
        <v>0</v>
      </c>
      <c r="BD9" s="5" t="n">
        <f aca="false">BD8*Inputs!$B$75</f>
        <v>0</v>
      </c>
      <c r="BE9" s="5" t="n">
        <f aca="false">BE8*Inputs!$B$75</f>
        <v>0</v>
      </c>
      <c r="BF9" s="5" t="n">
        <f aca="false">BF8*Inputs!$B$75</f>
        <v>0</v>
      </c>
      <c r="BG9" s="5" t="n">
        <f aca="false">BG8*Inputs!$B$75</f>
        <v>0</v>
      </c>
      <c r="BH9" s="5" t="n">
        <f aca="false">BH8*Inputs!$B$75</f>
        <v>0</v>
      </c>
      <c r="BI9" s="5" t="n">
        <f aca="false">BI8*Inputs!$B$75</f>
        <v>0</v>
      </c>
      <c r="BJ9" s="5" t="n">
        <f aca="false">BJ8*Inputs!$B$75</f>
        <v>0</v>
      </c>
      <c r="BK9" s="5" t="n">
        <f aca="false">BK8*Inputs!$B$75</f>
        <v>0</v>
      </c>
      <c r="BL9" s="5" t="n">
        <f aca="false">BL8*Inputs!$B$75</f>
        <v>0</v>
      </c>
      <c r="BM9" s="5" t="n">
        <f aca="false">BM8*Inputs!$B$75</f>
        <v>0</v>
      </c>
      <c r="BN9" s="5" t="n">
        <f aca="false">BN8*Inputs!$B$75</f>
        <v>0</v>
      </c>
      <c r="BO9" s="5" t="n">
        <f aca="false">BO8*Inputs!$B$75</f>
        <v>0</v>
      </c>
      <c r="BP9" s="5" t="n">
        <f aca="false">BP8*Inputs!$B$75</f>
        <v>0</v>
      </c>
      <c r="BQ9" s="5" t="n">
        <f aca="false">BQ8*Inputs!$B$75</f>
        <v>0</v>
      </c>
      <c r="BR9" s="5" t="n">
        <f aca="false">BR8*Inputs!$B$75</f>
        <v>0</v>
      </c>
      <c r="BS9" s="5" t="n">
        <f aca="false">BS8*Inputs!$B$75</f>
        <v>0</v>
      </c>
      <c r="BT9" s="5" t="n">
        <f aca="false">BT8*Inputs!$B$75</f>
        <v>0</v>
      </c>
      <c r="BU9" s="5" t="n">
        <f aca="false">BU8*Inputs!$B$75</f>
        <v>0</v>
      </c>
      <c r="BV9" s="5" t="n">
        <f aca="false">BV8*Inputs!$B$75</f>
        <v>0</v>
      </c>
      <c r="BW9" s="5" t="n">
        <f aca="false">BW8*Inputs!$B$75</f>
        <v>0</v>
      </c>
      <c r="BX9" s="5" t="n">
        <f aca="false">BX8*Inputs!$B$75</f>
        <v>0</v>
      </c>
      <c r="BY9" s="5" t="n">
        <f aca="false">BY8*Inputs!$B$75</f>
        <v>0</v>
      </c>
      <c r="BZ9" s="5" t="n">
        <f aca="false">BZ8*Inputs!$B$75</f>
        <v>0</v>
      </c>
      <c r="CA9" s="5" t="n">
        <f aca="false">CA8*Inputs!$B$75</f>
        <v>0</v>
      </c>
      <c r="CB9" s="5" t="n">
        <f aca="false">CB8*Inputs!$B$75</f>
        <v>0</v>
      </c>
      <c r="CC9" s="5" t="n">
        <f aca="false">CC8*Inputs!$B$75</f>
        <v>0</v>
      </c>
      <c r="CD9" s="5" t="n">
        <f aca="false">CD8*Inputs!$B$75</f>
        <v>0</v>
      </c>
      <c r="CE9" s="5" t="n">
        <f aca="false">CE8*Inputs!$B$75</f>
        <v>0</v>
      </c>
      <c r="CF9" s="5" t="n">
        <f aca="false">CF8*Inputs!$B$75</f>
        <v>0</v>
      </c>
      <c r="CG9" s="5" t="n">
        <f aca="false">CG8*Inputs!$B$75</f>
        <v>0</v>
      </c>
      <c r="CH9" s="5" t="n">
        <f aca="false">CH8*Inputs!$B$75</f>
        <v>0</v>
      </c>
      <c r="CI9" s="5" t="n">
        <f aca="false">CI8*Inputs!$B$75</f>
        <v>0</v>
      </c>
      <c r="CJ9" s="5" t="n">
        <f aca="false">CJ8*Inputs!$B$75</f>
        <v>0</v>
      </c>
      <c r="CK9" s="5" t="n">
        <f aca="false">CK8*Inputs!$B$75</f>
        <v>0</v>
      </c>
      <c r="CL9" s="5" t="n">
        <f aca="false">CL8*Inputs!$B$75</f>
        <v>0</v>
      </c>
      <c r="CM9" s="5" t="n">
        <f aca="false">CM8*Inputs!$B$75</f>
        <v>0</v>
      </c>
      <c r="CN9" s="5" t="n">
        <f aca="false">CN8*Inputs!$B$75</f>
        <v>0</v>
      </c>
      <c r="CO9" s="5" t="n">
        <f aca="false">CO8*Inputs!$B$75</f>
        <v>0</v>
      </c>
      <c r="CP9" s="5" t="n">
        <f aca="false">CP8*Inputs!$B$75</f>
        <v>0</v>
      </c>
      <c r="CQ9" s="5" t="n">
        <f aca="false">CQ8*Inputs!$B$75</f>
        <v>0</v>
      </c>
      <c r="CR9" s="5" t="n">
        <f aca="false">CR8*Inputs!$B$75</f>
        <v>0</v>
      </c>
      <c r="CS9" s="5" t="n">
        <f aca="false">CS8*Inputs!$B$75</f>
        <v>0</v>
      </c>
      <c r="CT9" s="5" t="n">
        <f aca="false">CT8*Inputs!$B$75</f>
        <v>0</v>
      </c>
    </row>
    <row r="10" customFormat="false" ht="15" hidden="false" customHeight="false" outlineLevel="0" collapsed="false">
      <c r="B10" s="26" t="s">
        <v>202</v>
      </c>
      <c r="C10" s="5" t="n">
        <f aca="false">C8-C9</f>
        <v>0</v>
      </c>
      <c r="D10" s="5" t="n">
        <f aca="false">D8-D9</f>
        <v>0</v>
      </c>
      <c r="E10" s="5" t="n">
        <f aca="false">E8-E9</f>
        <v>0</v>
      </c>
      <c r="F10" s="5" t="n">
        <f aca="false">F8-F9</f>
        <v>0</v>
      </c>
      <c r="G10" s="5" t="n">
        <f aca="false">G8-G9</f>
        <v>0</v>
      </c>
      <c r="H10" s="5" t="n">
        <f aca="false">H8-H9</f>
        <v>0</v>
      </c>
      <c r="I10" s="5" t="n">
        <f aca="false">I8-I9</f>
        <v>0</v>
      </c>
      <c r="J10" s="5" t="n">
        <f aca="false">J8-J9</f>
        <v>0</v>
      </c>
      <c r="K10" s="5" t="n">
        <f aca="false">K8-K9</f>
        <v>0</v>
      </c>
      <c r="L10" s="5" t="n">
        <f aca="false">L8-L9</f>
        <v>0</v>
      </c>
      <c r="M10" s="5" t="n">
        <f aca="false">M8-M9</f>
        <v>0</v>
      </c>
      <c r="N10" s="5" t="n">
        <f aca="false">N8-N9</f>
        <v>0</v>
      </c>
      <c r="O10" s="5" t="n">
        <f aca="false">O8-O9</f>
        <v>0</v>
      </c>
      <c r="P10" s="5" t="n">
        <f aca="false">P8-P9</f>
        <v>0</v>
      </c>
      <c r="Q10" s="5" t="n">
        <f aca="false">Q8-Q9</f>
        <v>0</v>
      </c>
      <c r="R10" s="5" t="n">
        <f aca="false">R8-R9</f>
        <v>0</v>
      </c>
      <c r="S10" s="5" t="n">
        <f aca="false">S8-S9</f>
        <v>0</v>
      </c>
      <c r="T10" s="5" t="n">
        <f aca="false">T8-T9</f>
        <v>0</v>
      </c>
      <c r="U10" s="5" t="n">
        <f aca="false">U8-U9</f>
        <v>0</v>
      </c>
      <c r="V10" s="5" t="n">
        <f aca="false">V8-V9</f>
        <v>0</v>
      </c>
      <c r="W10" s="5" t="n">
        <f aca="false">W8-W9</f>
        <v>0</v>
      </c>
      <c r="X10" s="5" t="n">
        <f aca="false">X8-X9</f>
        <v>0</v>
      </c>
      <c r="Y10" s="5" t="n">
        <f aca="false">Y8-Y9</f>
        <v>0</v>
      </c>
      <c r="Z10" s="5" t="n">
        <f aca="false">Z8-Z9</f>
        <v>0</v>
      </c>
      <c r="AA10" s="5" t="n">
        <f aca="false">AA8-AA9</f>
        <v>0</v>
      </c>
      <c r="AB10" s="5" t="n">
        <f aca="false">AB8-AB9</f>
        <v>0</v>
      </c>
      <c r="AC10" s="5" t="n">
        <f aca="false">AC8-AC9</f>
        <v>0</v>
      </c>
      <c r="AD10" s="5" t="n">
        <f aca="false">AD8-AD9</f>
        <v>0</v>
      </c>
      <c r="AE10" s="5" t="n">
        <f aca="false">AE8-AE9</f>
        <v>0</v>
      </c>
      <c r="AF10" s="5" t="n">
        <f aca="false">AF8-AF9</f>
        <v>0</v>
      </c>
      <c r="AG10" s="5" t="n">
        <f aca="false">AG8-AG9</f>
        <v>0</v>
      </c>
      <c r="AH10" s="5" t="n">
        <f aca="false">AH8-AH9</f>
        <v>0</v>
      </c>
      <c r="AI10" s="5" t="n">
        <f aca="false">AI8-AI9</f>
        <v>0</v>
      </c>
      <c r="AJ10" s="5" t="n">
        <f aca="false">AJ8-AJ9</f>
        <v>0</v>
      </c>
      <c r="AK10" s="5" t="n">
        <f aca="false">AK8-AK9</f>
        <v>0</v>
      </c>
      <c r="AL10" s="5" t="n">
        <f aca="false">AL8-AL9</f>
        <v>0</v>
      </c>
      <c r="AM10" s="5" t="n">
        <f aca="false">AM8-AM9</f>
        <v>0</v>
      </c>
      <c r="AN10" s="5" t="n">
        <f aca="false">AN8-AN9</f>
        <v>0</v>
      </c>
      <c r="AO10" s="5" t="n">
        <f aca="false">AO8-AO9</f>
        <v>0</v>
      </c>
      <c r="AP10" s="5" t="n">
        <f aca="false">AP8-AP9</f>
        <v>0</v>
      </c>
      <c r="AQ10" s="5" t="n">
        <f aca="false">AQ8-AQ9</f>
        <v>0</v>
      </c>
      <c r="AR10" s="5" t="n">
        <f aca="false">AR8-AR9</f>
        <v>0</v>
      </c>
      <c r="AS10" s="5" t="n">
        <f aca="false">AS8-AS9</f>
        <v>0</v>
      </c>
      <c r="AT10" s="5" t="n">
        <f aca="false">AT8-AT9</f>
        <v>0</v>
      </c>
      <c r="AU10" s="5" t="n">
        <f aca="false">AU8-AU9</f>
        <v>0</v>
      </c>
      <c r="AV10" s="5" t="n">
        <f aca="false">AV8-AV9</f>
        <v>0</v>
      </c>
      <c r="AW10" s="5" t="n">
        <f aca="false">AW8-AW9</f>
        <v>0</v>
      </c>
      <c r="AX10" s="5" t="n">
        <f aca="false">AX8-AX9</f>
        <v>0</v>
      </c>
      <c r="AY10" s="5" t="n">
        <f aca="false">AY8-AY9</f>
        <v>0</v>
      </c>
      <c r="AZ10" s="5" t="n">
        <f aca="false">AZ8-AZ9</f>
        <v>0</v>
      </c>
      <c r="BA10" s="5" t="n">
        <f aca="false">BA8-BA9</f>
        <v>0</v>
      </c>
      <c r="BB10" s="5" t="n">
        <f aca="false">BB8-BB9</f>
        <v>0</v>
      </c>
      <c r="BC10" s="5" t="n">
        <f aca="false">BC8-BC9</f>
        <v>0</v>
      </c>
      <c r="BD10" s="5" t="n">
        <f aca="false">BD8-BD9</f>
        <v>0</v>
      </c>
      <c r="BE10" s="5" t="n">
        <f aca="false">BE8-BE9</f>
        <v>0</v>
      </c>
      <c r="BF10" s="5" t="n">
        <f aca="false">BF8-BF9</f>
        <v>0</v>
      </c>
      <c r="BG10" s="5" t="n">
        <f aca="false">BG8-BG9</f>
        <v>0</v>
      </c>
      <c r="BH10" s="5" t="n">
        <f aca="false">BH8-BH9</f>
        <v>0</v>
      </c>
      <c r="BI10" s="5" t="n">
        <f aca="false">BI8-BI9</f>
        <v>0</v>
      </c>
      <c r="BJ10" s="5" t="n">
        <f aca="false">BJ8-BJ9</f>
        <v>0</v>
      </c>
      <c r="BK10" s="5" t="n">
        <f aca="false">BK8-BK9</f>
        <v>0</v>
      </c>
      <c r="BL10" s="5" t="n">
        <f aca="false">BL8-BL9</f>
        <v>0</v>
      </c>
      <c r="BM10" s="5" t="n">
        <f aca="false">BM8-BM9</f>
        <v>0</v>
      </c>
      <c r="BN10" s="5" t="n">
        <f aca="false">BN8-BN9</f>
        <v>0</v>
      </c>
      <c r="BO10" s="5" t="n">
        <f aca="false">BO8-BO9</f>
        <v>0</v>
      </c>
      <c r="BP10" s="5" t="n">
        <f aca="false">BP8-BP9</f>
        <v>0</v>
      </c>
      <c r="BQ10" s="5" t="n">
        <f aca="false">BQ8-BQ9</f>
        <v>0</v>
      </c>
      <c r="BR10" s="5" t="n">
        <f aca="false">BR8-BR9</f>
        <v>0</v>
      </c>
      <c r="BS10" s="5" t="n">
        <f aca="false">BS8-BS9</f>
        <v>0</v>
      </c>
      <c r="BT10" s="5" t="n">
        <f aca="false">BT8-BT9</f>
        <v>0</v>
      </c>
      <c r="BU10" s="5" t="n">
        <f aca="false">BU8-BU9</f>
        <v>0</v>
      </c>
      <c r="BV10" s="5" t="n">
        <f aca="false">BV8-BV9</f>
        <v>0</v>
      </c>
      <c r="BW10" s="5" t="n">
        <f aca="false">BW8-BW9</f>
        <v>0</v>
      </c>
      <c r="BX10" s="5" t="n">
        <f aca="false">BX8-BX9</f>
        <v>0</v>
      </c>
      <c r="BY10" s="5" t="n">
        <f aca="false">BY8-BY9</f>
        <v>0</v>
      </c>
      <c r="BZ10" s="5" t="n">
        <f aca="false">BZ8-BZ9</f>
        <v>0</v>
      </c>
      <c r="CA10" s="5" t="n">
        <f aca="false">CA8-CA9</f>
        <v>0</v>
      </c>
      <c r="CB10" s="5" t="n">
        <f aca="false">CB8-CB9</f>
        <v>0</v>
      </c>
      <c r="CC10" s="5" t="n">
        <f aca="false">CC8-CC9</f>
        <v>0</v>
      </c>
      <c r="CD10" s="5" t="n">
        <f aca="false">CD8-CD9</f>
        <v>0</v>
      </c>
      <c r="CE10" s="5" t="n">
        <f aca="false">CE8-CE9</f>
        <v>0</v>
      </c>
      <c r="CF10" s="5" t="n">
        <f aca="false">CF8-CF9</f>
        <v>0</v>
      </c>
      <c r="CG10" s="5" t="n">
        <f aca="false">CG8-CG9</f>
        <v>0</v>
      </c>
      <c r="CH10" s="5" t="n">
        <f aca="false">CH8-CH9</f>
        <v>0</v>
      </c>
      <c r="CI10" s="5" t="n">
        <f aca="false">CI8-CI9</f>
        <v>0</v>
      </c>
      <c r="CJ10" s="5" t="n">
        <f aca="false">CJ8-CJ9</f>
        <v>0</v>
      </c>
      <c r="CK10" s="5" t="n">
        <f aca="false">CK8-CK9</f>
        <v>0</v>
      </c>
      <c r="CL10" s="5" t="n">
        <f aca="false">CL8-CL9</f>
        <v>0</v>
      </c>
      <c r="CM10" s="5" t="n">
        <f aca="false">CM8-CM9</f>
        <v>0</v>
      </c>
      <c r="CN10" s="5" t="n">
        <f aca="false">CN8-CN9</f>
        <v>0</v>
      </c>
      <c r="CO10" s="5" t="n">
        <f aca="false">CO8-CO9</f>
        <v>0</v>
      </c>
      <c r="CP10" s="5" t="n">
        <f aca="false">CP8-CP9</f>
        <v>0</v>
      </c>
      <c r="CQ10" s="5" t="n">
        <f aca="false">CQ8-CQ9</f>
        <v>0</v>
      </c>
      <c r="CR10" s="5" t="n">
        <f aca="false">CR8-CR9</f>
        <v>0</v>
      </c>
      <c r="CS10" s="5" t="n">
        <f aca="false">CS8-CS9</f>
        <v>0</v>
      </c>
      <c r="CT10" s="5" t="n">
        <f aca="false">CT8-CT9</f>
        <v>0</v>
      </c>
    </row>
    <row r="11" customFormat="false" ht="15" hidden="false" customHeight="false" outlineLevel="0" collapsed="false">
      <c r="B11" s="2" t="s">
        <v>203</v>
      </c>
      <c r="C11" s="5" t="n">
        <f aca="false">MAX(0,'Monthly CF'!C61+C8)</f>
        <v>0</v>
      </c>
      <c r="D11" s="5" t="n">
        <f aca="false">MAX(0,'Monthly CF'!D61+D8)</f>
        <v>0</v>
      </c>
      <c r="E11" s="5" t="n">
        <f aca="false">MAX(0,'Monthly CF'!E61+E8)</f>
        <v>0</v>
      </c>
      <c r="F11" s="5" t="n">
        <f aca="false">MAX(0,'Monthly CF'!F61+F8)</f>
        <v>0</v>
      </c>
      <c r="G11" s="5" t="n">
        <f aca="false">MAX(0,'Monthly CF'!G61+G8)</f>
        <v>0</v>
      </c>
      <c r="H11" s="5" t="n">
        <f aca="false">MAX(0,'Monthly CF'!H61+H8)</f>
        <v>0</v>
      </c>
      <c r="I11" s="5" t="n">
        <f aca="false">MAX(0,'Monthly CF'!I61+I8)</f>
        <v>0</v>
      </c>
      <c r="J11" s="5" t="n">
        <f aca="false">MAX(0,'Monthly CF'!J61+J8)</f>
        <v>0</v>
      </c>
      <c r="K11" s="5" t="n">
        <f aca="false">MAX(0,'Monthly CF'!K61+K8)</f>
        <v>0</v>
      </c>
      <c r="L11" s="5" t="n">
        <f aca="false">MAX(0,'Monthly CF'!L61+L8)</f>
        <v>0</v>
      </c>
      <c r="M11" s="5" t="n">
        <f aca="false">MAX(0,'Monthly CF'!M61+M8)</f>
        <v>0</v>
      </c>
      <c r="N11" s="5" t="n">
        <f aca="false">MAX(0,'Monthly CF'!N61+N8)</f>
        <v>0</v>
      </c>
      <c r="O11" s="5" t="n">
        <f aca="false">MAX(0,'Monthly CF'!O61+O8)</f>
        <v>0</v>
      </c>
      <c r="P11" s="5" t="n">
        <f aca="false">MAX(0,'Monthly CF'!P61+P8)</f>
        <v>0</v>
      </c>
      <c r="Q11" s="5" t="n">
        <f aca="false">MAX(0,'Monthly CF'!Q61+Q8)</f>
        <v>0</v>
      </c>
      <c r="R11" s="5" t="n">
        <f aca="false">MAX(0,'Monthly CF'!R61+R8)</f>
        <v>0</v>
      </c>
      <c r="S11" s="5" t="n">
        <f aca="false">MAX(0,'Monthly CF'!S61+S8)</f>
        <v>23591.0213100409</v>
      </c>
      <c r="T11" s="5" t="n">
        <f aca="false">MAX(0,'Monthly CF'!T61+T8)</f>
        <v>61420.3516375511</v>
      </c>
      <c r="U11" s="5" t="n">
        <f aca="false">MAX(0,'Monthly CF'!U61+U8)</f>
        <v>99249.6819650613</v>
      </c>
      <c r="V11" s="5" t="n">
        <f aca="false">MAX(0,'Monthly CF'!V61+V8)</f>
        <v>137079.012292571</v>
      </c>
      <c r="W11" s="5" t="n">
        <f aca="false">MAX(0,'Monthly CF'!W61+W8)</f>
        <v>174908.342620082</v>
      </c>
      <c r="X11" s="5" t="n">
        <f aca="false">MAX(0,'Monthly CF'!X61+X8)</f>
        <v>181071.006280925</v>
      </c>
      <c r="Y11" s="5" t="n">
        <f aca="false">MAX(0,'Monthly CF'!Y61+Y8)</f>
        <v>218900.336608435</v>
      </c>
      <c r="Z11" s="5" t="n">
        <f aca="false">MAX(0,'Monthly CF'!Z61+Z8)</f>
        <v>256729.666935946</v>
      </c>
      <c r="AA11" s="5" t="n">
        <f aca="false">MAX(0,'Monthly CF'!AA61+AA8)</f>
        <v>299558.906518249</v>
      </c>
      <c r="AB11" s="5" t="n">
        <f aca="false">MAX(0,'Monthly CF'!AB61+AB8)</f>
        <v>338136.96463088</v>
      </c>
      <c r="AC11" s="5" t="n">
        <f aca="false">MAX(0,'Monthly CF'!AC61+AC8)</f>
        <v>338908.525793133</v>
      </c>
      <c r="AD11" s="5" t="n">
        <f aca="false">MAX(0,'Monthly CF'!AD61+AD8)</f>
        <v>332604.775793133</v>
      </c>
      <c r="AE11" s="5" t="n">
        <f aca="false">MAX(0,'Monthly CF'!AE61+AE8)</f>
        <v>332604.775793133</v>
      </c>
      <c r="AF11" s="5" t="n">
        <f aca="false">MAX(0,'Monthly CF'!AF61+AF8)</f>
        <v>332604.775793133</v>
      </c>
      <c r="AG11" s="5" t="n">
        <f aca="false">MAX(0,'Monthly CF'!AG61+AG8)</f>
        <v>332604.775793133</v>
      </c>
      <c r="AH11" s="5" t="n">
        <f aca="false">MAX(0,'Monthly CF'!AH61+AH8)</f>
        <v>332604.775793133</v>
      </c>
      <c r="AI11" s="5" t="n">
        <f aca="false">MAX(0,'Monthly CF'!AI61+AI8)</f>
        <v>216779.034645989</v>
      </c>
      <c r="AJ11" s="5" t="n">
        <f aca="false">MAX(0,'Monthly CF'!AJ61+AJ8)</f>
        <v>29391.0833779681</v>
      </c>
      <c r="AK11" s="5" t="n">
        <f aca="false">MAX(0,'Monthly CF'!AK61+AK8)</f>
        <v>29397.9668788349</v>
      </c>
      <c r="AL11" s="5" t="n">
        <f aca="false">MAX(0,'Monthly CF'!AL61+AL8)</f>
        <v>29404.8862312688</v>
      </c>
      <c r="AM11" s="5" t="n">
        <f aca="false">MAX(0,'Monthly CF'!AM61+AM8)</f>
        <v>35110.6495323174</v>
      </c>
      <c r="AN11" s="5" t="n">
        <f aca="false">MAX(0,'Monthly CF'!AN61+AN8)</f>
        <v>35117.6411490386</v>
      </c>
      <c r="AO11" s="5" t="n">
        <f aca="false">MAX(0,'Monthly CF'!AO61+AO8)</f>
        <v>35124.6691804302</v>
      </c>
      <c r="AP11" s="5" t="n">
        <f aca="false">MAX(0,'Monthly CF'!AP61+AP8)</f>
        <v>35131.7338161519</v>
      </c>
      <c r="AQ11" s="5" t="n">
        <f aca="false">MAX(0,'Monthly CF'!AQ61+AQ8)</f>
        <v>35138.8352468513</v>
      </c>
      <c r="AR11" s="5" t="n">
        <f aca="false">MAX(0,'Monthly CF'!AR61+AR8)</f>
        <v>35145.973664169</v>
      </c>
      <c r="AS11" s="5" t="n">
        <f aca="false">MAX(0,'Monthly CF'!AS61+AS8)</f>
        <v>35153.1492607435</v>
      </c>
      <c r="AT11" s="5" t="n">
        <f aca="false">MAX(0,'Monthly CF'!AT61+AT8)</f>
        <v>35160.3622302169</v>
      </c>
      <c r="AU11" s="5" t="n">
        <f aca="false">MAX(0,'Monthly CF'!AU61+AU8)</f>
        <v>35167.6127672396</v>
      </c>
      <c r="AV11" s="5" t="n">
        <f aca="false">MAX(0,'Monthly CF'!AV61+AV8)</f>
        <v>35174.9010674759</v>
      </c>
      <c r="AW11" s="5" t="n">
        <f aca="false">MAX(0,'Monthly CF'!AW61+AW8)</f>
        <v>35182.2273276094</v>
      </c>
      <c r="AX11" s="5" t="n">
        <f aca="false">MAX(0,'Monthly CF'!AX61+AX8)</f>
        <v>35189.5917453477</v>
      </c>
      <c r="AY11" s="5" t="n">
        <f aca="false">MAX(0,'Monthly CF'!AY61+AY8)</f>
        <v>40985.9463978172</v>
      </c>
      <c r="AZ11" s="5" t="n">
        <f aca="false">MAX(0,'Monthly CF'!AZ61+AZ8)</f>
        <v>40993.3877280129</v>
      </c>
      <c r="BA11" s="5" t="n">
        <f aca="false">MAX(0,'Monthly CF'!BA61+BA8)</f>
        <v>41000.8678151367</v>
      </c>
      <c r="BB11" s="5" t="n">
        <f aca="false">MAX(0,'Monthly CF'!BB61+BB8)</f>
        <v>41008.3868610475</v>
      </c>
      <c r="BC11" s="5" t="n">
        <f aca="false">MAX(0,'Monthly CF'!BC61+BC8)</f>
        <v>41015.9450686559</v>
      </c>
      <c r="BD11" s="5" t="n">
        <f aca="false">MAX(0,'Monthly CF'!BD61+BD8)</f>
        <v>41023.5426419288</v>
      </c>
      <c r="BE11" s="5" t="n">
        <f aca="false">MAX(0,'Monthly CF'!BE61+BE8)</f>
        <v>41031.1797858959</v>
      </c>
      <c r="BF11" s="5" t="n">
        <f aca="false">MAX(0,'Monthly CF'!BF61+BF8)</f>
        <v>41038.8567066545</v>
      </c>
      <c r="BG11" s="5" t="n">
        <f aca="false">MAX(0,'Monthly CF'!BG61+BG8)</f>
        <v>41046.5736113754</v>
      </c>
      <c r="BH11" s="5" t="n">
        <f aca="false">MAX(0,'Monthly CF'!BH61+BH8)</f>
        <v>41054.3307083083</v>
      </c>
      <c r="BI11" s="5" t="n">
        <f aca="false">MAX(0,'Monthly CF'!BI61+BI8)</f>
        <v>41062.1282067878</v>
      </c>
      <c r="BJ11" s="5" t="n">
        <f aca="false">MAX(0,'Monthly CF'!BJ61+BJ8)</f>
        <v>16419138.3356279</v>
      </c>
      <c r="BK11" s="5" t="n">
        <f aca="false">MAX(0,'Monthly CF'!BK61+BK8)</f>
        <v>0</v>
      </c>
      <c r="BL11" s="5" t="n">
        <f aca="false">MAX(0,'Monthly CF'!BL61+BL8)</f>
        <v>0</v>
      </c>
      <c r="BM11" s="5" t="n">
        <f aca="false">MAX(0,'Monthly CF'!BM61+BM8)</f>
        <v>0</v>
      </c>
      <c r="BN11" s="5" t="n">
        <f aca="false">MAX(0,'Monthly CF'!BN61+BN8)</f>
        <v>0</v>
      </c>
      <c r="BO11" s="5" t="n">
        <f aca="false">MAX(0,'Monthly CF'!BO61+BO8)</f>
        <v>0</v>
      </c>
      <c r="BP11" s="5" t="n">
        <f aca="false">MAX(0,'Monthly CF'!BP61+BP8)</f>
        <v>0</v>
      </c>
      <c r="BQ11" s="5" t="n">
        <f aca="false">MAX(0,'Monthly CF'!BQ61+BQ8)</f>
        <v>0</v>
      </c>
      <c r="BR11" s="5" t="n">
        <f aca="false">MAX(0,'Monthly CF'!BR61+BR8)</f>
        <v>0</v>
      </c>
      <c r="BS11" s="5" t="n">
        <f aca="false">MAX(0,'Monthly CF'!BS61+BS8)</f>
        <v>0</v>
      </c>
      <c r="BT11" s="5" t="n">
        <f aca="false">MAX(0,'Monthly CF'!BT61+BT8)</f>
        <v>0</v>
      </c>
      <c r="BU11" s="5" t="n">
        <f aca="false">MAX(0,'Monthly CF'!BU61+BU8)</f>
        <v>0</v>
      </c>
      <c r="BV11" s="5" t="n">
        <f aca="false">MAX(0,'Monthly CF'!BV61+BV8)</f>
        <v>0</v>
      </c>
      <c r="BW11" s="5" t="n">
        <f aca="false">MAX(0,'Monthly CF'!BW61+BW8)</f>
        <v>0</v>
      </c>
      <c r="BX11" s="5" t="n">
        <f aca="false">MAX(0,'Monthly CF'!BX61+BX8)</f>
        <v>0</v>
      </c>
      <c r="BY11" s="5" t="n">
        <f aca="false">MAX(0,'Monthly CF'!BY61+BY8)</f>
        <v>0</v>
      </c>
      <c r="BZ11" s="5" t="n">
        <f aca="false">MAX(0,'Monthly CF'!BZ61+BZ8)</f>
        <v>0</v>
      </c>
      <c r="CA11" s="5" t="n">
        <f aca="false">MAX(0,'Monthly CF'!CA61+CA8)</f>
        <v>0</v>
      </c>
      <c r="CB11" s="5" t="n">
        <f aca="false">MAX(0,'Monthly CF'!CB61+CB8)</f>
        <v>0</v>
      </c>
      <c r="CC11" s="5" t="n">
        <f aca="false">MAX(0,'Monthly CF'!CC61+CC8)</f>
        <v>0</v>
      </c>
      <c r="CD11" s="5" t="n">
        <f aca="false">MAX(0,'Monthly CF'!CD61+CD8)</f>
        <v>0</v>
      </c>
      <c r="CE11" s="5" t="n">
        <f aca="false">MAX(0,'Monthly CF'!CE61+CE8)</f>
        <v>0</v>
      </c>
      <c r="CF11" s="5" t="n">
        <f aca="false">MAX(0,'Monthly CF'!CF61+CF8)</f>
        <v>0</v>
      </c>
      <c r="CG11" s="5" t="n">
        <f aca="false">MAX(0,'Monthly CF'!CG61+CG8)</f>
        <v>0</v>
      </c>
      <c r="CH11" s="5" t="n">
        <f aca="false">MAX(0,'Monthly CF'!CH61+CH8)</f>
        <v>0</v>
      </c>
      <c r="CI11" s="5" t="n">
        <f aca="false">MAX(0,'Monthly CF'!CI61+CI8)</f>
        <v>0</v>
      </c>
      <c r="CJ11" s="5" t="n">
        <f aca="false">MAX(0,'Monthly CF'!CJ61+CJ8)</f>
        <v>0</v>
      </c>
      <c r="CK11" s="5" t="n">
        <f aca="false">MAX(0,'Monthly CF'!CK61+CK8)</f>
        <v>0</v>
      </c>
      <c r="CL11" s="5" t="n">
        <f aca="false">MAX(0,'Monthly CF'!CL61+CL8)</f>
        <v>0</v>
      </c>
      <c r="CM11" s="5" t="n">
        <f aca="false">MAX(0,'Monthly CF'!CM61+CM8)</f>
        <v>0</v>
      </c>
      <c r="CN11" s="5" t="n">
        <f aca="false">MAX(0,'Monthly CF'!CN61+CN8)</f>
        <v>0</v>
      </c>
      <c r="CO11" s="5" t="n">
        <f aca="false">MAX(0,'Monthly CF'!CO61+CO8)</f>
        <v>0</v>
      </c>
      <c r="CP11" s="5" t="n">
        <f aca="false">MAX(0,'Monthly CF'!CP61+CP8)</f>
        <v>0</v>
      </c>
      <c r="CQ11" s="5" t="n">
        <f aca="false">MAX(0,'Monthly CF'!CQ61+CQ8)</f>
        <v>0</v>
      </c>
      <c r="CR11" s="5" t="n">
        <f aca="false">MAX(0,'Monthly CF'!CR61+CR8)</f>
        <v>0</v>
      </c>
      <c r="CS11" s="5" t="n">
        <f aca="false">MAX(0,'Monthly CF'!CS61+CS8)</f>
        <v>0</v>
      </c>
      <c r="CT11" s="5" t="n">
        <f aca="false">MAX(0,'Monthly CF'!CT61+CT8)</f>
        <v>0</v>
      </c>
    </row>
    <row r="13" customFormat="false" ht="15" hidden="false" customHeight="false" outlineLevel="0" collapsed="false">
      <c r="B13" s="26" t="s">
        <v>204</v>
      </c>
      <c r="C13" s="5" t="n">
        <f aca="false">0</f>
        <v>0</v>
      </c>
      <c r="D13" s="5" t="n">
        <f aca="false">IF(D6=1,0,C16)</f>
        <v>48232.5878246668</v>
      </c>
      <c r="E13" s="5" t="n">
        <f aca="false">IF(E6=1,0,D16)</f>
        <v>103055.215532386</v>
      </c>
      <c r="F13" s="5" t="n">
        <f aca="false">IF(F6=1,0,E16)</f>
        <v>166245.905371343</v>
      </c>
      <c r="G13" s="5" t="n">
        <f aca="false">IF(G6=1,0,F16)</f>
        <v>239828.921996076</v>
      </c>
      <c r="H13" s="5" t="n">
        <f aca="false">IF(H6=1,0,G16)</f>
        <v>326019.175130867</v>
      </c>
      <c r="I13" s="5" t="n">
        <f aca="false">IF(I6=1,0,H16)</f>
        <v>420519.148931424</v>
      </c>
      <c r="J13" s="5" t="n">
        <f aca="false">IF(J6=1,0,I16)</f>
        <v>515019.122731981</v>
      </c>
      <c r="K13" s="5" t="n">
        <f aca="false">IF(K6=1,0,J16)</f>
        <v>609519.096532539</v>
      </c>
      <c r="L13" s="5" t="n">
        <f aca="false">IF(L6=1,0,K16)</f>
        <v>704019.070333096</v>
      </c>
      <c r="M13" s="5" t="n">
        <f aca="false">IF(M6=1,0,L16)</f>
        <v>798519.044133653</v>
      </c>
      <c r="N13" s="5" t="n">
        <f aca="false">IF(N6=1,0,M16)</f>
        <v>893019.01793421</v>
      </c>
      <c r="O13" s="5" t="n">
        <f aca="false">IF(O6=1,0,N16)</f>
        <v>987518.991734767</v>
      </c>
      <c r="P13" s="5" t="n">
        <f aca="false">IF(P6=1,0,O16)</f>
        <v>1082018.96553532</v>
      </c>
      <c r="Q13" s="5" t="n">
        <f aca="false">IF(Q6=1,0,P16)</f>
        <v>1176518.93933588</v>
      </c>
      <c r="R13" s="5" t="n">
        <f aca="false">IF(R6=1,0,Q16)</f>
        <v>1271018.91313644</v>
      </c>
      <c r="S13" s="5" t="n">
        <f aca="false">IF(S6=1,0,R16)</f>
        <v>1365518.886937</v>
      </c>
      <c r="T13" s="5" t="n">
        <f aca="false">IF(T6=1,0,S16)</f>
        <v>1436427.83942751</v>
      </c>
      <c r="U13" s="5" t="n">
        <f aca="false">IF(U6=1,0,T16)</f>
        <v>1469507.46159052</v>
      </c>
      <c r="V13" s="5" t="n">
        <f aca="false">IF(V6=1,0,U16)</f>
        <v>1464757.75342601</v>
      </c>
      <c r="W13" s="5" t="n">
        <f aca="false">IF(W6=1,0,V16)</f>
        <v>1422178.714934</v>
      </c>
      <c r="X13" s="5" t="n">
        <f aca="false">IF(X6=1,0,W16)</f>
        <v>1341770.34611448</v>
      </c>
      <c r="Y13" s="5" t="n">
        <f aca="false">IF(Y6=1,0,X16)</f>
        <v>1255199.31363411</v>
      </c>
      <c r="Z13" s="5" t="n">
        <f aca="false">IF(Z6=1,0,Y16)</f>
        <v>1130798.95082623</v>
      </c>
      <c r="AA13" s="5" t="n">
        <f aca="false">IF(AA6=1,0,Z16)</f>
        <v>968569.257690841</v>
      </c>
      <c r="AB13" s="5" t="n">
        <f aca="false">IF(AB6=1,0,AA16)</f>
        <v>763510.32497315</v>
      </c>
      <c r="AC13" s="5" t="n">
        <f aca="false">IF(AC6=1,0,AB16)</f>
        <v>519873.334142827</v>
      </c>
      <c r="AD13" s="5" t="n">
        <f aca="false">IF(AD6=1,0,AC16)</f>
        <v>275464.782150251</v>
      </c>
      <c r="AE13" s="5" t="n">
        <f aca="false">IF(AE6=1,0,AD16)</f>
        <v>37359.9801576746</v>
      </c>
      <c r="AF13" s="5" t="n">
        <f aca="false">IF(AF6=1,0,AE16)</f>
        <v>0</v>
      </c>
      <c r="AG13" s="5" t="n">
        <f aca="false">IF(AG6=1,0,AF16)</f>
        <v>0</v>
      </c>
      <c r="AH13" s="5" t="n">
        <f aca="false">IF(AH6=1,0,AG16)</f>
        <v>0</v>
      </c>
      <c r="AI13" s="5" t="n">
        <f aca="false">IF(AI6=1,0,AH16)</f>
        <v>0</v>
      </c>
      <c r="AJ13" s="5" t="n">
        <f aca="false">IF(AJ6=1,0,AI16)</f>
        <v>0</v>
      </c>
      <c r="AK13" s="5" t="n">
        <f aca="false">IF(AK6=1,0,AJ16)</f>
        <v>58093.4781122714</v>
      </c>
      <c r="AL13" s="5" t="n">
        <f aca="false">IF(AL6=1,0,AK16)</f>
        <v>116180.072723676</v>
      </c>
      <c r="AM13" s="5" t="n">
        <f aca="false">IF(AM6=1,0,AL16)</f>
        <v>174259.747982647</v>
      </c>
      <c r="AN13" s="5" t="n">
        <f aca="false">IF(AN6=1,0,AM16)</f>
        <v>226633.659940569</v>
      </c>
      <c r="AO13" s="5" t="n">
        <f aca="false">IF(AO6=1,0,AN16)</f>
        <v>279000.58028177</v>
      </c>
      <c r="AP13" s="5" t="n">
        <f aca="false">IF(AP6=1,0,AO16)</f>
        <v>331360.472591579</v>
      </c>
      <c r="AQ13" s="5" t="n">
        <f aca="false">IF(AQ6=1,0,AP16)</f>
        <v>383713.300265666</v>
      </c>
      <c r="AR13" s="5" t="n">
        <f aca="false">IF(AR6=1,0,AQ16)</f>
        <v>436059.026509055</v>
      </c>
      <c r="AS13" s="5" t="n">
        <f aca="false">IF(AS6=1,0,AR16)</f>
        <v>488397.614335125</v>
      </c>
      <c r="AT13" s="5" t="n">
        <f aca="false">IF(AT6=1,0,AS16)</f>
        <v>540729.026564621</v>
      </c>
      <c r="AU13" s="5" t="n">
        <f aca="false">IF(AU6=1,0,AT16)</f>
        <v>593053.225824644</v>
      </c>
      <c r="AV13" s="5" t="n">
        <f aca="false">IF(AV6=1,0,AU16)</f>
        <v>645370.174547644</v>
      </c>
      <c r="AW13" s="5" t="n">
        <f aca="false">IF(AW6=1,0,AV16)</f>
        <v>697679.834970407</v>
      </c>
      <c r="AX13" s="5" t="n">
        <f aca="false">IF(AX6=1,0,AW16)</f>
        <v>749982.169133037</v>
      </c>
      <c r="AY13" s="5" t="n">
        <f aca="false">IF(AY6=1,0,AX16)</f>
        <v>802277.138877929</v>
      </c>
      <c r="AZ13" s="5" t="n">
        <f aca="false">IF(AZ6=1,0,AY16)</f>
        <v>848775.753970351</v>
      </c>
      <c r="BA13" s="5" t="n">
        <f aca="false">IF(BA6=1,0,AZ16)</f>
        <v>895266.927732578</v>
      </c>
      <c r="BB13" s="5" t="n">
        <f aca="false">IF(BB6=1,0,BA16)</f>
        <v>941750.621407681</v>
      </c>
      <c r="BC13" s="5" t="n">
        <f aca="false">IF(BC6=1,0,BB16)</f>
        <v>988226.796036872</v>
      </c>
      <c r="BD13" s="5" t="n">
        <f aca="false">IF(BD6=1,0,BC16)</f>
        <v>1034695.41245846</v>
      </c>
      <c r="BE13" s="5" t="n">
        <f aca="false">IF(BE6=1,0,BD16)</f>
        <v>1081156.43130677</v>
      </c>
      <c r="BF13" s="5" t="n">
        <f aca="false">IF(BF6=1,0,BE16)</f>
        <v>1127609.81301111</v>
      </c>
      <c r="BG13" s="5" t="n">
        <f aca="false">IF(BG6=1,0,BF16)</f>
        <v>1174055.5177947</v>
      </c>
      <c r="BH13" s="5" t="n">
        <f aca="false">IF(BH6=1,0,BG16)</f>
        <v>1220493.50567356</v>
      </c>
      <c r="BI13" s="5" t="n">
        <f aca="false">IF(BI6=1,0,BH16)</f>
        <v>1266923.73645549</v>
      </c>
      <c r="BJ13" s="5" t="n">
        <f aca="false">IF(BJ6=1,0,BI16)</f>
        <v>1313346.16973894</v>
      </c>
      <c r="BK13" s="5" t="n">
        <f aca="false">IF(BK6=1,0,BJ16)</f>
        <v>0</v>
      </c>
      <c r="BL13" s="5" t="n">
        <f aca="false">IF(BL6=1,0,BK16)</f>
        <v>0</v>
      </c>
      <c r="BM13" s="5" t="n">
        <f aca="false">IF(BM6=1,0,BL16)</f>
        <v>0</v>
      </c>
      <c r="BN13" s="5" t="n">
        <f aca="false">IF(BN6=1,0,BM16)</f>
        <v>0</v>
      </c>
      <c r="BO13" s="5" t="n">
        <f aca="false">IF(BO6=1,0,BN16)</f>
        <v>0</v>
      </c>
      <c r="BP13" s="5" t="n">
        <f aca="false">IF(BP6=1,0,BO16)</f>
        <v>0</v>
      </c>
      <c r="BQ13" s="5" t="n">
        <f aca="false">IF(BQ6=1,0,BP16)</f>
        <v>0</v>
      </c>
      <c r="BR13" s="5" t="n">
        <f aca="false">IF(BR6=1,0,BQ16)</f>
        <v>0</v>
      </c>
      <c r="BS13" s="5" t="n">
        <f aca="false">IF(BS6=1,0,BR16)</f>
        <v>0</v>
      </c>
      <c r="BT13" s="5" t="n">
        <f aca="false">IF(BT6=1,0,BS16)</f>
        <v>0</v>
      </c>
      <c r="BU13" s="5" t="n">
        <f aca="false">IF(BU6=1,0,BT16)</f>
        <v>0</v>
      </c>
      <c r="BV13" s="5" t="n">
        <f aca="false">IF(BV6=1,0,BU16)</f>
        <v>0</v>
      </c>
      <c r="BW13" s="5" t="n">
        <f aca="false">IF(BW6=1,0,BV16)</f>
        <v>0</v>
      </c>
      <c r="BX13" s="5" t="n">
        <f aca="false">IF(BX6=1,0,BW16)</f>
        <v>0</v>
      </c>
      <c r="BY13" s="5" t="n">
        <f aca="false">IF(BY6=1,0,BX16)</f>
        <v>0</v>
      </c>
      <c r="BZ13" s="5" t="n">
        <f aca="false">IF(BZ6=1,0,BY16)</f>
        <v>0</v>
      </c>
      <c r="CA13" s="5" t="n">
        <f aca="false">IF(CA6=1,0,BZ16)</f>
        <v>0</v>
      </c>
      <c r="CB13" s="5" t="n">
        <f aca="false">IF(CB6=1,0,CA16)</f>
        <v>0</v>
      </c>
      <c r="CC13" s="5" t="n">
        <f aca="false">IF(CC6=1,0,CB16)</f>
        <v>0</v>
      </c>
      <c r="CD13" s="5" t="n">
        <f aca="false">IF(CD6=1,0,CC16)</f>
        <v>0</v>
      </c>
      <c r="CE13" s="5" t="n">
        <f aca="false">IF(CE6=1,0,CD16)</f>
        <v>0</v>
      </c>
      <c r="CF13" s="5" t="n">
        <f aca="false">IF(CF6=1,0,CE16)</f>
        <v>0</v>
      </c>
      <c r="CG13" s="5" t="n">
        <f aca="false">IF(CG6=1,0,CF16)</f>
        <v>0</v>
      </c>
      <c r="CH13" s="5" t="n">
        <f aca="false">IF(CH6=1,0,CG16)</f>
        <v>0</v>
      </c>
      <c r="CI13" s="5" t="n">
        <f aca="false">IF(CI6=1,0,CH16)</f>
        <v>0</v>
      </c>
      <c r="CJ13" s="5" t="n">
        <f aca="false">IF(CJ6=1,0,CI16)</f>
        <v>0</v>
      </c>
      <c r="CK13" s="5" t="n">
        <f aca="false">IF(CK6=1,0,CJ16)</f>
        <v>0</v>
      </c>
      <c r="CL13" s="5" t="n">
        <f aca="false">IF(CL6=1,0,CK16)</f>
        <v>0</v>
      </c>
      <c r="CM13" s="5" t="n">
        <f aca="false">IF(CM6=1,0,CL16)</f>
        <v>0</v>
      </c>
      <c r="CN13" s="5" t="n">
        <f aca="false">IF(CN6=1,0,CM16)</f>
        <v>0</v>
      </c>
      <c r="CO13" s="5" t="n">
        <f aca="false">IF(CO6=1,0,CN16)</f>
        <v>0</v>
      </c>
      <c r="CP13" s="5" t="n">
        <f aca="false">IF(CP6=1,0,CO16)</f>
        <v>0</v>
      </c>
      <c r="CQ13" s="5" t="n">
        <f aca="false">IF(CQ6=1,0,CP16)</f>
        <v>0</v>
      </c>
      <c r="CR13" s="5" t="n">
        <f aca="false">IF(CR6=1,0,CQ16)</f>
        <v>0</v>
      </c>
      <c r="CS13" s="5" t="n">
        <f aca="false">IF(CS6=1,0,CR16)</f>
        <v>0</v>
      </c>
      <c r="CT13" s="5" t="n">
        <f aca="false">IF(CT6=1,0,CS16)</f>
        <v>0</v>
      </c>
    </row>
    <row r="14" customFormat="false" ht="15" hidden="false" customHeight="false" outlineLevel="0" collapsed="false">
      <c r="B14" s="26" t="s">
        <v>205</v>
      </c>
      <c r="C14" s="5" t="n">
        <f aca="false">C18*Inputs!$B$76/12</f>
        <v>48232.5878246668</v>
      </c>
      <c r="D14" s="5" t="n">
        <f aca="false">D18*Inputs!$B$76/12</f>
        <v>54822.6277077193</v>
      </c>
      <c r="E14" s="5" t="n">
        <f aca="false">E18*Inputs!$B$76/12</f>
        <v>63190.6898389568</v>
      </c>
      <c r="F14" s="5" t="n">
        <f aca="false">F18*Inputs!$B$76/12</f>
        <v>73583.0166247328</v>
      </c>
      <c r="G14" s="5" t="n">
        <f aca="false">G18*Inputs!$B$76/12</f>
        <v>86190.2531347913</v>
      </c>
      <c r="H14" s="5" t="n">
        <f aca="false">H18*Inputs!$B$76/12</f>
        <v>94499.9738005572</v>
      </c>
      <c r="I14" s="5" t="n">
        <f aca="false">I18*Inputs!$B$76/12</f>
        <v>94499.9738005572</v>
      </c>
      <c r="J14" s="5" t="n">
        <f aca="false">J18*Inputs!$B$76/12</f>
        <v>94499.9738005572</v>
      </c>
      <c r="K14" s="5" t="n">
        <f aca="false">K18*Inputs!$B$76/12</f>
        <v>94499.9738005572</v>
      </c>
      <c r="L14" s="5" t="n">
        <f aca="false">L18*Inputs!$B$76/12</f>
        <v>94499.9738005572</v>
      </c>
      <c r="M14" s="5" t="n">
        <f aca="false">M18*Inputs!$B$76/12</f>
        <v>94499.9738005572</v>
      </c>
      <c r="N14" s="5" t="n">
        <f aca="false">N18*Inputs!$B$76/12</f>
        <v>94499.9738005572</v>
      </c>
      <c r="O14" s="5" t="n">
        <f aca="false">O18*Inputs!$B$76/12</f>
        <v>94499.9738005572</v>
      </c>
      <c r="P14" s="5" t="n">
        <f aca="false">P18*Inputs!$B$76/12</f>
        <v>94499.9738005572</v>
      </c>
      <c r="Q14" s="5" t="n">
        <f aca="false">Q18*Inputs!$B$76/12</f>
        <v>94499.9738005572</v>
      </c>
      <c r="R14" s="5" t="n">
        <f aca="false">R18*Inputs!$B$76/12</f>
        <v>94499.9738005572</v>
      </c>
      <c r="S14" s="5" t="n">
        <f aca="false">S18*Inputs!$B$76/12</f>
        <v>94499.9738005572</v>
      </c>
      <c r="T14" s="5" t="n">
        <f aca="false">T18*Inputs!$B$76/12</f>
        <v>94499.9738005572</v>
      </c>
      <c r="U14" s="5" t="n">
        <f aca="false">U18*Inputs!$B$76/12</f>
        <v>94499.9738005572</v>
      </c>
      <c r="V14" s="5" t="n">
        <f aca="false">V18*Inputs!$B$76/12</f>
        <v>94499.9738005572</v>
      </c>
      <c r="W14" s="5" t="n">
        <f aca="false">W18*Inputs!$B$76/12</f>
        <v>94499.9738005572</v>
      </c>
      <c r="X14" s="5" t="n">
        <f aca="false">X18*Inputs!$B$76/12</f>
        <v>94499.9738005572</v>
      </c>
      <c r="Y14" s="5" t="n">
        <f aca="false">Y18*Inputs!$B$76/12</f>
        <v>94499.9738005572</v>
      </c>
      <c r="Z14" s="5" t="n">
        <f aca="false">Z18*Inputs!$B$76/12</f>
        <v>94499.9738005572</v>
      </c>
      <c r="AA14" s="5" t="n">
        <f aca="false">AA18*Inputs!$B$76/12</f>
        <v>94499.9738005572</v>
      </c>
      <c r="AB14" s="5" t="n">
        <f aca="false">AB18*Inputs!$B$76/12</f>
        <v>94499.9738005572</v>
      </c>
      <c r="AC14" s="5" t="n">
        <f aca="false">AC18*Inputs!$B$76/12</f>
        <v>94499.9738005572</v>
      </c>
      <c r="AD14" s="5" t="n">
        <f aca="false">AD18*Inputs!$B$76/12</f>
        <v>94499.9738005572</v>
      </c>
      <c r="AE14" s="5" t="n">
        <f aca="false">AE18*Inputs!$B$76/12</f>
        <v>94499.9738005572</v>
      </c>
      <c r="AF14" s="5" t="n">
        <f aca="false">AF18*Inputs!$B$76/12</f>
        <v>93161.6749883245</v>
      </c>
      <c r="AG14" s="5" t="n">
        <f aca="false">AG18*Inputs!$B$76/12</f>
        <v>91565.3876496258</v>
      </c>
      <c r="AH14" s="5" t="n">
        <f aca="false">AH18*Inputs!$B$76/12</f>
        <v>89958.4583953357</v>
      </c>
      <c r="AI14" s="5" t="n">
        <f aca="false">AI18*Inputs!$B$76/12</f>
        <v>88340.8162793504</v>
      </c>
      <c r="AJ14" s="5" t="n">
        <f aca="false">AJ18*Inputs!$B$76/12</f>
        <v>87484.5614902395</v>
      </c>
      <c r="AK14" s="5" t="n">
        <f aca="false">AK18*Inputs!$B$76/12</f>
        <v>87484.5614902395</v>
      </c>
      <c r="AL14" s="5" t="n">
        <f aca="false">AL18*Inputs!$B$76/12</f>
        <v>87484.5614902395</v>
      </c>
      <c r="AM14" s="5" t="n">
        <f aca="false">AM18*Inputs!$B$76/12</f>
        <v>87484.5614902395</v>
      </c>
      <c r="AN14" s="5" t="n">
        <f aca="false">AN18*Inputs!$B$76/12</f>
        <v>87484.5614902395</v>
      </c>
      <c r="AO14" s="5" t="n">
        <f aca="false">AO18*Inputs!$B$76/12</f>
        <v>87484.5614902395</v>
      </c>
      <c r="AP14" s="5" t="n">
        <f aca="false">AP18*Inputs!$B$76/12</f>
        <v>87484.5614902395</v>
      </c>
      <c r="AQ14" s="5" t="n">
        <f aca="false">AQ18*Inputs!$B$76/12</f>
        <v>87484.5614902395</v>
      </c>
      <c r="AR14" s="5" t="n">
        <f aca="false">AR18*Inputs!$B$76/12</f>
        <v>87484.5614902395</v>
      </c>
      <c r="AS14" s="5" t="n">
        <f aca="false">AS18*Inputs!$B$76/12</f>
        <v>87484.5614902395</v>
      </c>
      <c r="AT14" s="5" t="n">
        <f aca="false">AT18*Inputs!$B$76/12</f>
        <v>87484.5614902395</v>
      </c>
      <c r="AU14" s="5" t="n">
        <f aca="false">AU18*Inputs!$B$76/12</f>
        <v>87484.5614902395</v>
      </c>
      <c r="AV14" s="5" t="n">
        <f aca="false">AV18*Inputs!$B$76/12</f>
        <v>87484.5614902395</v>
      </c>
      <c r="AW14" s="5" t="n">
        <f aca="false">AW18*Inputs!$B$76/12</f>
        <v>87484.5614902395</v>
      </c>
      <c r="AX14" s="5" t="n">
        <f aca="false">AX18*Inputs!$B$76/12</f>
        <v>87484.5614902395</v>
      </c>
      <c r="AY14" s="5" t="n">
        <f aca="false">AY18*Inputs!$B$76/12</f>
        <v>87484.5614902395</v>
      </c>
      <c r="AZ14" s="5" t="n">
        <f aca="false">AZ18*Inputs!$B$76/12</f>
        <v>87484.5614902395</v>
      </c>
      <c r="BA14" s="5" t="n">
        <f aca="false">BA18*Inputs!$B$76/12</f>
        <v>87484.5614902395</v>
      </c>
      <c r="BB14" s="5" t="n">
        <f aca="false">BB18*Inputs!$B$76/12</f>
        <v>87484.5614902395</v>
      </c>
      <c r="BC14" s="5" t="n">
        <f aca="false">BC18*Inputs!$B$76/12</f>
        <v>87484.5614902395</v>
      </c>
      <c r="BD14" s="5" t="n">
        <f aca="false">BD18*Inputs!$B$76/12</f>
        <v>87484.5614902395</v>
      </c>
      <c r="BE14" s="5" t="n">
        <f aca="false">BE18*Inputs!$B$76/12</f>
        <v>87484.5614902395</v>
      </c>
      <c r="BF14" s="5" t="n">
        <f aca="false">BF18*Inputs!$B$76/12</f>
        <v>87484.5614902395</v>
      </c>
      <c r="BG14" s="5" t="n">
        <f aca="false">BG18*Inputs!$B$76/12</f>
        <v>87484.5614902395</v>
      </c>
      <c r="BH14" s="5" t="n">
        <f aca="false">BH18*Inputs!$B$76/12</f>
        <v>87484.5614902395</v>
      </c>
      <c r="BI14" s="5" t="n">
        <f aca="false">BI18*Inputs!$B$76/12</f>
        <v>87484.5614902395</v>
      </c>
      <c r="BJ14" s="5" t="n">
        <f aca="false">BJ18*Inputs!$B$76/12</f>
        <v>87484.5614902395</v>
      </c>
      <c r="BK14" s="5" t="n">
        <f aca="false">BK18*Inputs!$B$76/12</f>
        <v>0</v>
      </c>
      <c r="BL14" s="5" t="n">
        <f aca="false">BL18*Inputs!$B$76/12</f>
        <v>0</v>
      </c>
      <c r="BM14" s="5" t="n">
        <f aca="false">BM18*Inputs!$B$76/12</f>
        <v>0</v>
      </c>
      <c r="BN14" s="5" t="n">
        <f aca="false">BN18*Inputs!$B$76/12</f>
        <v>0</v>
      </c>
      <c r="BO14" s="5" t="n">
        <f aca="false">BO18*Inputs!$B$76/12</f>
        <v>0</v>
      </c>
      <c r="BP14" s="5" t="n">
        <f aca="false">BP18*Inputs!$B$76/12</f>
        <v>0</v>
      </c>
      <c r="BQ14" s="5" t="n">
        <f aca="false">BQ18*Inputs!$B$76/12</f>
        <v>0</v>
      </c>
      <c r="BR14" s="5" t="n">
        <f aca="false">BR18*Inputs!$B$76/12</f>
        <v>0</v>
      </c>
      <c r="BS14" s="5" t="n">
        <f aca="false">BS18*Inputs!$B$76/12</f>
        <v>0</v>
      </c>
      <c r="BT14" s="5" t="n">
        <f aca="false">BT18*Inputs!$B$76/12</f>
        <v>0</v>
      </c>
      <c r="BU14" s="5" t="n">
        <f aca="false">BU18*Inputs!$B$76/12</f>
        <v>0</v>
      </c>
      <c r="BV14" s="5" t="n">
        <f aca="false">BV18*Inputs!$B$76/12</f>
        <v>0</v>
      </c>
      <c r="BW14" s="5" t="n">
        <f aca="false">BW18*Inputs!$B$76/12</f>
        <v>0</v>
      </c>
      <c r="BX14" s="5" t="n">
        <f aca="false">BX18*Inputs!$B$76/12</f>
        <v>0</v>
      </c>
      <c r="BY14" s="5" t="n">
        <f aca="false">BY18*Inputs!$B$76/12</f>
        <v>0</v>
      </c>
      <c r="BZ14" s="5" t="n">
        <f aca="false">BZ18*Inputs!$B$76/12</f>
        <v>0</v>
      </c>
      <c r="CA14" s="5" t="n">
        <f aca="false">CA18*Inputs!$B$76/12</f>
        <v>0</v>
      </c>
      <c r="CB14" s="5" t="n">
        <f aca="false">CB18*Inputs!$B$76/12</f>
        <v>0</v>
      </c>
      <c r="CC14" s="5" t="n">
        <f aca="false">CC18*Inputs!$B$76/12</f>
        <v>0</v>
      </c>
      <c r="CD14" s="5" t="n">
        <f aca="false">CD18*Inputs!$B$76/12</f>
        <v>0</v>
      </c>
      <c r="CE14" s="5" t="n">
        <f aca="false">CE18*Inputs!$B$76/12</f>
        <v>0</v>
      </c>
      <c r="CF14" s="5" t="n">
        <f aca="false">CF18*Inputs!$B$76/12</f>
        <v>0</v>
      </c>
      <c r="CG14" s="5" t="n">
        <f aca="false">CG18*Inputs!$B$76/12</f>
        <v>0</v>
      </c>
      <c r="CH14" s="5" t="n">
        <f aca="false">CH18*Inputs!$B$76/12</f>
        <v>0</v>
      </c>
      <c r="CI14" s="5" t="n">
        <f aca="false">CI18*Inputs!$B$76/12</f>
        <v>0</v>
      </c>
      <c r="CJ14" s="5" t="n">
        <f aca="false">CJ18*Inputs!$B$76/12</f>
        <v>0</v>
      </c>
      <c r="CK14" s="5" t="n">
        <f aca="false">CK18*Inputs!$B$76/12</f>
        <v>0</v>
      </c>
      <c r="CL14" s="5" t="n">
        <f aca="false">CL18*Inputs!$B$76/12</f>
        <v>0</v>
      </c>
      <c r="CM14" s="5" t="n">
        <f aca="false">CM18*Inputs!$B$76/12</f>
        <v>0</v>
      </c>
      <c r="CN14" s="5" t="n">
        <f aca="false">CN18*Inputs!$B$76/12</f>
        <v>0</v>
      </c>
      <c r="CO14" s="5" t="n">
        <f aca="false">CO18*Inputs!$B$76/12</f>
        <v>0</v>
      </c>
      <c r="CP14" s="5" t="n">
        <f aca="false">CP18*Inputs!$B$76/12</f>
        <v>0</v>
      </c>
      <c r="CQ14" s="5" t="n">
        <f aca="false">CQ18*Inputs!$B$76/12</f>
        <v>0</v>
      </c>
      <c r="CR14" s="5" t="n">
        <f aca="false">CR18*Inputs!$B$76/12</f>
        <v>0</v>
      </c>
      <c r="CS14" s="5" t="n">
        <f aca="false">CS18*Inputs!$B$76/12</f>
        <v>0</v>
      </c>
      <c r="CT14" s="5" t="n">
        <f aca="false">CT18*Inputs!$B$76/12</f>
        <v>0</v>
      </c>
    </row>
    <row r="15" customFormat="false" ht="15" hidden="false" customHeight="false" outlineLevel="0" collapsed="false">
      <c r="B15" s="26" t="s">
        <v>206</v>
      </c>
      <c r="C15" s="5" t="n">
        <f aca="false">MIN(C11,C13+C14)</f>
        <v>0</v>
      </c>
      <c r="D15" s="5" t="n">
        <f aca="false">MIN(D11,D13+D14)</f>
        <v>0</v>
      </c>
      <c r="E15" s="5" t="n">
        <f aca="false">MIN(E11,E13+E14)</f>
        <v>0</v>
      </c>
      <c r="F15" s="5" t="n">
        <f aca="false">MIN(F11,F13+F14)</f>
        <v>0</v>
      </c>
      <c r="G15" s="5" t="n">
        <f aca="false">MIN(G11,G13+G14)</f>
        <v>0</v>
      </c>
      <c r="H15" s="5" t="n">
        <f aca="false">MIN(H11,H13+H14)</f>
        <v>0</v>
      </c>
      <c r="I15" s="5" t="n">
        <f aca="false">MIN(I11,I13+I14)</f>
        <v>0</v>
      </c>
      <c r="J15" s="5" t="n">
        <f aca="false">MIN(J11,J13+J14)</f>
        <v>0</v>
      </c>
      <c r="K15" s="5" t="n">
        <f aca="false">MIN(K11,K13+K14)</f>
        <v>0</v>
      </c>
      <c r="L15" s="5" t="n">
        <f aca="false">MIN(L11,L13+L14)</f>
        <v>0</v>
      </c>
      <c r="M15" s="5" t="n">
        <f aca="false">MIN(M11,M13+M14)</f>
        <v>0</v>
      </c>
      <c r="N15" s="5" t="n">
        <f aca="false">MIN(N11,N13+N14)</f>
        <v>0</v>
      </c>
      <c r="O15" s="5" t="n">
        <f aca="false">MIN(O11,O13+O14)</f>
        <v>0</v>
      </c>
      <c r="P15" s="5" t="n">
        <f aca="false">MIN(P11,P13+P14)</f>
        <v>0</v>
      </c>
      <c r="Q15" s="5" t="n">
        <f aca="false">MIN(Q11,Q13+Q14)</f>
        <v>0</v>
      </c>
      <c r="R15" s="5" t="n">
        <f aca="false">MIN(R11,R13+R14)</f>
        <v>0</v>
      </c>
      <c r="S15" s="5" t="n">
        <f aca="false">MIN(S11,S13+S14)</f>
        <v>23591.0213100409</v>
      </c>
      <c r="T15" s="5" t="n">
        <f aca="false">MIN(T11,T13+T14)</f>
        <v>61420.3516375511</v>
      </c>
      <c r="U15" s="5" t="n">
        <f aca="false">MIN(U11,U13+U14)</f>
        <v>99249.6819650613</v>
      </c>
      <c r="V15" s="5" t="n">
        <f aca="false">MIN(V11,V13+V14)</f>
        <v>137079.012292571</v>
      </c>
      <c r="W15" s="5" t="n">
        <f aca="false">MIN(W11,W13+W14)</f>
        <v>174908.342620082</v>
      </c>
      <c r="X15" s="5" t="n">
        <f aca="false">MIN(X11,X13+X14)</f>
        <v>181071.006280925</v>
      </c>
      <c r="Y15" s="5" t="n">
        <f aca="false">MIN(Y11,Y13+Y14)</f>
        <v>218900.336608435</v>
      </c>
      <c r="Z15" s="5" t="n">
        <f aca="false">MIN(Z11,Z13+Z14)</f>
        <v>256729.666935946</v>
      </c>
      <c r="AA15" s="5" t="n">
        <f aca="false">MIN(AA11,AA13+AA14)</f>
        <v>299558.906518249</v>
      </c>
      <c r="AB15" s="5" t="n">
        <f aca="false">MIN(AB11,AB13+AB14)</f>
        <v>338136.96463088</v>
      </c>
      <c r="AC15" s="5" t="n">
        <f aca="false">MIN(AC11,AC13+AC14)</f>
        <v>338908.525793133</v>
      </c>
      <c r="AD15" s="5" t="n">
        <f aca="false">MIN(AD11,AD13+AD14)</f>
        <v>332604.775793133</v>
      </c>
      <c r="AE15" s="5" t="n">
        <f aca="false">MIN(AE11,AE13+AE14)</f>
        <v>131859.953958232</v>
      </c>
      <c r="AF15" s="5" t="n">
        <f aca="false">MIN(AF11,AF13+AF14)</f>
        <v>93161.6749883245</v>
      </c>
      <c r="AG15" s="5" t="n">
        <f aca="false">MIN(AG11,AG13+AG14)</f>
        <v>91565.3876496258</v>
      </c>
      <c r="AH15" s="5" t="n">
        <f aca="false">MIN(AH11,AH13+AH14)</f>
        <v>89958.4583953357</v>
      </c>
      <c r="AI15" s="5" t="n">
        <f aca="false">MIN(AI11,AI13+AI14)</f>
        <v>88340.8162793504</v>
      </c>
      <c r="AJ15" s="5" t="n">
        <f aca="false">MIN(AJ11,AJ13+AJ14)</f>
        <v>29391.0833779681</v>
      </c>
      <c r="AK15" s="5" t="n">
        <f aca="false">MIN(AK11,AK13+AK14)</f>
        <v>29397.9668788349</v>
      </c>
      <c r="AL15" s="5" t="n">
        <f aca="false">MIN(AL11,AL13+AL14)</f>
        <v>29404.8862312688</v>
      </c>
      <c r="AM15" s="5" t="n">
        <f aca="false">MIN(AM11,AM13+AM14)</f>
        <v>35110.6495323174</v>
      </c>
      <c r="AN15" s="5" t="n">
        <f aca="false">MIN(AN11,AN13+AN14)</f>
        <v>35117.6411490386</v>
      </c>
      <c r="AO15" s="5" t="n">
        <f aca="false">MIN(AO11,AO13+AO14)</f>
        <v>35124.6691804302</v>
      </c>
      <c r="AP15" s="5" t="n">
        <f aca="false">MIN(AP11,AP13+AP14)</f>
        <v>35131.7338161519</v>
      </c>
      <c r="AQ15" s="5" t="n">
        <f aca="false">MIN(AQ11,AQ13+AQ14)</f>
        <v>35138.8352468513</v>
      </c>
      <c r="AR15" s="5" t="n">
        <f aca="false">MIN(AR11,AR13+AR14)</f>
        <v>35145.973664169</v>
      </c>
      <c r="AS15" s="5" t="n">
        <f aca="false">MIN(AS11,AS13+AS14)</f>
        <v>35153.1492607435</v>
      </c>
      <c r="AT15" s="5" t="n">
        <f aca="false">MIN(AT11,AT13+AT14)</f>
        <v>35160.3622302169</v>
      </c>
      <c r="AU15" s="5" t="n">
        <f aca="false">MIN(AU11,AU13+AU14)</f>
        <v>35167.6127672396</v>
      </c>
      <c r="AV15" s="5" t="n">
        <f aca="false">MIN(AV11,AV13+AV14)</f>
        <v>35174.9010674759</v>
      </c>
      <c r="AW15" s="5" t="n">
        <f aca="false">MIN(AW11,AW13+AW14)</f>
        <v>35182.2273276094</v>
      </c>
      <c r="AX15" s="5" t="n">
        <f aca="false">MIN(AX11,AX13+AX14)</f>
        <v>35189.5917453477</v>
      </c>
      <c r="AY15" s="5" t="n">
        <f aca="false">MIN(AY11,AY13+AY14)</f>
        <v>40985.9463978172</v>
      </c>
      <c r="AZ15" s="5" t="n">
        <f aca="false">MIN(AZ11,AZ13+AZ14)</f>
        <v>40993.3877280129</v>
      </c>
      <c r="BA15" s="5" t="n">
        <f aca="false">MIN(BA11,BA13+BA14)</f>
        <v>41000.8678151367</v>
      </c>
      <c r="BB15" s="5" t="n">
        <f aca="false">MIN(BB11,BB13+BB14)</f>
        <v>41008.3868610475</v>
      </c>
      <c r="BC15" s="5" t="n">
        <f aca="false">MIN(BC11,BC13+BC14)</f>
        <v>41015.9450686559</v>
      </c>
      <c r="BD15" s="5" t="n">
        <f aca="false">MIN(BD11,BD13+BD14)</f>
        <v>41023.5426419288</v>
      </c>
      <c r="BE15" s="5" t="n">
        <f aca="false">MIN(BE11,BE13+BE14)</f>
        <v>41031.1797858959</v>
      </c>
      <c r="BF15" s="5" t="n">
        <f aca="false">MIN(BF11,BF13+BF14)</f>
        <v>41038.8567066545</v>
      </c>
      <c r="BG15" s="5" t="n">
        <f aca="false">MIN(BG11,BG13+BG14)</f>
        <v>41046.5736113754</v>
      </c>
      <c r="BH15" s="5" t="n">
        <f aca="false">MIN(BH11,BH13+BH14)</f>
        <v>41054.3307083083</v>
      </c>
      <c r="BI15" s="5" t="n">
        <f aca="false">MIN(BI11,BI13+BI14)</f>
        <v>41062.1282067878</v>
      </c>
      <c r="BJ15" s="5" t="n">
        <f aca="false">MIN(BJ11,BJ13+BJ14)</f>
        <v>1400830.73122918</v>
      </c>
      <c r="BK15" s="5" t="n">
        <f aca="false">MIN(BK11,BK13+BK14)</f>
        <v>0</v>
      </c>
      <c r="BL15" s="5" t="n">
        <f aca="false">MIN(BL11,BL13+BL14)</f>
        <v>0</v>
      </c>
      <c r="BM15" s="5" t="n">
        <f aca="false">MIN(BM11,BM13+BM14)</f>
        <v>0</v>
      </c>
      <c r="BN15" s="5" t="n">
        <f aca="false">MIN(BN11,BN13+BN14)</f>
        <v>0</v>
      </c>
      <c r="BO15" s="5" t="n">
        <f aca="false">MIN(BO11,BO13+BO14)</f>
        <v>0</v>
      </c>
      <c r="BP15" s="5" t="n">
        <f aca="false">MIN(BP11,BP13+BP14)</f>
        <v>0</v>
      </c>
      <c r="BQ15" s="5" t="n">
        <f aca="false">MIN(BQ11,BQ13+BQ14)</f>
        <v>0</v>
      </c>
      <c r="BR15" s="5" t="n">
        <f aca="false">MIN(BR11,BR13+BR14)</f>
        <v>0</v>
      </c>
      <c r="BS15" s="5" t="n">
        <f aca="false">MIN(BS11,BS13+BS14)</f>
        <v>0</v>
      </c>
      <c r="BT15" s="5" t="n">
        <f aca="false">MIN(BT11,BT13+BT14)</f>
        <v>0</v>
      </c>
      <c r="BU15" s="5" t="n">
        <f aca="false">MIN(BU11,BU13+BU14)</f>
        <v>0</v>
      </c>
      <c r="BV15" s="5" t="n">
        <f aca="false">MIN(BV11,BV13+BV14)</f>
        <v>0</v>
      </c>
      <c r="BW15" s="5" t="n">
        <f aca="false">MIN(BW11,BW13+BW14)</f>
        <v>0</v>
      </c>
      <c r="BX15" s="5" t="n">
        <f aca="false">MIN(BX11,BX13+BX14)</f>
        <v>0</v>
      </c>
      <c r="BY15" s="5" t="n">
        <f aca="false">MIN(BY11,BY13+BY14)</f>
        <v>0</v>
      </c>
      <c r="BZ15" s="5" t="n">
        <f aca="false">MIN(BZ11,BZ13+BZ14)</f>
        <v>0</v>
      </c>
      <c r="CA15" s="5" t="n">
        <f aca="false">MIN(CA11,CA13+CA14)</f>
        <v>0</v>
      </c>
      <c r="CB15" s="5" t="n">
        <f aca="false">MIN(CB11,CB13+CB14)</f>
        <v>0</v>
      </c>
      <c r="CC15" s="5" t="n">
        <f aca="false">MIN(CC11,CC13+CC14)</f>
        <v>0</v>
      </c>
      <c r="CD15" s="5" t="n">
        <f aca="false">MIN(CD11,CD13+CD14)</f>
        <v>0</v>
      </c>
      <c r="CE15" s="5" t="n">
        <f aca="false">MIN(CE11,CE13+CE14)</f>
        <v>0</v>
      </c>
      <c r="CF15" s="5" t="n">
        <f aca="false">MIN(CF11,CF13+CF14)</f>
        <v>0</v>
      </c>
      <c r="CG15" s="5" t="n">
        <f aca="false">MIN(CG11,CG13+CG14)</f>
        <v>0</v>
      </c>
      <c r="CH15" s="5" t="n">
        <f aca="false">MIN(CH11,CH13+CH14)</f>
        <v>0</v>
      </c>
      <c r="CI15" s="5" t="n">
        <f aca="false">MIN(CI11,CI13+CI14)</f>
        <v>0</v>
      </c>
      <c r="CJ15" s="5" t="n">
        <f aca="false">MIN(CJ11,CJ13+CJ14)</f>
        <v>0</v>
      </c>
      <c r="CK15" s="5" t="n">
        <f aca="false">MIN(CK11,CK13+CK14)</f>
        <v>0</v>
      </c>
      <c r="CL15" s="5" t="n">
        <f aca="false">MIN(CL11,CL13+CL14)</f>
        <v>0</v>
      </c>
      <c r="CM15" s="5" t="n">
        <f aca="false">MIN(CM11,CM13+CM14)</f>
        <v>0</v>
      </c>
      <c r="CN15" s="5" t="n">
        <f aca="false">MIN(CN11,CN13+CN14)</f>
        <v>0</v>
      </c>
      <c r="CO15" s="5" t="n">
        <f aca="false">MIN(CO11,CO13+CO14)</f>
        <v>0</v>
      </c>
      <c r="CP15" s="5" t="n">
        <f aca="false">MIN(CP11,CP13+CP14)</f>
        <v>0</v>
      </c>
      <c r="CQ15" s="5" t="n">
        <f aca="false">MIN(CQ11,CQ13+CQ14)</f>
        <v>0</v>
      </c>
      <c r="CR15" s="5" t="n">
        <f aca="false">MIN(CR11,CR13+CR14)</f>
        <v>0</v>
      </c>
      <c r="CS15" s="5" t="n">
        <f aca="false">MIN(CS11,CS13+CS14)</f>
        <v>0</v>
      </c>
      <c r="CT15" s="5" t="n">
        <f aca="false">MIN(CT11,CT13+CT14)</f>
        <v>0</v>
      </c>
    </row>
    <row r="16" customFormat="false" ht="15" hidden="false" customHeight="false" outlineLevel="0" collapsed="false">
      <c r="B16" s="26" t="s">
        <v>207</v>
      </c>
      <c r="C16" s="5" t="n">
        <f aca="false">C13+C14-C15</f>
        <v>48232.5878246668</v>
      </c>
      <c r="D16" s="5" t="n">
        <f aca="false">D13+D14-D15</f>
        <v>103055.215532386</v>
      </c>
      <c r="E16" s="5" t="n">
        <f aca="false">E13+E14-E15</f>
        <v>166245.905371343</v>
      </c>
      <c r="F16" s="5" t="n">
        <f aca="false">F13+F14-F15</f>
        <v>239828.921996076</v>
      </c>
      <c r="G16" s="5" t="n">
        <f aca="false">G13+G14-G15</f>
        <v>326019.175130867</v>
      </c>
      <c r="H16" s="5" t="n">
        <f aca="false">H13+H14-H15</f>
        <v>420519.148931424</v>
      </c>
      <c r="I16" s="5" t="n">
        <f aca="false">I13+I14-I15</f>
        <v>515019.122731981</v>
      </c>
      <c r="J16" s="5" t="n">
        <f aca="false">J13+J14-J15</f>
        <v>609519.096532539</v>
      </c>
      <c r="K16" s="5" t="n">
        <f aca="false">K13+K14-K15</f>
        <v>704019.070333096</v>
      </c>
      <c r="L16" s="5" t="n">
        <f aca="false">L13+L14-L15</f>
        <v>798519.044133653</v>
      </c>
      <c r="M16" s="5" t="n">
        <f aca="false">M13+M14-M15</f>
        <v>893019.01793421</v>
      </c>
      <c r="N16" s="5" t="n">
        <f aca="false">N13+N14-N15</f>
        <v>987518.991734767</v>
      </c>
      <c r="O16" s="5" t="n">
        <f aca="false">O13+O14-O15</f>
        <v>1082018.96553532</v>
      </c>
      <c r="P16" s="5" t="n">
        <f aca="false">P13+P14-P15</f>
        <v>1176518.93933588</v>
      </c>
      <c r="Q16" s="5" t="n">
        <f aca="false">Q13+Q14-Q15</f>
        <v>1271018.91313644</v>
      </c>
      <c r="R16" s="5" t="n">
        <f aca="false">R13+R14-R15</f>
        <v>1365518.886937</v>
      </c>
      <c r="S16" s="5" t="n">
        <f aca="false">S13+S14-S15</f>
        <v>1436427.83942751</v>
      </c>
      <c r="T16" s="5" t="n">
        <f aca="false">T13+T14-T15</f>
        <v>1469507.46159052</v>
      </c>
      <c r="U16" s="5" t="n">
        <f aca="false">U13+U14-U15</f>
        <v>1464757.75342601</v>
      </c>
      <c r="V16" s="5" t="n">
        <f aca="false">V13+V14-V15</f>
        <v>1422178.714934</v>
      </c>
      <c r="W16" s="5" t="n">
        <f aca="false">W13+W14-W15</f>
        <v>1341770.34611448</v>
      </c>
      <c r="X16" s="5" t="n">
        <f aca="false">X13+X14-X15</f>
        <v>1255199.31363411</v>
      </c>
      <c r="Y16" s="5" t="n">
        <f aca="false">Y13+Y14-Y15</f>
        <v>1130798.95082623</v>
      </c>
      <c r="Z16" s="5" t="n">
        <f aca="false">Z13+Z14-Z15</f>
        <v>968569.257690841</v>
      </c>
      <c r="AA16" s="5" t="n">
        <f aca="false">AA13+AA14-AA15</f>
        <v>763510.32497315</v>
      </c>
      <c r="AB16" s="5" t="n">
        <f aca="false">AB13+AB14-AB15</f>
        <v>519873.334142827</v>
      </c>
      <c r="AC16" s="5" t="n">
        <f aca="false">AC13+AC14-AC15</f>
        <v>275464.782150251</v>
      </c>
      <c r="AD16" s="5" t="n">
        <f aca="false">AD13+AD14-AD15</f>
        <v>37359.9801576746</v>
      </c>
      <c r="AE16" s="5" t="n">
        <f aca="false">AE13+AE14-AE15</f>
        <v>0</v>
      </c>
      <c r="AF16" s="5" t="n">
        <f aca="false">AF13+AF14-AF15</f>
        <v>0</v>
      </c>
      <c r="AG16" s="5" t="n">
        <f aca="false">AG13+AG14-AG15</f>
        <v>0</v>
      </c>
      <c r="AH16" s="5" t="n">
        <f aca="false">AH13+AH14-AH15</f>
        <v>0</v>
      </c>
      <c r="AI16" s="5" t="n">
        <f aca="false">AI13+AI14-AI15</f>
        <v>0</v>
      </c>
      <c r="AJ16" s="5" t="n">
        <f aca="false">AJ13+AJ14-AJ15</f>
        <v>58093.4781122714</v>
      </c>
      <c r="AK16" s="5" t="n">
        <f aca="false">AK13+AK14-AK15</f>
        <v>116180.072723676</v>
      </c>
      <c r="AL16" s="5" t="n">
        <f aca="false">AL13+AL14-AL15</f>
        <v>174259.747982647</v>
      </c>
      <c r="AM16" s="5" t="n">
        <f aca="false">AM13+AM14-AM15</f>
        <v>226633.659940569</v>
      </c>
      <c r="AN16" s="5" t="n">
        <f aca="false">AN13+AN14-AN15</f>
        <v>279000.58028177</v>
      </c>
      <c r="AO16" s="5" t="n">
        <f aca="false">AO13+AO14-AO15</f>
        <v>331360.472591579</v>
      </c>
      <c r="AP16" s="5" t="n">
        <f aca="false">AP13+AP14-AP15</f>
        <v>383713.300265666</v>
      </c>
      <c r="AQ16" s="5" t="n">
        <f aca="false">AQ13+AQ14-AQ15</f>
        <v>436059.026509055</v>
      </c>
      <c r="AR16" s="5" t="n">
        <f aca="false">AR13+AR14-AR15</f>
        <v>488397.614335125</v>
      </c>
      <c r="AS16" s="5" t="n">
        <f aca="false">AS13+AS14-AS15</f>
        <v>540729.026564621</v>
      </c>
      <c r="AT16" s="5" t="n">
        <f aca="false">AT13+AT14-AT15</f>
        <v>593053.225824644</v>
      </c>
      <c r="AU16" s="5" t="n">
        <f aca="false">AU13+AU14-AU15</f>
        <v>645370.174547644</v>
      </c>
      <c r="AV16" s="5" t="n">
        <f aca="false">AV13+AV14-AV15</f>
        <v>697679.834970407</v>
      </c>
      <c r="AW16" s="5" t="n">
        <f aca="false">AW13+AW14-AW15</f>
        <v>749982.169133037</v>
      </c>
      <c r="AX16" s="5" t="n">
        <f aca="false">AX13+AX14-AX15</f>
        <v>802277.138877929</v>
      </c>
      <c r="AY16" s="5" t="n">
        <f aca="false">AY13+AY14-AY15</f>
        <v>848775.753970351</v>
      </c>
      <c r="AZ16" s="5" t="n">
        <f aca="false">AZ13+AZ14-AZ15</f>
        <v>895266.927732578</v>
      </c>
      <c r="BA16" s="5" t="n">
        <f aca="false">BA13+BA14-BA15</f>
        <v>941750.621407681</v>
      </c>
      <c r="BB16" s="5" t="n">
        <f aca="false">BB13+BB14-BB15</f>
        <v>988226.796036872</v>
      </c>
      <c r="BC16" s="5" t="n">
        <f aca="false">BC13+BC14-BC15</f>
        <v>1034695.41245846</v>
      </c>
      <c r="BD16" s="5" t="n">
        <f aca="false">BD13+BD14-BD15</f>
        <v>1081156.43130677</v>
      </c>
      <c r="BE16" s="5" t="n">
        <f aca="false">BE13+BE14-BE15</f>
        <v>1127609.81301111</v>
      </c>
      <c r="BF16" s="5" t="n">
        <f aca="false">BF13+BF14-BF15</f>
        <v>1174055.5177947</v>
      </c>
      <c r="BG16" s="5" t="n">
        <f aca="false">BG13+BG14-BG15</f>
        <v>1220493.50567356</v>
      </c>
      <c r="BH16" s="5" t="n">
        <f aca="false">BH13+BH14-BH15</f>
        <v>1266923.73645549</v>
      </c>
      <c r="BI16" s="5" t="n">
        <f aca="false">BI13+BI14-BI15</f>
        <v>1313346.16973894</v>
      </c>
      <c r="BJ16" s="5" t="n">
        <f aca="false">BJ13+BJ14-BJ15</f>
        <v>0</v>
      </c>
      <c r="BK16" s="5" t="n">
        <f aca="false">BK13+BK14-BK15</f>
        <v>0</v>
      </c>
      <c r="BL16" s="5" t="n">
        <f aca="false">BL13+BL14-BL15</f>
        <v>0</v>
      </c>
      <c r="BM16" s="5" t="n">
        <f aca="false">BM13+BM14-BM15</f>
        <v>0</v>
      </c>
      <c r="BN16" s="5" t="n">
        <f aca="false">BN13+BN14-BN15</f>
        <v>0</v>
      </c>
      <c r="BO16" s="5" t="n">
        <f aca="false">BO13+BO14-BO15</f>
        <v>0</v>
      </c>
      <c r="BP16" s="5" t="n">
        <f aca="false">BP13+BP14-BP15</f>
        <v>0</v>
      </c>
      <c r="BQ16" s="5" t="n">
        <f aca="false">BQ13+BQ14-BQ15</f>
        <v>0</v>
      </c>
      <c r="BR16" s="5" t="n">
        <f aca="false">BR13+BR14-BR15</f>
        <v>0</v>
      </c>
      <c r="BS16" s="5" t="n">
        <f aca="false">BS13+BS14-BS15</f>
        <v>0</v>
      </c>
      <c r="BT16" s="5" t="n">
        <f aca="false">BT13+BT14-BT15</f>
        <v>0</v>
      </c>
      <c r="BU16" s="5" t="n">
        <f aca="false">BU13+BU14-BU15</f>
        <v>0</v>
      </c>
      <c r="BV16" s="5" t="n">
        <f aca="false">BV13+BV14-BV15</f>
        <v>0</v>
      </c>
      <c r="BW16" s="5" t="n">
        <f aca="false">BW13+BW14-BW15</f>
        <v>0</v>
      </c>
      <c r="BX16" s="5" t="n">
        <f aca="false">BX13+BX14-BX15</f>
        <v>0</v>
      </c>
      <c r="BY16" s="5" t="n">
        <f aca="false">BY13+BY14-BY15</f>
        <v>0</v>
      </c>
      <c r="BZ16" s="5" t="n">
        <f aca="false">BZ13+BZ14-BZ15</f>
        <v>0</v>
      </c>
      <c r="CA16" s="5" t="n">
        <f aca="false">CA13+CA14-CA15</f>
        <v>0</v>
      </c>
      <c r="CB16" s="5" t="n">
        <f aca="false">CB13+CB14-CB15</f>
        <v>0</v>
      </c>
      <c r="CC16" s="5" t="n">
        <f aca="false">CC13+CC14-CC15</f>
        <v>0</v>
      </c>
      <c r="CD16" s="5" t="n">
        <f aca="false">CD13+CD14-CD15</f>
        <v>0</v>
      </c>
      <c r="CE16" s="5" t="n">
        <f aca="false">CE13+CE14-CE15</f>
        <v>0</v>
      </c>
      <c r="CF16" s="5" t="n">
        <f aca="false">CF13+CF14-CF15</f>
        <v>0</v>
      </c>
      <c r="CG16" s="5" t="n">
        <f aca="false">CG13+CG14-CG15</f>
        <v>0</v>
      </c>
      <c r="CH16" s="5" t="n">
        <f aca="false">CH13+CH14-CH15</f>
        <v>0</v>
      </c>
      <c r="CI16" s="5" t="n">
        <f aca="false">CI13+CI14-CI15</f>
        <v>0</v>
      </c>
      <c r="CJ16" s="5" t="n">
        <f aca="false">CJ13+CJ14-CJ15</f>
        <v>0</v>
      </c>
      <c r="CK16" s="5" t="n">
        <f aca="false">CK13+CK14-CK15</f>
        <v>0</v>
      </c>
      <c r="CL16" s="5" t="n">
        <f aca="false">CL13+CL14-CL15</f>
        <v>0</v>
      </c>
      <c r="CM16" s="5" t="n">
        <f aca="false">CM13+CM14-CM15</f>
        <v>0</v>
      </c>
      <c r="CN16" s="5" t="n">
        <f aca="false">CN13+CN14-CN15</f>
        <v>0</v>
      </c>
      <c r="CO16" s="5" t="n">
        <f aca="false">CO13+CO14-CO15</f>
        <v>0</v>
      </c>
      <c r="CP16" s="5" t="n">
        <f aca="false">CP13+CP14-CP15</f>
        <v>0</v>
      </c>
      <c r="CQ16" s="5" t="n">
        <f aca="false">CQ13+CQ14-CQ15</f>
        <v>0</v>
      </c>
      <c r="CR16" s="5" t="n">
        <f aca="false">CR13+CR14-CR15</f>
        <v>0</v>
      </c>
      <c r="CS16" s="5" t="n">
        <f aca="false">CS13+CS14-CS15</f>
        <v>0</v>
      </c>
      <c r="CT16" s="5" t="n">
        <f aca="false">CT13+CT14-CT15</f>
        <v>0</v>
      </c>
    </row>
    <row r="18" customFormat="false" ht="15" hidden="false" customHeight="false" outlineLevel="0" collapsed="false">
      <c r="B18" s="26" t="s">
        <v>208</v>
      </c>
      <c r="C18" s="5" t="n">
        <f aca="false">C9</f>
        <v>7234888.17370002</v>
      </c>
      <c r="D18" s="5" t="n">
        <f aca="false">IF(D6=1,D9,C20+D9)</f>
        <v>8223394.1561579</v>
      </c>
      <c r="E18" s="5" t="n">
        <f aca="false">IF(E6=1,E9,D20+E9)</f>
        <v>9478603.47584353</v>
      </c>
      <c r="F18" s="5" t="n">
        <f aca="false">IF(F6=1,F9,E20+F9)</f>
        <v>11037452.4937099</v>
      </c>
      <c r="G18" s="5" t="n">
        <f aca="false">IF(G6=1,G9,F20+G9)</f>
        <v>12928537.9702187</v>
      </c>
      <c r="H18" s="5" t="n">
        <f aca="false">IF(H6=1,H9,G20+H9)</f>
        <v>14174996.0700836</v>
      </c>
      <c r="I18" s="5" t="n">
        <f aca="false">IF(I6=1,I9,H20+I9)</f>
        <v>14174996.0700836</v>
      </c>
      <c r="J18" s="5" t="n">
        <f aca="false">IF(J6=1,J9,I20+J9)</f>
        <v>14174996.0700836</v>
      </c>
      <c r="K18" s="5" t="n">
        <f aca="false">IF(K6=1,K9,J20+K9)</f>
        <v>14174996.0700836</v>
      </c>
      <c r="L18" s="5" t="n">
        <f aca="false">IF(L6=1,L9,K20+L9)</f>
        <v>14174996.0700836</v>
      </c>
      <c r="M18" s="5" t="n">
        <f aca="false">IF(M6=1,M9,L20+M9)</f>
        <v>14174996.0700836</v>
      </c>
      <c r="N18" s="5" t="n">
        <f aca="false">IF(N6=1,N9,M20+N9)</f>
        <v>14174996.0700836</v>
      </c>
      <c r="O18" s="5" t="n">
        <f aca="false">IF(O6=1,O9,N20+O9)</f>
        <v>14174996.0700836</v>
      </c>
      <c r="P18" s="5" t="n">
        <f aca="false">IF(P6=1,P9,O20+P9)</f>
        <v>14174996.0700836</v>
      </c>
      <c r="Q18" s="5" t="n">
        <f aca="false">IF(Q6=1,Q9,P20+Q9)</f>
        <v>14174996.0700836</v>
      </c>
      <c r="R18" s="5" t="n">
        <f aca="false">IF(R6=1,R9,Q20+R9)</f>
        <v>14174996.0700836</v>
      </c>
      <c r="S18" s="5" t="n">
        <f aca="false">IF(S6=1,S9,R20+S9)</f>
        <v>14174996.0700836</v>
      </c>
      <c r="T18" s="5" t="n">
        <f aca="false">IF(T6=1,T9,S20+T9)</f>
        <v>14174996.0700836</v>
      </c>
      <c r="U18" s="5" t="n">
        <f aca="false">IF(U6=1,U9,T20+U9)</f>
        <v>14174996.0700836</v>
      </c>
      <c r="V18" s="5" t="n">
        <f aca="false">IF(V6=1,V9,U20+V9)</f>
        <v>14174996.0700836</v>
      </c>
      <c r="W18" s="5" t="n">
        <f aca="false">IF(W6=1,W9,V20+W9)</f>
        <v>14174996.0700836</v>
      </c>
      <c r="X18" s="5" t="n">
        <f aca="false">IF(X6=1,X9,W20+X9)</f>
        <v>14174996.0700836</v>
      </c>
      <c r="Y18" s="5" t="n">
        <f aca="false">IF(Y6=1,Y9,X20+Y9)</f>
        <v>14174996.0700836</v>
      </c>
      <c r="Z18" s="5" t="n">
        <f aca="false">IF(Z6=1,Z9,Y20+Z9)</f>
        <v>14174996.0700836</v>
      </c>
      <c r="AA18" s="5" t="n">
        <f aca="false">IF(AA6=1,AA9,Z20+AA9)</f>
        <v>14174996.0700836</v>
      </c>
      <c r="AB18" s="5" t="n">
        <f aca="false">IF(AB6=1,AB9,AA20+AB9)</f>
        <v>14174996.0700836</v>
      </c>
      <c r="AC18" s="5" t="n">
        <f aca="false">IF(AC6=1,AC9,AB20+AC9)</f>
        <v>14174996.0700836</v>
      </c>
      <c r="AD18" s="5" t="n">
        <f aca="false">IF(AD6=1,AD9,AC20+AD9)</f>
        <v>14174996.0700836</v>
      </c>
      <c r="AE18" s="5" t="n">
        <f aca="false">IF(AE6=1,AE9,AD20+AE9)</f>
        <v>14174996.0700836</v>
      </c>
      <c r="AF18" s="5" t="n">
        <f aca="false">IF(AF6=1,AF9,AE20+AF9)</f>
        <v>13974251.2482487</v>
      </c>
      <c r="AG18" s="5" t="n">
        <f aca="false">IF(AG6=1,AG9,AF20+AG9)</f>
        <v>13734808.1474439</v>
      </c>
      <c r="AH18" s="5" t="n">
        <f aca="false">IF(AH6=1,AH9,AG20+AH9)</f>
        <v>13493768.7593004</v>
      </c>
      <c r="AI18" s="5" t="n">
        <f aca="false">IF(AI6=1,AI9,AH20+AI9)</f>
        <v>13251122.4419026</v>
      </c>
      <c r="AJ18" s="5" t="n">
        <f aca="false">IF(AJ6=1,AJ9,AI20+AJ9)</f>
        <v>13122684.2235359</v>
      </c>
      <c r="AK18" s="5" t="n">
        <f aca="false">IF(AK6=1,AK9,AJ20+AK9)</f>
        <v>13122684.2235359</v>
      </c>
      <c r="AL18" s="5" t="n">
        <f aca="false">IF(AL6=1,AL9,AK20+AL9)</f>
        <v>13122684.2235359</v>
      </c>
      <c r="AM18" s="5" t="n">
        <f aca="false">IF(AM6=1,AM9,AL20+AM9)</f>
        <v>13122684.2235359</v>
      </c>
      <c r="AN18" s="5" t="n">
        <f aca="false">IF(AN6=1,AN9,AM20+AN9)</f>
        <v>13122684.2235359</v>
      </c>
      <c r="AO18" s="5" t="n">
        <f aca="false">IF(AO6=1,AO9,AN20+AO9)</f>
        <v>13122684.2235359</v>
      </c>
      <c r="AP18" s="5" t="n">
        <f aca="false">IF(AP6=1,AP9,AO20+AP9)</f>
        <v>13122684.2235359</v>
      </c>
      <c r="AQ18" s="5" t="n">
        <f aca="false">IF(AQ6=1,AQ9,AP20+AQ9)</f>
        <v>13122684.2235359</v>
      </c>
      <c r="AR18" s="5" t="n">
        <f aca="false">IF(AR6=1,AR9,AQ20+AR9)</f>
        <v>13122684.2235359</v>
      </c>
      <c r="AS18" s="5" t="n">
        <f aca="false">IF(AS6=1,AS9,AR20+AS9)</f>
        <v>13122684.2235359</v>
      </c>
      <c r="AT18" s="5" t="n">
        <f aca="false">IF(AT6=1,AT9,AS20+AT9)</f>
        <v>13122684.2235359</v>
      </c>
      <c r="AU18" s="5" t="n">
        <f aca="false">IF(AU6=1,AU9,AT20+AU9)</f>
        <v>13122684.2235359</v>
      </c>
      <c r="AV18" s="5" t="n">
        <f aca="false">IF(AV6=1,AV9,AU20+AV9)</f>
        <v>13122684.2235359</v>
      </c>
      <c r="AW18" s="5" t="n">
        <f aca="false">IF(AW6=1,AW9,AV20+AW9)</f>
        <v>13122684.2235359</v>
      </c>
      <c r="AX18" s="5" t="n">
        <f aca="false">IF(AX6=1,AX9,AW20+AX9)</f>
        <v>13122684.2235359</v>
      </c>
      <c r="AY18" s="5" t="n">
        <f aca="false">IF(AY6=1,AY9,AX20+AY9)</f>
        <v>13122684.2235359</v>
      </c>
      <c r="AZ18" s="5" t="n">
        <f aca="false">IF(AZ6=1,AZ9,AY20+AZ9)</f>
        <v>13122684.2235359</v>
      </c>
      <c r="BA18" s="5" t="n">
        <f aca="false">IF(BA6=1,BA9,AZ20+BA9)</f>
        <v>13122684.2235359</v>
      </c>
      <c r="BB18" s="5" t="n">
        <f aca="false">IF(BB6=1,BB9,BA20+BB9)</f>
        <v>13122684.2235359</v>
      </c>
      <c r="BC18" s="5" t="n">
        <f aca="false">IF(BC6=1,BC9,BB20+BC9)</f>
        <v>13122684.2235359</v>
      </c>
      <c r="BD18" s="5" t="n">
        <f aca="false">IF(BD6=1,BD9,BC20+BD9)</f>
        <v>13122684.2235359</v>
      </c>
      <c r="BE18" s="5" t="n">
        <f aca="false">IF(BE6=1,BE9,BD20+BE9)</f>
        <v>13122684.2235359</v>
      </c>
      <c r="BF18" s="5" t="n">
        <f aca="false">IF(BF6=1,BF9,BE20+BF9)</f>
        <v>13122684.2235359</v>
      </c>
      <c r="BG18" s="5" t="n">
        <f aca="false">IF(BG6=1,BG9,BF20+BG9)</f>
        <v>13122684.2235359</v>
      </c>
      <c r="BH18" s="5" t="n">
        <f aca="false">IF(BH6=1,BH9,BG20+BH9)</f>
        <v>13122684.2235359</v>
      </c>
      <c r="BI18" s="5" t="n">
        <f aca="false">IF(BI6=1,BI9,BH20+BI9)</f>
        <v>13122684.2235359</v>
      </c>
      <c r="BJ18" s="5" t="n">
        <f aca="false">IF(BJ6=1,BJ9,BI20+BJ9)</f>
        <v>13122684.2235359</v>
      </c>
      <c r="BK18" s="5" t="n">
        <f aca="false">IF(BK6=1,BK9,BJ20+BK9)</f>
        <v>0</v>
      </c>
      <c r="BL18" s="5" t="n">
        <f aca="false">IF(BL6=1,BL9,BK20+BL9)</f>
        <v>0</v>
      </c>
      <c r="BM18" s="5" t="n">
        <f aca="false">IF(BM6=1,BM9,BL20+BM9)</f>
        <v>0</v>
      </c>
      <c r="BN18" s="5" t="n">
        <f aca="false">IF(BN6=1,BN9,BM20+BN9)</f>
        <v>0</v>
      </c>
      <c r="BO18" s="5" t="n">
        <f aca="false">IF(BO6=1,BO9,BN20+BO9)</f>
        <v>0</v>
      </c>
      <c r="BP18" s="5" t="n">
        <f aca="false">IF(BP6=1,BP9,BO20+BP9)</f>
        <v>0</v>
      </c>
      <c r="BQ18" s="5" t="n">
        <f aca="false">IF(BQ6=1,BQ9,BP20+BQ9)</f>
        <v>0</v>
      </c>
      <c r="BR18" s="5" t="n">
        <f aca="false">IF(BR6=1,BR9,BQ20+BR9)</f>
        <v>0</v>
      </c>
      <c r="BS18" s="5" t="n">
        <f aca="false">IF(BS6=1,BS9,BR20+BS9)</f>
        <v>0</v>
      </c>
      <c r="BT18" s="5" t="n">
        <f aca="false">IF(BT6=1,BT9,BS20+BT9)</f>
        <v>0</v>
      </c>
      <c r="BU18" s="5" t="n">
        <f aca="false">IF(BU6=1,BU9,BT20+BU9)</f>
        <v>0</v>
      </c>
      <c r="BV18" s="5" t="n">
        <f aca="false">IF(BV6=1,BV9,BU20+BV9)</f>
        <v>0</v>
      </c>
      <c r="BW18" s="5" t="n">
        <f aca="false">IF(BW6=1,BW9,BV20+BW9)</f>
        <v>0</v>
      </c>
      <c r="BX18" s="5" t="n">
        <f aca="false">IF(BX6=1,BX9,BW20+BX9)</f>
        <v>0</v>
      </c>
      <c r="BY18" s="5" t="n">
        <f aca="false">IF(BY6=1,BY9,BX20+BY9)</f>
        <v>0</v>
      </c>
      <c r="BZ18" s="5" t="n">
        <f aca="false">IF(BZ6=1,BZ9,BY20+BZ9)</f>
        <v>0</v>
      </c>
      <c r="CA18" s="5" t="n">
        <f aca="false">IF(CA6=1,CA9,BZ20+CA9)</f>
        <v>0</v>
      </c>
      <c r="CB18" s="5" t="n">
        <f aca="false">IF(CB6=1,CB9,CA20+CB9)</f>
        <v>0</v>
      </c>
      <c r="CC18" s="5" t="n">
        <f aca="false">IF(CC6=1,CC9,CB20+CC9)</f>
        <v>0</v>
      </c>
      <c r="CD18" s="5" t="n">
        <f aca="false">IF(CD6=1,CD9,CC20+CD9)</f>
        <v>0</v>
      </c>
      <c r="CE18" s="5" t="n">
        <f aca="false">IF(CE6=1,CE9,CD20+CE9)</f>
        <v>0</v>
      </c>
      <c r="CF18" s="5" t="n">
        <f aca="false">IF(CF6=1,CF9,CE20+CF9)</f>
        <v>0</v>
      </c>
      <c r="CG18" s="5" t="n">
        <f aca="false">IF(CG6=1,CG9,CF20+CG9)</f>
        <v>0</v>
      </c>
      <c r="CH18" s="5" t="n">
        <f aca="false">IF(CH6=1,CH9,CG20+CH9)</f>
        <v>0</v>
      </c>
      <c r="CI18" s="5" t="n">
        <f aca="false">IF(CI6=1,CI9,CH20+CI9)</f>
        <v>0</v>
      </c>
      <c r="CJ18" s="5" t="n">
        <f aca="false">IF(CJ6=1,CJ9,CI20+CJ9)</f>
        <v>0</v>
      </c>
      <c r="CK18" s="5" t="n">
        <f aca="false">IF(CK6=1,CK9,CJ20+CK9)</f>
        <v>0</v>
      </c>
      <c r="CL18" s="5" t="n">
        <f aca="false">IF(CL6=1,CL9,CK20+CL9)</f>
        <v>0</v>
      </c>
      <c r="CM18" s="5" t="n">
        <f aca="false">IF(CM6=1,CM9,CL20+CM9)</f>
        <v>0</v>
      </c>
      <c r="CN18" s="5" t="n">
        <f aca="false">IF(CN6=1,CN9,CM20+CN9)</f>
        <v>0</v>
      </c>
      <c r="CO18" s="5" t="n">
        <f aca="false">IF(CO6=1,CO9,CN20+CO9)</f>
        <v>0</v>
      </c>
      <c r="CP18" s="5" t="n">
        <f aca="false">IF(CP6=1,CP9,CO20+CP9)</f>
        <v>0</v>
      </c>
      <c r="CQ18" s="5" t="n">
        <f aca="false">IF(CQ6=1,CQ9,CP20+CQ9)</f>
        <v>0</v>
      </c>
      <c r="CR18" s="5" t="n">
        <f aca="false">IF(CR6=1,CR9,CQ20+CR9)</f>
        <v>0</v>
      </c>
      <c r="CS18" s="5" t="n">
        <f aca="false">IF(CS6=1,CS9,CR20+CS9)</f>
        <v>0</v>
      </c>
      <c r="CT18" s="5" t="n">
        <f aca="false">IF(CT6=1,CT9,CS20+CT9)</f>
        <v>0</v>
      </c>
    </row>
    <row r="19" customFormat="false" ht="15" hidden="false" customHeight="false" outlineLevel="0" collapsed="false">
      <c r="B19" s="26" t="s">
        <v>209</v>
      </c>
      <c r="C19" s="5" t="n">
        <f aca="false">MIN(MAX(C11-C15,0),C18)</f>
        <v>0</v>
      </c>
      <c r="D19" s="5" t="n">
        <f aca="false">MIN(MAX(D11-D15,0),D18)</f>
        <v>0</v>
      </c>
      <c r="E19" s="5" t="n">
        <f aca="false">MIN(MAX(E11-E15,0),E18)</f>
        <v>0</v>
      </c>
      <c r="F19" s="5" t="n">
        <f aca="false">MIN(MAX(F11-F15,0),F18)</f>
        <v>0</v>
      </c>
      <c r="G19" s="5" t="n">
        <f aca="false">MIN(MAX(G11-G15,0),G18)</f>
        <v>0</v>
      </c>
      <c r="H19" s="5" t="n">
        <f aca="false">MIN(MAX(H11-H15,0),H18)</f>
        <v>0</v>
      </c>
      <c r="I19" s="5" t="n">
        <f aca="false">MIN(MAX(I11-I15,0),I18)</f>
        <v>0</v>
      </c>
      <c r="J19" s="5" t="n">
        <f aca="false">MIN(MAX(J11-J15,0),J18)</f>
        <v>0</v>
      </c>
      <c r="K19" s="5" t="n">
        <f aca="false">MIN(MAX(K11-K15,0),K18)</f>
        <v>0</v>
      </c>
      <c r="L19" s="5" t="n">
        <f aca="false">MIN(MAX(L11-L15,0),L18)</f>
        <v>0</v>
      </c>
      <c r="M19" s="5" t="n">
        <f aca="false">MIN(MAX(M11-M15,0),M18)</f>
        <v>0</v>
      </c>
      <c r="N19" s="5" t="n">
        <f aca="false">MIN(MAX(N11-N15,0),N18)</f>
        <v>0</v>
      </c>
      <c r="O19" s="5" t="n">
        <f aca="false">MIN(MAX(O11-O15,0),O18)</f>
        <v>0</v>
      </c>
      <c r="P19" s="5" t="n">
        <f aca="false">MIN(MAX(P11-P15,0),P18)</f>
        <v>0</v>
      </c>
      <c r="Q19" s="5" t="n">
        <f aca="false">MIN(MAX(Q11-Q15,0),Q18)</f>
        <v>0</v>
      </c>
      <c r="R19" s="5" t="n">
        <f aca="false">MIN(MAX(R11-R15,0),R18)</f>
        <v>0</v>
      </c>
      <c r="S19" s="5" t="n">
        <f aca="false">MIN(MAX(S11-S15,0),S18)</f>
        <v>0</v>
      </c>
      <c r="T19" s="5" t="n">
        <f aca="false">MIN(MAX(T11-T15,0),T18)</f>
        <v>0</v>
      </c>
      <c r="U19" s="5" t="n">
        <f aca="false">MIN(MAX(U11-U15,0),U18)</f>
        <v>0</v>
      </c>
      <c r="V19" s="5" t="n">
        <f aca="false">MIN(MAX(V11-V15,0),V18)</f>
        <v>0</v>
      </c>
      <c r="W19" s="5" t="n">
        <f aca="false">MIN(MAX(W11-W15,0),W18)</f>
        <v>0</v>
      </c>
      <c r="X19" s="5" t="n">
        <f aca="false">MIN(MAX(X11-X15,0),X18)</f>
        <v>0</v>
      </c>
      <c r="Y19" s="5" t="n">
        <f aca="false">MIN(MAX(Y11-Y15,0),Y18)</f>
        <v>0</v>
      </c>
      <c r="Z19" s="5" t="n">
        <f aca="false">MIN(MAX(Z11-Z15,0),Z18)</f>
        <v>0</v>
      </c>
      <c r="AA19" s="5" t="n">
        <f aca="false">MIN(MAX(AA11-AA15,0),AA18)</f>
        <v>0</v>
      </c>
      <c r="AB19" s="5" t="n">
        <f aca="false">MIN(MAX(AB11-AB15,0),AB18)</f>
        <v>0</v>
      </c>
      <c r="AC19" s="5" t="n">
        <f aca="false">MIN(MAX(AC11-AC15,0),AC18)</f>
        <v>0</v>
      </c>
      <c r="AD19" s="5" t="n">
        <f aca="false">MIN(MAX(AD11-AD15,0),AD18)</f>
        <v>0</v>
      </c>
      <c r="AE19" s="5" t="n">
        <f aca="false">MIN(MAX(AE11-AE15,0),AE18)</f>
        <v>200744.821834901</v>
      </c>
      <c r="AF19" s="5" t="n">
        <f aca="false">MIN(MAX(AF11-AF15,0),AF18)</f>
        <v>239443.100804809</v>
      </c>
      <c r="AG19" s="5" t="n">
        <f aca="false">MIN(MAX(AG11-AG15,0),AG18)</f>
        <v>241039.388143507</v>
      </c>
      <c r="AH19" s="5" t="n">
        <f aca="false">MIN(MAX(AH11-AH15,0),AH18)</f>
        <v>242646.317397797</v>
      </c>
      <c r="AI19" s="5" t="n">
        <f aca="false">MIN(MAX(AI11-AI15,0),AI18)</f>
        <v>128438.218366638</v>
      </c>
      <c r="AJ19" s="5" t="n">
        <f aca="false">MIN(MAX(AJ11-AJ15,0),AJ18)</f>
        <v>0</v>
      </c>
      <c r="AK19" s="5" t="n">
        <f aca="false">MIN(MAX(AK11-AK15,0),AK18)</f>
        <v>0</v>
      </c>
      <c r="AL19" s="5" t="n">
        <f aca="false">MIN(MAX(AL11-AL15,0),AL18)</f>
        <v>0</v>
      </c>
      <c r="AM19" s="5" t="n">
        <f aca="false">MIN(MAX(AM11-AM15,0),AM18)</f>
        <v>0</v>
      </c>
      <c r="AN19" s="5" t="n">
        <f aca="false">MIN(MAX(AN11-AN15,0),AN18)</f>
        <v>0</v>
      </c>
      <c r="AO19" s="5" t="n">
        <f aca="false">MIN(MAX(AO11-AO15,0),AO18)</f>
        <v>0</v>
      </c>
      <c r="AP19" s="5" t="n">
        <f aca="false">MIN(MAX(AP11-AP15,0),AP18)</f>
        <v>0</v>
      </c>
      <c r="AQ19" s="5" t="n">
        <f aca="false">MIN(MAX(AQ11-AQ15,0),AQ18)</f>
        <v>0</v>
      </c>
      <c r="AR19" s="5" t="n">
        <f aca="false">MIN(MAX(AR11-AR15,0),AR18)</f>
        <v>0</v>
      </c>
      <c r="AS19" s="5" t="n">
        <f aca="false">MIN(MAX(AS11-AS15,0),AS18)</f>
        <v>0</v>
      </c>
      <c r="AT19" s="5" t="n">
        <f aca="false">MIN(MAX(AT11-AT15,0),AT18)</f>
        <v>0</v>
      </c>
      <c r="AU19" s="5" t="n">
        <f aca="false">MIN(MAX(AU11-AU15,0),AU18)</f>
        <v>0</v>
      </c>
      <c r="AV19" s="5" t="n">
        <f aca="false">MIN(MAX(AV11-AV15,0),AV18)</f>
        <v>0</v>
      </c>
      <c r="AW19" s="5" t="n">
        <f aca="false">MIN(MAX(AW11-AW15,0),AW18)</f>
        <v>0</v>
      </c>
      <c r="AX19" s="5" t="n">
        <f aca="false">MIN(MAX(AX11-AX15,0),AX18)</f>
        <v>0</v>
      </c>
      <c r="AY19" s="5" t="n">
        <f aca="false">MIN(MAX(AY11-AY15,0),AY18)</f>
        <v>0</v>
      </c>
      <c r="AZ19" s="5" t="n">
        <f aca="false">MIN(MAX(AZ11-AZ15,0),AZ18)</f>
        <v>0</v>
      </c>
      <c r="BA19" s="5" t="n">
        <f aca="false">MIN(MAX(BA11-BA15,0),BA18)</f>
        <v>0</v>
      </c>
      <c r="BB19" s="5" t="n">
        <f aca="false">MIN(MAX(BB11-BB15,0),BB18)</f>
        <v>0</v>
      </c>
      <c r="BC19" s="5" t="n">
        <f aca="false">MIN(MAX(BC11-BC15,0),BC18)</f>
        <v>0</v>
      </c>
      <c r="BD19" s="5" t="n">
        <f aca="false">MIN(MAX(BD11-BD15,0),BD18)</f>
        <v>0</v>
      </c>
      <c r="BE19" s="5" t="n">
        <f aca="false">MIN(MAX(BE11-BE15,0),BE18)</f>
        <v>0</v>
      </c>
      <c r="BF19" s="5" t="n">
        <f aca="false">MIN(MAX(BF11-BF15,0),BF18)</f>
        <v>0</v>
      </c>
      <c r="BG19" s="5" t="n">
        <f aca="false">MIN(MAX(BG11-BG15,0),BG18)</f>
        <v>0</v>
      </c>
      <c r="BH19" s="5" t="n">
        <f aca="false">MIN(MAX(BH11-BH15,0),BH18)</f>
        <v>0</v>
      </c>
      <c r="BI19" s="5" t="n">
        <f aca="false">MIN(MAX(BI11-BI15,0),BI18)</f>
        <v>0</v>
      </c>
      <c r="BJ19" s="5" t="n">
        <f aca="false">MIN(MAX(BJ11-BJ15,0),BJ18)</f>
        <v>13122684.2235359</v>
      </c>
      <c r="BK19" s="5" t="n">
        <f aca="false">MIN(MAX(BK11-BK15,0),BK18)</f>
        <v>0</v>
      </c>
      <c r="BL19" s="5" t="n">
        <f aca="false">MIN(MAX(BL11-BL15,0),BL18)</f>
        <v>0</v>
      </c>
      <c r="BM19" s="5" t="n">
        <f aca="false">MIN(MAX(BM11-BM15,0),BM18)</f>
        <v>0</v>
      </c>
      <c r="BN19" s="5" t="n">
        <f aca="false">MIN(MAX(BN11-BN15,0),BN18)</f>
        <v>0</v>
      </c>
      <c r="BO19" s="5" t="n">
        <f aca="false">MIN(MAX(BO11-BO15,0),BO18)</f>
        <v>0</v>
      </c>
      <c r="BP19" s="5" t="n">
        <f aca="false">MIN(MAX(BP11-BP15,0),BP18)</f>
        <v>0</v>
      </c>
      <c r="BQ19" s="5" t="n">
        <f aca="false">MIN(MAX(BQ11-BQ15,0),BQ18)</f>
        <v>0</v>
      </c>
      <c r="BR19" s="5" t="n">
        <f aca="false">MIN(MAX(BR11-BR15,0),BR18)</f>
        <v>0</v>
      </c>
      <c r="BS19" s="5" t="n">
        <f aca="false">MIN(MAX(BS11-BS15,0),BS18)</f>
        <v>0</v>
      </c>
      <c r="BT19" s="5" t="n">
        <f aca="false">MIN(MAX(BT11-BT15,0),BT18)</f>
        <v>0</v>
      </c>
      <c r="BU19" s="5" t="n">
        <f aca="false">MIN(MAX(BU11-BU15,0),BU18)</f>
        <v>0</v>
      </c>
      <c r="BV19" s="5" t="n">
        <f aca="false">MIN(MAX(BV11-BV15,0),BV18)</f>
        <v>0</v>
      </c>
      <c r="BW19" s="5" t="n">
        <f aca="false">MIN(MAX(BW11-BW15,0),BW18)</f>
        <v>0</v>
      </c>
      <c r="BX19" s="5" t="n">
        <f aca="false">MIN(MAX(BX11-BX15,0),BX18)</f>
        <v>0</v>
      </c>
      <c r="BY19" s="5" t="n">
        <f aca="false">MIN(MAX(BY11-BY15,0),BY18)</f>
        <v>0</v>
      </c>
      <c r="BZ19" s="5" t="n">
        <f aca="false">MIN(MAX(BZ11-BZ15,0),BZ18)</f>
        <v>0</v>
      </c>
      <c r="CA19" s="5" t="n">
        <f aca="false">MIN(MAX(CA11-CA15,0),CA18)</f>
        <v>0</v>
      </c>
      <c r="CB19" s="5" t="n">
        <f aca="false">MIN(MAX(CB11-CB15,0),CB18)</f>
        <v>0</v>
      </c>
      <c r="CC19" s="5" t="n">
        <f aca="false">MIN(MAX(CC11-CC15,0),CC18)</f>
        <v>0</v>
      </c>
      <c r="CD19" s="5" t="n">
        <f aca="false">MIN(MAX(CD11-CD15,0),CD18)</f>
        <v>0</v>
      </c>
      <c r="CE19" s="5" t="n">
        <f aca="false">MIN(MAX(CE11-CE15,0),CE18)</f>
        <v>0</v>
      </c>
      <c r="CF19" s="5" t="n">
        <f aca="false">MIN(MAX(CF11-CF15,0),CF18)</f>
        <v>0</v>
      </c>
      <c r="CG19" s="5" t="n">
        <f aca="false">MIN(MAX(CG11-CG15,0),CG18)</f>
        <v>0</v>
      </c>
      <c r="CH19" s="5" t="n">
        <f aca="false">MIN(MAX(CH11-CH15,0),CH18)</f>
        <v>0</v>
      </c>
      <c r="CI19" s="5" t="n">
        <f aca="false">MIN(MAX(CI11-CI15,0),CI18)</f>
        <v>0</v>
      </c>
      <c r="CJ19" s="5" t="n">
        <f aca="false">MIN(MAX(CJ11-CJ15,0),CJ18)</f>
        <v>0</v>
      </c>
      <c r="CK19" s="5" t="n">
        <f aca="false">MIN(MAX(CK11-CK15,0),CK18)</f>
        <v>0</v>
      </c>
      <c r="CL19" s="5" t="n">
        <f aca="false">MIN(MAX(CL11-CL15,0),CL18)</f>
        <v>0</v>
      </c>
      <c r="CM19" s="5" t="n">
        <f aca="false">MIN(MAX(CM11-CM15,0),CM18)</f>
        <v>0</v>
      </c>
      <c r="CN19" s="5" t="n">
        <f aca="false">MIN(MAX(CN11-CN15,0),CN18)</f>
        <v>0</v>
      </c>
      <c r="CO19" s="5" t="n">
        <f aca="false">MIN(MAX(CO11-CO15,0),CO18)</f>
        <v>0</v>
      </c>
      <c r="CP19" s="5" t="n">
        <f aca="false">MIN(MAX(CP11-CP15,0),CP18)</f>
        <v>0</v>
      </c>
      <c r="CQ19" s="5" t="n">
        <f aca="false">MIN(MAX(CQ11-CQ15,0),CQ18)</f>
        <v>0</v>
      </c>
      <c r="CR19" s="5" t="n">
        <f aca="false">MIN(MAX(CR11-CR15,0),CR18)</f>
        <v>0</v>
      </c>
      <c r="CS19" s="5" t="n">
        <f aca="false">MIN(MAX(CS11-CS15,0),CS18)</f>
        <v>0</v>
      </c>
      <c r="CT19" s="5" t="n">
        <f aca="false">MIN(MAX(CT11-CT15,0),CT18)</f>
        <v>0</v>
      </c>
    </row>
    <row r="20" customFormat="false" ht="15" hidden="false" customHeight="false" outlineLevel="0" collapsed="false">
      <c r="B20" s="26" t="s">
        <v>210</v>
      </c>
      <c r="C20" s="5" t="n">
        <f aca="false">C18-C19</f>
        <v>7234888.17370002</v>
      </c>
      <c r="D20" s="5" t="n">
        <f aca="false">D18-D19</f>
        <v>8223394.1561579</v>
      </c>
      <c r="E20" s="5" t="n">
        <f aca="false">E18-E19</f>
        <v>9478603.47584353</v>
      </c>
      <c r="F20" s="5" t="n">
        <f aca="false">F18-F19</f>
        <v>11037452.4937099</v>
      </c>
      <c r="G20" s="5" t="n">
        <f aca="false">G18-G19</f>
        <v>12928537.9702187</v>
      </c>
      <c r="H20" s="5" t="n">
        <f aca="false">H18-H19</f>
        <v>14174996.0700836</v>
      </c>
      <c r="I20" s="5" t="n">
        <f aca="false">I18-I19</f>
        <v>14174996.0700836</v>
      </c>
      <c r="J20" s="5" t="n">
        <f aca="false">J18-J19</f>
        <v>14174996.0700836</v>
      </c>
      <c r="K20" s="5" t="n">
        <f aca="false">K18-K19</f>
        <v>14174996.0700836</v>
      </c>
      <c r="L20" s="5" t="n">
        <f aca="false">L18-L19</f>
        <v>14174996.0700836</v>
      </c>
      <c r="M20" s="5" t="n">
        <f aca="false">M18-M19</f>
        <v>14174996.0700836</v>
      </c>
      <c r="N20" s="5" t="n">
        <f aca="false">N18-N19</f>
        <v>14174996.0700836</v>
      </c>
      <c r="O20" s="5" t="n">
        <f aca="false">O18-O19</f>
        <v>14174996.0700836</v>
      </c>
      <c r="P20" s="5" t="n">
        <f aca="false">P18-P19</f>
        <v>14174996.0700836</v>
      </c>
      <c r="Q20" s="5" t="n">
        <f aca="false">Q18-Q19</f>
        <v>14174996.0700836</v>
      </c>
      <c r="R20" s="5" t="n">
        <f aca="false">R18-R19</f>
        <v>14174996.0700836</v>
      </c>
      <c r="S20" s="5" t="n">
        <f aca="false">S18-S19</f>
        <v>14174996.0700836</v>
      </c>
      <c r="T20" s="5" t="n">
        <f aca="false">T18-T19</f>
        <v>14174996.0700836</v>
      </c>
      <c r="U20" s="5" t="n">
        <f aca="false">U18-U19</f>
        <v>14174996.0700836</v>
      </c>
      <c r="V20" s="5" t="n">
        <f aca="false">V18-V19</f>
        <v>14174996.0700836</v>
      </c>
      <c r="W20" s="5" t="n">
        <f aca="false">W18-W19</f>
        <v>14174996.0700836</v>
      </c>
      <c r="X20" s="5" t="n">
        <f aca="false">X18-X19</f>
        <v>14174996.0700836</v>
      </c>
      <c r="Y20" s="5" t="n">
        <f aca="false">Y18-Y19</f>
        <v>14174996.0700836</v>
      </c>
      <c r="Z20" s="5" t="n">
        <f aca="false">Z18-Z19</f>
        <v>14174996.0700836</v>
      </c>
      <c r="AA20" s="5" t="n">
        <f aca="false">AA18-AA19</f>
        <v>14174996.0700836</v>
      </c>
      <c r="AB20" s="5" t="n">
        <f aca="false">AB18-AB19</f>
        <v>14174996.0700836</v>
      </c>
      <c r="AC20" s="5" t="n">
        <f aca="false">AC18-AC19</f>
        <v>14174996.0700836</v>
      </c>
      <c r="AD20" s="5" t="n">
        <f aca="false">AD18-AD19</f>
        <v>14174996.0700836</v>
      </c>
      <c r="AE20" s="5" t="n">
        <f aca="false">AE18-AE19</f>
        <v>13974251.2482487</v>
      </c>
      <c r="AF20" s="5" t="n">
        <f aca="false">AF18-AF19</f>
        <v>13734808.1474439</v>
      </c>
      <c r="AG20" s="5" t="n">
        <f aca="false">AG18-AG19</f>
        <v>13493768.7593004</v>
      </c>
      <c r="AH20" s="5" t="n">
        <f aca="false">AH18-AH19</f>
        <v>13251122.4419026</v>
      </c>
      <c r="AI20" s="5" t="n">
        <f aca="false">AI18-AI19</f>
        <v>13122684.2235359</v>
      </c>
      <c r="AJ20" s="5" t="n">
        <f aca="false">AJ18-AJ19</f>
        <v>13122684.2235359</v>
      </c>
      <c r="AK20" s="5" t="n">
        <f aca="false">AK18-AK19</f>
        <v>13122684.2235359</v>
      </c>
      <c r="AL20" s="5" t="n">
        <f aca="false">AL18-AL19</f>
        <v>13122684.2235359</v>
      </c>
      <c r="AM20" s="5" t="n">
        <f aca="false">AM18-AM19</f>
        <v>13122684.2235359</v>
      </c>
      <c r="AN20" s="5" t="n">
        <f aca="false">AN18-AN19</f>
        <v>13122684.2235359</v>
      </c>
      <c r="AO20" s="5" t="n">
        <f aca="false">AO18-AO19</f>
        <v>13122684.2235359</v>
      </c>
      <c r="AP20" s="5" t="n">
        <f aca="false">AP18-AP19</f>
        <v>13122684.2235359</v>
      </c>
      <c r="AQ20" s="5" t="n">
        <f aca="false">AQ18-AQ19</f>
        <v>13122684.2235359</v>
      </c>
      <c r="AR20" s="5" t="n">
        <f aca="false">AR18-AR19</f>
        <v>13122684.2235359</v>
      </c>
      <c r="AS20" s="5" t="n">
        <f aca="false">AS18-AS19</f>
        <v>13122684.2235359</v>
      </c>
      <c r="AT20" s="5" t="n">
        <f aca="false">AT18-AT19</f>
        <v>13122684.2235359</v>
      </c>
      <c r="AU20" s="5" t="n">
        <f aca="false">AU18-AU19</f>
        <v>13122684.2235359</v>
      </c>
      <c r="AV20" s="5" t="n">
        <f aca="false">AV18-AV19</f>
        <v>13122684.2235359</v>
      </c>
      <c r="AW20" s="5" t="n">
        <f aca="false">AW18-AW19</f>
        <v>13122684.2235359</v>
      </c>
      <c r="AX20" s="5" t="n">
        <f aca="false">AX18-AX19</f>
        <v>13122684.2235359</v>
      </c>
      <c r="AY20" s="5" t="n">
        <f aca="false">AY18-AY19</f>
        <v>13122684.2235359</v>
      </c>
      <c r="AZ20" s="5" t="n">
        <f aca="false">AZ18-AZ19</f>
        <v>13122684.2235359</v>
      </c>
      <c r="BA20" s="5" t="n">
        <f aca="false">BA18-BA19</f>
        <v>13122684.2235359</v>
      </c>
      <c r="BB20" s="5" t="n">
        <f aca="false">BB18-BB19</f>
        <v>13122684.2235359</v>
      </c>
      <c r="BC20" s="5" t="n">
        <f aca="false">BC18-BC19</f>
        <v>13122684.2235359</v>
      </c>
      <c r="BD20" s="5" t="n">
        <f aca="false">BD18-BD19</f>
        <v>13122684.2235359</v>
      </c>
      <c r="BE20" s="5" t="n">
        <f aca="false">BE18-BE19</f>
        <v>13122684.2235359</v>
      </c>
      <c r="BF20" s="5" t="n">
        <f aca="false">BF18-BF19</f>
        <v>13122684.2235359</v>
      </c>
      <c r="BG20" s="5" t="n">
        <f aca="false">BG18-BG19</f>
        <v>13122684.2235359</v>
      </c>
      <c r="BH20" s="5" t="n">
        <f aca="false">BH18-BH19</f>
        <v>13122684.2235359</v>
      </c>
      <c r="BI20" s="5" t="n">
        <f aca="false">BI18-BI19</f>
        <v>13122684.2235359</v>
      </c>
      <c r="BJ20" s="5" t="n">
        <f aca="false">BJ18-BJ19</f>
        <v>0</v>
      </c>
      <c r="BK20" s="5" t="n">
        <f aca="false">BK18-BK19</f>
        <v>0</v>
      </c>
      <c r="BL20" s="5" t="n">
        <f aca="false">BL18-BL19</f>
        <v>0</v>
      </c>
      <c r="BM20" s="5" t="n">
        <f aca="false">BM18-BM19</f>
        <v>0</v>
      </c>
      <c r="BN20" s="5" t="n">
        <f aca="false">BN18-BN19</f>
        <v>0</v>
      </c>
      <c r="BO20" s="5" t="n">
        <f aca="false">BO18-BO19</f>
        <v>0</v>
      </c>
      <c r="BP20" s="5" t="n">
        <f aca="false">BP18-BP19</f>
        <v>0</v>
      </c>
      <c r="BQ20" s="5" t="n">
        <f aca="false">BQ18-BQ19</f>
        <v>0</v>
      </c>
      <c r="BR20" s="5" t="n">
        <f aca="false">BR18-BR19</f>
        <v>0</v>
      </c>
      <c r="BS20" s="5" t="n">
        <f aca="false">BS18-BS19</f>
        <v>0</v>
      </c>
      <c r="BT20" s="5" t="n">
        <f aca="false">BT18-BT19</f>
        <v>0</v>
      </c>
      <c r="BU20" s="5" t="n">
        <f aca="false">BU18-BU19</f>
        <v>0</v>
      </c>
      <c r="BV20" s="5" t="n">
        <f aca="false">BV18-BV19</f>
        <v>0</v>
      </c>
      <c r="BW20" s="5" t="n">
        <f aca="false">BW18-BW19</f>
        <v>0</v>
      </c>
      <c r="BX20" s="5" t="n">
        <f aca="false">BX18-BX19</f>
        <v>0</v>
      </c>
      <c r="BY20" s="5" t="n">
        <f aca="false">BY18-BY19</f>
        <v>0</v>
      </c>
      <c r="BZ20" s="5" t="n">
        <f aca="false">BZ18-BZ19</f>
        <v>0</v>
      </c>
      <c r="CA20" s="5" t="n">
        <f aca="false">CA18-CA19</f>
        <v>0</v>
      </c>
      <c r="CB20" s="5" t="n">
        <f aca="false">CB18-CB19</f>
        <v>0</v>
      </c>
      <c r="CC20" s="5" t="n">
        <f aca="false">CC18-CC19</f>
        <v>0</v>
      </c>
      <c r="CD20" s="5" t="n">
        <f aca="false">CD18-CD19</f>
        <v>0</v>
      </c>
      <c r="CE20" s="5" t="n">
        <f aca="false">CE18-CE19</f>
        <v>0</v>
      </c>
      <c r="CF20" s="5" t="n">
        <f aca="false">CF18-CF19</f>
        <v>0</v>
      </c>
      <c r="CG20" s="5" t="n">
        <f aca="false">CG18-CG19</f>
        <v>0</v>
      </c>
      <c r="CH20" s="5" t="n">
        <f aca="false">CH18-CH19</f>
        <v>0</v>
      </c>
      <c r="CI20" s="5" t="n">
        <f aca="false">CI18-CI19</f>
        <v>0</v>
      </c>
      <c r="CJ20" s="5" t="n">
        <f aca="false">CJ18-CJ19</f>
        <v>0</v>
      </c>
      <c r="CK20" s="5" t="n">
        <f aca="false">CK18-CK19</f>
        <v>0</v>
      </c>
      <c r="CL20" s="5" t="n">
        <f aca="false">CL18-CL19</f>
        <v>0</v>
      </c>
      <c r="CM20" s="5" t="n">
        <f aca="false">CM18-CM19</f>
        <v>0</v>
      </c>
      <c r="CN20" s="5" t="n">
        <f aca="false">CN18-CN19</f>
        <v>0</v>
      </c>
      <c r="CO20" s="5" t="n">
        <f aca="false">CO18-CO19</f>
        <v>0</v>
      </c>
      <c r="CP20" s="5" t="n">
        <f aca="false">CP18-CP19</f>
        <v>0</v>
      </c>
      <c r="CQ20" s="5" t="n">
        <f aca="false">CQ18-CQ19</f>
        <v>0</v>
      </c>
      <c r="CR20" s="5" t="n">
        <f aca="false">CR18-CR19</f>
        <v>0</v>
      </c>
      <c r="CS20" s="5" t="n">
        <f aca="false">CS18-CS19</f>
        <v>0</v>
      </c>
      <c r="CT20" s="5" t="n">
        <f aca="false">CT18-CT19</f>
        <v>0</v>
      </c>
    </row>
    <row r="21" customFormat="false" ht="15" hidden="false" customHeight="false" outlineLevel="0" collapsed="false">
      <c r="B21" s="26" t="s">
        <v>211</v>
      </c>
      <c r="C21" s="5" t="n">
        <f aca="false">C10+IF(Inputs!$B$78="On",$C$4,0)</f>
        <v>0</v>
      </c>
      <c r="D21" s="5" t="n">
        <f aca="false">IF(D6=1,D10+IF(Inputs!$B$78="On",$C$4,0),C23+D10)</f>
        <v>0</v>
      </c>
      <c r="E21" s="5" t="n">
        <f aca="false">IF(E6=1,E10+IF(Inputs!$B$78="On",$C$4,0),D23+E10)</f>
        <v>0</v>
      </c>
      <c r="F21" s="5" t="n">
        <f aca="false">IF(F6=1,F10+IF(Inputs!$B$78="On",$C$4,0),E23+F10)</f>
        <v>0</v>
      </c>
      <c r="G21" s="5" t="n">
        <f aca="false">IF(G6=1,G10+IF(Inputs!$B$78="On",$C$4,0),F23+G10)</f>
        <v>0</v>
      </c>
      <c r="H21" s="5" t="n">
        <f aca="false">IF(H6=1,H10+IF(Inputs!$B$78="On",$C$4,0),G23+H10)</f>
        <v>0</v>
      </c>
      <c r="I21" s="5" t="n">
        <f aca="false">IF(I6=1,I10+IF(Inputs!$B$78="On",$C$4,0),H23+I10)</f>
        <v>0</v>
      </c>
      <c r="J21" s="5" t="n">
        <f aca="false">IF(J6=1,J10+IF(Inputs!$B$78="On",$C$4,0),I23+J10)</f>
        <v>0</v>
      </c>
      <c r="K21" s="5" t="n">
        <f aca="false">IF(K6=1,K10+IF(Inputs!$B$78="On",$C$4,0),J23+K10)</f>
        <v>0</v>
      </c>
      <c r="L21" s="5" t="n">
        <f aca="false">IF(L6=1,L10+IF(Inputs!$B$78="On",$C$4,0),K23+L10)</f>
        <v>0</v>
      </c>
      <c r="M21" s="5" t="n">
        <f aca="false">IF(M6=1,M10+IF(Inputs!$B$78="On",$C$4,0),L23+M10)</f>
        <v>0</v>
      </c>
      <c r="N21" s="5" t="n">
        <f aca="false">IF(N6=1,N10+IF(Inputs!$B$78="On",$C$4,0),M23+N10)</f>
        <v>0</v>
      </c>
      <c r="O21" s="5" t="n">
        <f aca="false">IF(O6=1,O10+IF(Inputs!$B$78="On",$C$4,0),N23+O10)</f>
        <v>0</v>
      </c>
      <c r="P21" s="5" t="n">
        <f aca="false">IF(P6=1,P10+IF(Inputs!$B$78="On",$C$4,0),O23+P10)</f>
        <v>0</v>
      </c>
      <c r="Q21" s="5" t="n">
        <f aca="false">IF(Q6=1,Q10+IF(Inputs!$B$78="On",$C$4,0),P23+Q10)</f>
        <v>0</v>
      </c>
      <c r="R21" s="5" t="n">
        <f aca="false">IF(R6=1,R10+IF(Inputs!$B$78="On",$C$4,0),Q23+R10)</f>
        <v>0</v>
      </c>
      <c r="S21" s="5" t="n">
        <f aca="false">IF(S6=1,S10+IF(Inputs!$B$78="On",$C$4,0),R23+S10)</f>
        <v>0</v>
      </c>
      <c r="T21" s="5" t="n">
        <f aca="false">IF(T6=1,T10+IF(Inputs!$B$78="On",$C$4,0),S23+T10)</f>
        <v>0</v>
      </c>
      <c r="U21" s="5" t="n">
        <f aca="false">IF(U6=1,U10+IF(Inputs!$B$78="On",$C$4,0),T23+U10)</f>
        <v>0</v>
      </c>
      <c r="V21" s="5" t="n">
        <f aca="false">IF(V6=1,V10+IF(Inputs!$B$78="On",$C$4,0),U23+V10)</f>
        <v>0</v>
      </c>
      <c r="W21" s="5" t="n">
        <f aca="false">IF(W6=1,W10+IF(Inputs!$B$78="On",$C$4,0),V23+W10)</f>
        <v>0</v>
      </c>
      <c r="X21" s="5" t="n">
        <f aca="false">IF(X6=1,X10+IF(Inputs!$B$78="On",$C$4,0),W23+X10)</f>
        <v>0</v>
      </c>
      <c r="Y21" s="5" t="n">
        <f aca="false">IF(Y6=1,Y10+IF(Inputs!$B$78="On",$C$4,0),X23+Y10)</f>
        <v>0</v>
      </c>
      <c r="Z21" s="5" t="n">
        <f aca="false">IF(Z6=1,Z10+IF(Inputs!$B$78="On",$C$4,0),Y23+Z10)</f>
        <v>0</v>
      </c>
      <c r="AA21" s="5" t="n">
        <f aca="false">IF(AA6=1,AA10+IF(Inputs!$B$78="On",$C$4,0),Z23+AA10)</f>
        <v>0</v>
      </c>
      <c r="AB21" s="5" t="n">
        <f aca="false">IF(AB6=1,AB10+IF(Inputs!$B$78="On",$C$4,0),AA23+AB10)</f>
        <v>0</v>
      </c>
      <c r="AC21" s="5" t="n">
        <f aca="false">IF(AC6=1,AC10+IF(Inputs!$B$78="On",$C$4,0),AB23+AC10)</f>
        <v>0</v>
      </c>
      <c r="AD21" s="5" t="n">
        <f aca="false">IF(AD6=1,AD10+IF(Inputs!$B$78="On",$C$4,0),AC23+AD10)</f>
        <v>0</v>
      </c>
      <c r="AE21" s="5" t="n">
        <f aca="false">IF(AE6=1,AE10+IF(Inputs!$B$78="On",$C$4,0),AD23+AE10)</f>
        <v>0</v>
      </c>
      <c r="AF21" s="5" t="n">
        <f aca="false">IF(AF6=1,AF10+IF(Inputs!$B$78="On",$C$4,0),AE23+AF10)</f>
        <v>0</v>
      </c>
      <c r="AG21" s="5" t="n">
        <f aca="false">IF(AG6=1,AG10+IF(Inputs!$B$78="On",$C$4,0),AF23+AG10)</f>
        <v>0</v>
      </c>
      <c r="AH21" s="5" t="n">
        <f aca="false">IF(AH6=1,AH10+IF(Inputs!$B$78="On",$C$4,0),AG23+AH10)</f>
        <v>0</v>
      </c>
      <c r="AI21" s="5" t="n">
        <f aca="false">IF(AI6=1,AI10+IF(Inputs!$B$78="On",$C$4,0),AH23+AI10)</f>
        <v>0</v>
      </c>
      <c r="AJ21" s="5" t="n">
        <f aca="false">IF(AJ6=1,AJ10+IF(Inputs!$B$78="On",$C$4,0),AI23+AJ10)</f>
        <v>0</v>
      </c>
      <c r="AK21" s="5" t="n">
        <f aca="false">IF(AK6=1,AK10+IF(Inputs!$B$78="On",$C$4,0),AJ23+AK10)</f>
        <v>0</v>
      </c>
      <c r="AL21" s="5" t="n">
        <f aca="false">IF(AL6=1,AL10+IF(Inputs!$B$78="On",$C$4,0),AK23+AL10)</f>
        <v>0</v>
      </c>
      <c r="AM21" s="5" t="n">
        <f aca="false">IF(AM6=1,AM10+IF(Inputs!$B$78="On",$C$4,0),AL23+AM10)</f>
        <v>0</v>
      </c>
      <c r="AN21" s="5" t="n">
        <f aca="false">IF(AN6=1,AN10+IF(Inputs!$B$78="On",$C$4,0),AM23+AN10)</f>
        <v>0</v>
      </c>
      <c r="AO21" s="5" t="n">
        <f aca="false">IF(AO6=1,AO10+IF(Inputs!$B$78="On",$C$4,0),AN23+AO10)</f>
        <v>0</v>
      </c>
      <c r="AP21" s="5" t="n">
        <f aca="false">IF(AP6=1,AP10+IF(Inputs!$B$78="On",$C$4,0),AO23+AP10)</f>
        <v>0</v>
      </c>
      <c r="AQ21" s="5" t="n">
        <f aca="false">IF(AQ6=1,AQ10+IF(Inputs!$B$78="On",$C$4,0),AP23+AQ10)</f>
        <v>0</v>
      </c>
      <c r="AR21" s="5" t="n">
        <f aca="false">IF(AR6=1,AR10+IF(Inputs!$B$78="On",$C$4,0),AQ23+AR10)</f>
        <v>0</v>
      </c>
      <c r="AS21" s="5" t="n">
        <f aca="false">IF(AS6=1,AS10+IF(Inputs!$B$78="On",$C$4,0),AR23+AS10)</f>
        <v>0</v>
      </c>
      <c r="AT21" s="5" t="n">
        <f aca="false">IF(AT6=1,AT10+IF(Inputs!$B$78="On",$C$4,0),AS23+AT10)</f>
        <v>0</v>
      </c>
      <c r="AU21" s="5" t="n">
        <f aca="false">IF(AU6=1,AU10+IF(Inputs!$B$78="On",$C$4,0),AT23+AU10)</f>
        <v>0</v>
      </c>
      <c r="AV21" s="5" t="n">
        <f aca="false">IF(AV6=1,AV10+IF(Inputs!$B$78="On",$C$4,0),AU23+AV10)</f>
        <v>0</v>
      </c>
      <c r="AW21" s="5" t="n">
        <f aca="false">IF(AW6=1,AW10+IF(Inputs!$B$78="On",$C$4,0),AV23+AW10)</f>
        <v>0</v>
      </c>
      <c r="AX21" s="5" t="n">
        <f aca="false">IF(AX6=1,AX10+IF(Inputs!$B$78="On",$C$4,0),AW23+AX10)</f>
        <v>0</v>
      </c>
      <c r="AY21" s="5" t="n">
        <f aca="false">IF(AY6=1,AY10+IF(Inputs!$B$78="On",$C$4,0),AX23+AY10)</f>
        <v>0</v>
      </c>
      <c r="AZ21" s="5" t="n">
        <f aca="false">IF(AZ6=1,AZ10+IF(Inputs!$B$78="On",$C$4,0),AY23+AZ10)</f>
        <v>0</v>
      </c>
      <c r="BA21" s="5" t="n">
        <f aca="false">IF(BA6=1,BA10+IF(Inputs!$B$78="On",$C$4,0),AZ23+BA10)</f>
        <v>0</v>
      </c>
      <c r="BB21" s="5" t="n">
        <f aca="false">IF(BB6=1,BB10+IF(Inputs!$B$78="On",$C$4,0),BA23+BB10)</f>
        <v>0</v>
      </c>
      <c r="BC21" s="5" t="n">
        <f aca="false">IF(BC6=1,BC10+IF(Inputs!$B$78="On",$C$4,0),BB23+BC10)</f>
        <v>0</v>
      </c>
      <c r="BD21" s="5" t="n">
        <f aca="false">IF(BD6=1,BD10+IF(Inputs!$B$78="On",$C$4,0),BC23+BD10)</f>
        <v>0</v>
      </c>
      <c r="BE21" s="5" t="n">
        <f aca="false">IF(BE6=1,BE10+IF(Inputs!$B$78="On",$C$4,0),BD23+BE10)</f>
        <v>0</v>
      </c>
      <c r="BF21" s="5" t="n">
        <f aca="false">IF(BF6=1,BF10+IF(Inputs!$B$78="On",$C$4,0),BE23+BF10)</f>
        <v>0</v>
      </c>
      <c r="BG21" s="5" t="n">
        <f aca="false">IF(BG6=1,BG10+IF(Inputs!$B$78="On",$C$4,0),BF23+BG10)</f>
        <v>0</v>
      </c>
      <c r="BH21" s="5" t="n">
        <f aca="false">IF(BH6=1,BH10+IF(Inputs!$B$78="On",$C$4,0),BG23+BH10)</f>
        <v>0</v>
      </c>
      <c r="BI21" s="5" t="n">
        <f aca="false">IF(BI6=1,BI10+IF(Inputs!$B$78="On",$C$4,0),BH23+BI10)</f>
        <v>0</v>
      </c>
      <c r="BJ21" s="5" t="n">
        <f aca="false">IF(BJ6=1,BJ10+IF(Inputs!$B$78="On",$C$4,0),BI23+BJ10)</f>
        <v>0</v>
      </c>
      <c r="BK21" s="5" t="n">
        <f aca="false">IF(BK6=1,BK10+IF(Inputs!$B$78="On",$C$4,0),BJ23+BK10)</f>
        <v>0</v>
      </c>
      <c r="BL21" s="5" t="n">
        <f aca="false">IF(BL6=1,BL10+IF(Inputs!$B$78="On",$C$4,0),BK23+BL10)</f>
        <v>0</v>
      </c>
      <c r="BM21" s="5" t="n">
        <f aca="false">IF(BM6=1,BM10+IF(Inputs!$B$78="On",$C$4,0),BL23+BM10)</f>
        <v>0</v>
      </c>
      <c r="BN21" s="5" t="n">
        <f aca="false">IF(BN6=1,BN10+IF(Inputs!$B$78="On",$C$4,0),BM23+BN10)</f>
        <v>0</v>
      </c>
      <c r="BO21" s="5" t="n">
        <f aca="false">IF(BO6=1,BO10+IF(Inputs!$B$78="On",$C$4,0),BN23+BO10)</f>
        <v>0</v>
      </c>
      <c r="BP21" s="5" t="n">
        <f aca="false">IF(BP6=1,BP10+IF(Inputs!$B$78="On",$C$4,0),BO23+BP10)</f>
        <v>0</v>
      </c>
      <c r="BQ21" s="5" t="n">
        <f aca="false">IF(BQ6=1,BQ10+IF(Inputs!$B$78="On",$C$4,0),BP23+BQ10)</f>
        <v>0</v>
      </c>
      <c r="BR21" s="5" t="n">
        <f aca="false">IF(BR6=1,BR10+IF(Inputs!$B$78="On",$C$4,0),BQ23+BR10)</f>
        <v>0</v>
      </c>
      <c r="BS21" s="5" t="n">
        <f aca="false">IF(BS6=1,BS10+IF(Inputs!$B$78="On",$C$4,0),BR23+BS10)</f>
        <v>0</v>
      </c>
      <c r="BT21" s="5" t="n">
        <f aca="false">IF(BT6=1,BT10+IF(Inputs!$B$78="On",$C$4,0),BS23+BT10)</f>
        <v>0</v>
      </c>
      <c r="BU21" s="5" t="n">
        <f aca="false">IF(BU6=1,BU10+IF(Inputs!$B$78="On",$C$4,0),BT23+BU10)</f>
        <v>0</v>
      </c>
      <c r="BV21" s="5" t="n">
        <f aca="false">IF(BV6=1,BV10+IF(Inputs!$B$78="On",$C$4,0),BU23+BV10)</f>
        <v>0</v>
      </c>
      <c r="BW21" s="5" t="n">
        <f aca="false">IF(BW6=1,BW10+IF(Inputs!$B$78="On",$C$4,0),BV23+BW10)</f>
        <v>0</v>
      </c>
      <c r="BX21" s="5" t="n">
        <f aca="false">IF(BX6=1,BX10+IF(Inputs!$B$78="On",$C$4,0),BW23+BX10)</f>
        <v>0</v>
      </c>
      <c r="BY21" s="5" t="n">
        <f aca="false">IF(BY6=1,BY10+IF(Inputs!$B$78="On",$C$4,0),BX23+BY10)</f>
        <v>0</v>
      </c>
      <c r="BZ21" s="5" t="n">
        <f aca="false">IF(BZ6=1,BZ10+IF(Inputs!$B$78="On",$C$4,0),BY23+BZ10)</f>
        <v>0</v>
      </c>
      <c r="CA21" s="5" t="n">
        <f aca="false">IF(CA6=1,CA10+IF(Inputs!$B$78="On",$C$4,0),BZ23+CA10)</f>
        <v>0</v>
      </c>
      <c r="CB21" s="5" t="n">
        <f aca="false">IF(CB6=1,CB10+IF(Inputs!$B$78="On",$C$4,0),CA23+CB10)</f>
        <v>0</v>
      </c>
      <c r="CC21" s="5" t="n">
        <f aca="false">IF(CC6=1,CC10+IF(Inputs!$B$78="On",$C$4,0),CB23+CC10)</f>
        <v>0</v>
      </c>
      <c r="CD21" s="5" t="n">
        <f aca="false">IF(CD6=1,CD10+IF(Inputs!$B$78="On",$C$4,0),CC23+CD10)</f>
        <v>0</v>
      </c>
      <c r="CE21" s="5" t="n">
        <f aca="false">IF(CE6=1,CE10+IF(Inputs!$B$78="On",$C$4,0),CD23+CE10)</f>
        <v>0</v>
      </c>
      <c r="CF21" s="5" t="n">
        <f aca="false">IF(CF6=1,CF10+IF(Inputs!$B$78="On",$C$4,0),CE23+CF10)</f>
        <v>0</v>
      </c>
      <c r="CG21" s="5" t="n">
        <f aca="false">IF(CG6=1,CG10+IF(Inputs!$B$78="On",$C$4,0),CF23+CG10)</f>
        <v>0</v>
      </c>
      <c r="CH21" s="5" t="n">
        <f aca="false">IF(CH6=1,CH10+IF(Inputs!$B$78="On",$C$4,0),CG23+CH10)</f>
        <v>0</v>
      </c>
      <c r="CI21" s="5" t="n">
        <f aca="false">IF(CI6=1,CI10+IF(Inputs!$B$78="On",$C$4,0),CH23+CI10)</f>
        <v>0</v>
      </c>
      <c r="CJ21" s="5" t="n">
        <f aca="false">IF(CJ6=1,CJ10+IF(Inputs!$B$78="On",$C$4,0),CI23+CJ10)</f>
        <v>0</v>
      </c>
      <c r="CK21" s="5" t="n">
        <f aca="false">IF(CK6=1,CK10+IF(Inputs!$B$78="On",$C$4,0),CJ23+CK10)</f>
        <v>0</v>
      </c>
      <c r="CL21" s="5" t="n">
        <f aca="false">IF(CL6=1,CL10+IF(Inputs!$B$78="On",$C$4,0),CK23+CL10)</f>
        <v>0</v>
      </c>
      <c r="CM21" s="5" t="n">
        <f aca="false">IF(CM6=1,CM10+IF(Inputs!$B$78="On",$C$4,0),CL23+CM10)</f>
        <v>0</v>
      </c>
      <c r="CN21" s="5" t="n">
        <f aca="false">IF(CN6=1,CN10+IF(Inputs!$B$78="On",$C$4,0),CM23+CN10)</f>
        <v>0</v>
      </c>
      <c r="CO21" s="5" t="n">
        <f aca="false">IF(CO6=1,CO10+IF(Inputs!$B$78="On",$C$4,0),CN23+CO10)</f>
        <v>0</v>
      </c>
      <c r="CP21" s="5" t="n">
        <f aca="false">IF(CP6=1,CP10+IF(Inputs!$B$78="On",$C$4,0),CO23+CP10)</f>
        <v>0</v>
      </c>
      <c r="CQ21" s="5" t="n">
        <f aca="false">IF(CQ6=1,CQ10+IF(Inputs!$B$78="On",$C$4,0),CP23+CQ10)</f>
        <v>0</v>
      </c>
      <c r="CR21" s="5" t="n">
        <f aca="false">IF(CR6=1,CR10+IF(Inputs!$B$78="On",$C$4,0),CQ23+CR10)</f>
        <v>0</v>
      </c>
      <c r="CS21" s="5" t="n">
        <f aca="false">IF(CS6=1,CS10+IF(Inputs!$B$78="On",$C$4,0),CR23+CS10)</f>
        <v>0</v>
      </c>
      <c r="CT21" s="5" t="n">
        <f aca="false">IF(CT6=1,CT10+IF(Inputs!$B$78="On",$C$4,0),CS23+CT10)</f>
        <v>0</v>
      </c>
    </row>
    <row r="22" customFormat="false" ht="15" hidden="false" customHeight="false" outlineLevel="0" collapsed="false">
      <c r="B22" s="26" t="s">
        <v>212</v>
      </c>
      <c r="C22" s="5" t="n">
        <f aca="false">MIN(MAX(C11-C15-C19,0),C21)</f>
        <v>0</v>
      </c>
      <c r="D22" s="5" t="n">
        <f aca="false">MIN(MAX(D11-D15-D19,0),D21)</f>
        <v>0</v>
      </c>
      <c r="E22" s="5" t="n">
        <f aca="false">MIN(MAX(E11-E15-E19,0),E21)</f>
        <v>0</v>
      </c>
      <c r="F22" s="5" t="n">
        <f aca="false">MIN(MAX(F11-F15-F19,0),F21)</f>
        <v>0</v>
      </c>
      <c r="G22" s="5" t="n">
        <f aca="false">MIN(MAX(G11-G15-G19,0),G21)</f>
        <v>0</v>
      </c>
      <c r="H22" s="5" t="n">
        <f aca="false">MIN(MAX(H11-H15-H19,0),H21)</f>
        <v>0</v>
      </c>
      <c r="I22" s="5" t="n">
        <f aca="false">MIN(MAX(I11-I15-I19,0),I21)</f>
        <v>0</v>
      </c>
      <c r="J22" s="5" t="n">
        <f aca="false">MIN(MAX(J11-J15-J19,0),J21)</f>
        <v>0</v>
      </c>
      <c r="K22" s="5" t="n">
        <f aca="false">MIN(MAX(K11-K15-K19,0),K21)</f>
        <v>0</v>
      </c>
      <c r="L22" s="5" t="n">
        <f aca="false">MIN(MAX(L11-L15-L19,0),L21)</f>
        <v>0</v>
      </c>
      <c r="M22" s="5" t="n">
        <f aca="false">MIN(MAX(M11-M15-M19,0),M21)</f>
        <v>0</v>
      </c>
      <c r="N22" s="5" t="n">
        <f aca="false">MIN(MAX(N11-N15-N19,0),N21)</f>
        <v>0</v>
      </c>
      <c r="O22" s="5" t="n">
        <f aca="false">MIN(MAX(O11-O15-O19,0),O21)</f>
        <v>0</v>
      </c>
      <c r="P22" s="5" t="n">
        <f aca="false">MIN(MAX(P11-P15-P19,0),P21)</f>
        <v>0</v>
      </c>
      <c r="Q22" s="5" t="n">
        <f aca="false">MIN(MAX(Q11-Q15-Q19,0),Q21)</f>
        <v>0</v>
      </c>
      <c r="R22" s="5" t="n">
        <f aca="false">MIN(MAX(R11-R15-R19,0),R21)</f>
        <v>0</v>
      </c>
      <c r="S22" s="5" t="n">
        <f aca="false">MIN(MAX(S11-S15-S19,0),S21)</f>
        <v>0</v>
      </c>
      <c r="T22" s="5" t="n">
        <f aca="false">MIN(MAX(T11-T15-T19,0),T21)</f>
        <v>0</v>
      </c>
      <c r="U22" s="5" t="n">
        <f aca="false">MIN(MAX(U11-U15-U19,0),U21)</f>
        <v>0</v>
      </c>
      <c r="V22" s="5" t="n">
        <f aca="false">MIN(MAX(V11-V15-V19,0),V21)</f>
        <v>0</v>
      </c>
      <c r="W22" s="5" t="n">
        <f aca="false">MIN(MAX(W11-W15-W19,0),W21)</f>
        <v>0</v>
      </c>
      <c r="X22" s="5" t="n">
        <f aca="false">MIN(MAX(X11-X15-X19,0),X21)</f>
        <v>0</v>
      </c>
      <c r="Y22" s="5" t="n">
        <f aca="false">MIN(MAX(Y11-Y15-Y19,0),Y21)</f>
        <v>0</v>
      </c>
      <c r="Z22" s="5" t="n">
        <f aca="false">MIN(MAX(Z11-Z15-Z19,0),Z21)</f>
        <v>0</v>
      </c>
      <c r="AA22" s="5" t="n">
        <f aca="false">MIN(MAX(AA11-AA15-AA19,0),AA21)</f>
        <v>0</v>
      </c>
      <c r="AB22" s="5" t="n">
        <f aca="false">MIN(MAX(AB11-AB15-AB19,0),AB21)</f>
        <v>0</v>
      </c>
      <c r="AC22" s="5" t="n">
        <f aca="false">MIN(MAX(AC11-AC15-AC19,0),AC21)</f>
        <v>0</v>
      </c>
      <c r="AD22" s="5" t="n">
        <f aca="false">MIN(MAX(AD11-AD15-AD19,0),AD21)</f>
        <v>0</v>
      </c>
      <c r="AE22" s="5" t="n">
        <f aca="false">MIN(MAX(AE11-AE15-AE19,0),AE21)</f>
        <v>0</v>
      </c>
      <c r="AF22" s="5" t="n">
        <f aca="false">MIN(MAX(AF11-AF15-AF19,0),AF21)</f>
        <v>0</v>
      </c>
      <c r="AG22" s="5" t="n">
        <f aca="false">MIN(MAX(AG11-AG15-AG19,0),AG21)</f>
        <v>0</v>
      </c>
      <c r="AH22" s="5" t="n">
        <f aca="false">MIN(MAX(AH11-AH15-AH19,0),AH21)</f>
        <v>0</v>
      </c>
      <c r="AI22" s="5" t="n">
        <f aca="false">MIN(MAX(AI11-AI15-AI19,0),AI21)</f>
        <v>0</v>
      </c>
      <c r="AJ22" s="5" t="n">
        <f aca="false">MIN(MAX(AJ11-AJ15-AJ19,0),AJ21)</f>
        <v>0</v>
      </c>
      <c r="AK22" s="5" t="n">
        <f aca="false">MIN(MAX(AK11-AK15-AK19,0),AK21)</f>
        <v>0</v>
      </c>
      <c r="AL22" s="5" t="n">
        <f aca="false">MIN(MAX(AL11-AL15-AL19,0),AL21)</f>
        <v>0</v>
      </c>
      <c r="AM22" s="5" t="n">
        <f aca="false">MIN(MAX(AM11-AM15-AM19,0),AM21)</f>
        <v>0</v>
      </c>
      <c r="AN22" s="5" t="n">
        <f aca="false">MIN(MAX(AN11-AN15-AN19,0),AN21)</f>
        <v>0</v>
      </c>
      <c r="AO22" s="5" t="n">
        <f aca="false">MIN(MAX(AO11-AO15-AO19,0),AO21)</f>
        <v>0</v>
      </c>
      <c r="AP22" s="5" t="n">
        <f aca="false">MIN(MAX(AP11-AP15-AP19,0),AP21)</f>
        <v>0</v>
      </c>
      <c r="AQ22" s="5" t="n">
        <f aca="false">MIN(MAX(AQ11-AQ15-AQ19,0),AQ21)</f>
        <v>0</v>
      </c>
      <c r="AR22" s="5" t="n">
        <f aca="false">MIN(MAX(AR11-AR15-AR19,0),AR21)</f>
        <v>0</v>
      </c>
      <c r="AS22" s="5" t="n">
        <f aca="false">MIN(MAX(AS11-AS15-AS19,0),AS21)</f>
        <v>0</v>
      </c>
      <c r="AT22" s="5" t="n">
        <f aca="false">MIN(MAX(AT11-AT15-AT19,0),AT21)</f>
        <v>0</v>
      </c>
      <c r="AU22" s="5" t="n">
        <f aca="false">MIN(MAX(AU11-AU15-AU19,0),AU21)</f>
        <v>0</v>
      </c>
      <c r="AV22" s="5" t="n">
        <f aca="false">MIN(MAX(AV11-AV15-AV19,0),AV21)</f>
        <v>0</v>
      </c>
      <c r="AW22" s="5" t="n">
        <f aca="false">MIN(MAX(AW11-AW15-AW19,0),AW21)</f>
        <v>0</v>
      </c>
      <c r="AX22" s="5" t="n">
        <f aca="false">MIN(MAX(AX11-AX15-AX19,0),AX21)</f>
        <v>0</v>
      </c>
      <c r="AY22" s="5" t="n">
        <f aca="false">MIN(MAX(AY11-AY15-AY19,0),AY21)</f>
        <v>0</v>
      </c>
      <c r="AZ22" s="5" t="n">
        <f aca="false">MIN(MAX(AZ11-AZ15-AZ19,0),AZ21)</f>
        <v>0</v>
      </c>
      <c r="BA22" s="5" t="n">
        <f aca="false">MIN(MAX(BA11-BA15-BA19,0),BA21)</f>
        <v>0</v>
      </c>
      <c r="BB22" s="5" t="n">
        <f aca="false">MIN(MAX(BB11-BB15-BB19,0),BB21)</f>
        <v>0</v>
      </c>
      <c r="BC22" s="5" t="n">
        <f aca="false">MIN(MAX(BC11-BC15-BC19,0),BC21)</f>
        <v>0</v>
      </c>
      <c r="BD22" s="5" t="n">
        <f aca="false">MIN(MAX(BD11-BD15-BD19,0),BD21)</f>
        <v>0</v>
      </c>
      <c r="BE22" s="5" t="n">
        <f aca="false">MIN(MAX(BE11-BE15-BE19,0),BE21)</f>
        <v>0</v>
      </c>
      <c r="BF22" s="5" t="n">
        <f aca="false">MIN(MAX(BF11-BF15-BF19,0),BF21)</f>
        <v>0</v>
      </c>
      <c r="BG22" s="5" t="n">
        <f aca="false">MIN(MAX(BG11-BG15-BG19,0),BG21)</f>
        <v>0</v>
      </c>
      <c r="BH22" s="5" t="n">
        <f aca="false">MIN(MAX(BH11-BH15-BH19,0),BH21)</f>
        <v>0</v>
      </c>
      <c r="BI22" s="5" t="n">
        <f aca="false">MIN(MAX(BI11-BI15-BI19,0),BI21)</f>
        <v>0</v>
      </c>
      <c r="BJ22" s="5" t="n">
        <f aca="false">MIN(MAX(BJ11-BJ15-BJ19,0),BJ21)</f>
        <v>0</v>
      </c>
      <c r="BK22" s="5" t="n">
        <f aca="false">MIN(MAX(BK11-BK15-BK19,0),BK21)</f>
        <v>0</v>
      </c>
      <c r="BL22" s="5" t="n">
        <f aca="false">MIN(MAX(BL11-BL15-BL19,0),BL21)</f>
        <v>0</v>
      </c>
      <c r="BM22" s="5" t="n">
        <f aca="false">MIN(MAX(BM11-BM15-BM19,0),BM21)</f>
        <v>0</v>
      </c>
      <c r="BN22" s="5" t="n">
        <f aca="false">MIN(MAX(BN11-BN15-BN19,0),BN21)</f>
        <v>0</v>
      </c>
      <c r="BO22" s="5" t="n">
        <f aca="false">MIN(MAX(BO11-BO15-BO19,0),BO21)</f>
        <v>0</v>
      </c>
      <c r="BP22" s="5" t="n">
        <f aca="false">MIN(MAX(BP11-BP15-BP19,0),BP21)</f>
        <v>0</v>
      </c>
      <c r="BQ22" s="5" t="n">
        <f aca="false">MIN(MAX(BQ11-BQ15-BQ19,0),BQ21)</f>
        <v>0</v>
      </c>
      <c r="BR22" s="5" t="n">
        <f aca="false">MIN(MAX(BR11-BR15-BR19,0),BR21)</f>
        <v>0</v>
      </c>
      <c r="BS22" s="5" t="n">
        <f aca="false">MIN(MAX(BS11-BS15-BS19,0),BS21)</f>
        <v>0</v>
      </c>
      <c r="BT22" s="5" t="n">
        <f aca="false">MIN(MAX(BT11-BT15-BT19,0),BT21)</f>
        <v>0</v>
      </c>
      <c r="BU22" s="5" t="n">
        <f aca="false">MIN(MAX(BU11-BU15-BU19,0),BU21)</f>
        <v>0</v>
      </c>
      <c r="BV22" s="5" t="n">
        <f aca="false">MIN(MAX(BV11-BV15-BV19,0),BV21)</f>
        <v>0</v>
      </c>
      <c r="BW22" s="5" t="n">
        <f aca="false">MIN(MAX(BW11-BW15-BW19,0),BW21)</f>
        <v>0</v>
      </c>
      <c r="BX22" s="5" t="n">
        <f aca="false">MIN(MAX(BX11-BX15-BX19,0),BX21)</f>
        <v>0</v>
      </c>
      <c r="BY22" s="5" t="n">
        <f aca="false">MIN(MAX(BY11-BY15-BY19,0),BY21)</f>
        <v>0</v>
      </c>
      <c r="BZ22" s="5" t="n">
        <f aca="false">MIN(MAX(BZ11-BZ15-BZ19,0),BZ21)</f>
        <v>0</v>
      </c>
      <c r="CA22" s="5" t="n">
        <f aca="false">MIN(MAX(CA11-CA15-CA19,0),CA21)</f>
        <v>0</v>
      </c>
      <c r="CB22" s="5" t="n">
        <f aca="false">MIN(MAX(CB11-CB15-CB19,0),CB21)</f>
        <v>0</v>
      </c>
      <c r="CC22" s="5" t="n">
        <f aca="false">MIN(MAX(CC11-CC15-CC19,0),CC21)</f>
        <v>0</v>
      </c>
      <c r="CD22" s="5" t="n">
        <f aca="false">MIN(MAX(CD11-CD15-CD19,0),CD21)</f>
        <v>0</v>
      </c>
      <c r="CE22" s="5" t="n">
        <f aca="false">MIN(MAX(CE11-CE15-CE19,0),CE21)</f>
        <v>0</v>
      </c>
      <c r="CF22" s="5" t="n">
        <f aca="false">MIN(MAX(CF11-CF15-CF19,0),CF21)</f>
        <v>0</v>
      </c>
      <c r="CG22" s="5" t="n">
        <f aca="false">MIN(MAX(CG11-CG15-CG19,0),CG21)</f>
        <v>0</v>
      </c>
      <c r="CH22" s="5" t="n">
        <f aca="false">MIN(MAX(CH11-CH15-CH19,0),CH21)</f>
        <v>0</v>
      </c>
      <c r="CI22" s="5" t="n">
        <f aca="false">MIN(MAX(CI11-CI15-CI19,0),CI21)</f>
        <v>0</v>
      </c>
      <c r="CJ22" s="5" t="n">
        <f aca="false">MIN(MAX(CJ11-CJ15-CJ19,0),CJ21)</f>
        <v>0</v>
      </c>
      <c r="CK22" s="5" t="n">
        <f aca="false">MIN(MAX(CK11-CK15-CK19,0),CK21)</f>
        <v>0</v>
      </c>
      <c r="CL22" s="5" t="n">
        <f aca="false">MIN(MAX(CL11-CL15-CL19,0),CL21)</f>
        <v>0</v>
      </c>
      <c r="CM22" s="5" t="n">
        <f aca="false">MIN(MAX(CM11-CM15-CM19,0),CM21)</f>
        <v>0</v>
      </c>
      <c r="CN22" s="5" t="n">
        <f aca="false">MIN(MAX(CN11-CN15-CN19,0),CN21)</f>
        <v>0</v>
      </c>
      <c r="CO22" s="5" t="n">
        <f aca="false">MIN(MAX(CO11-CO15-CO19,0),CO21)</f>
        <v>0</v>
      </c>
      <c r="CP22" s="5" t="n">
        <f aca="false">MIN(MAX(CP11-CP15-CP19,0),CP21)</f>
        <v>0</v>
      </c>
      <c r="CQ22" s="5" t="n">
        <f aca="false">MIN(MAX(CQ11-CQ15-CQ19,0),CQ21)</f>
        <v>0</v>
      </c>
      <c r="CR22" s="5" t="n">
        <f aca="false">MIN(MAX(CR11-CR15-CR19,0),CR21)</f>
        <v>0</v>
      </c>
      <c r="CS22" s="5" t="n">
        <f aca="false">MIN(MAX(CS11-CS15-CS19,0),CS21)</f>
        <v>0</v>
      </c>
      <c r="CT22" s="5" t="n">
        <f aca="false">MIN(MAX(CT11-CT15-CT19,0),CT21)</f>
        <v>0</v>
      </c>
    </row>
    <row r="23" customFormat="false" ht="15" hidden="false" customHeight="false" outlineLevel="0" collapsed="false">
      <c r="B23" s="26" t="s">
        <v>213</v>
      </c>
      <c r="C23" s="5" t="n">
        <f aca="false">C21-C22</f>
        <v>0</v>
      </c>
      <c r="D23" s="5" t="n">
        <f aca="false">D21-D22</f>
        <v>0</v>
      </c>
      <c r="E23" s="5" t="n">
        <f aca="false">E21-E22</f>
        <v>0</v>
      </c>
      <c r="F23" s="5" t="n">
        <f aca="false">F21-F22</f>
        <v>0</v>
      </c>
      <c r="G23" s="5" t="n">
        <f aca="false">G21-G22</f>
        <v>0</v>
      </c>
      <c r="H23" s="5" t="n">
        <f aca="false">H21-H22</f>
        <v>0</v>
      </c>
      <c r="I23" s="5" t="n">
        <f aca="false">I21-I22</f>
        <v>0</v>
      </c>
      <c r="J23" s="5" t="n">
        <f aca="false">J21-J22</f>
        <v>0</v>
      </c>
      <c r="K23" s="5" t="n">
        <f aca="false">K21-K22</f>
        <v>0</v>
      </c>
      <c r="L23" s="5" t="n">
        <f aca="false">L21-L22</f>
        <v>0</v>
      </c>
      <c r="M23" s="5" t="n">
        <f aca="false">M21-M22</f>
        <v>0</v>
      </c>
      <c r="N23" s="5" t="n">
        <f aca="false">N21-N22</f>
        <v>0</v>
      </c>
      <c r="O23" s="5" t="n">
        <f aca="false">O21-O22</f>
        <v>0</v>
      </c>
      <c r="P23" s="5" t="n">
        <f aca="false">P21-P22</f>
        <v>0</v>
      </c>
      <c r="Q23" s="5" t="n">
        <f aca="false">Q21-Q22</f>
        <v>0</v>
      </c>
      <c r="R23" s="5" t="n">
        <f aca="false">R21-R22</f>
        <v>0</v>
      </c>
      <c r="S23" s="5" t="n">
        <f aca="false">S21-S22</f>
        <v>0</v>
      </c>
      <c r="T23" s="5" t="n">
        <f aca="false">T21-T22</f>
        <v>0</v>
      </c>
      <c r="U23" s="5" t="n">
        <f aca="false">U21-U22</f>
        <v>0</v>
      </c>
      <c r="V23" s="5" t="n">
        <f aca="false">V21-V22</f>
        <v>0</v>
      </c>
      <c r="W23" s="5" t="n">
        <f aca="false">W21-W22</f>
        <v>0</v>
      </c>
      <c r="X23" s="5" t="n">
        <f aca="false">X21-X22</f>
        <v>0</v>
      </c>
      <c r="Y23" s="5" t="n">
        <f aca="false">Y21-Y22</f>
        <v>0</v>
      </c>
      <c r="Z23" s="5" t="n">
        <f aca="false">Z21-Z22</f>
        <v>0</v>
      </c>
      <c r="AA23" s="5" t="n">
        <f aca="false">AA21-AA22</f>
        <v>0</v>
      </c>
      <c r="AB23" s="5" t="n">
        <f aca="false">AB21-AB22</f>
        <v>0</v>
      </c>
      <c r="AC23" s="5" t="n">
        <f aca="false">AC21-AC22</f>
        <v>0</v>
      </c>
      <c r="AD23" s="5" t="n">
        <f aca="false">AD21-AD22</f>
        <v>0</v>
      </c>
      <c r="AE23" s="5" t="n">
        <f aca="false">AE21-AE22</f>
        <v>0</v>
      </c>
      <c r="AF23" s="5" t="n">
        <f aca="false">AF21-AF22</f>
        <v>0</v>
      </c>
      <c r="AG23" s="5" t="n">
        <f aca="false">AG21-AG22</f>
        <v>0</v>
      </c>
      <c r="AH23" s="5" t="n">
        <f aca="false">AH21-AH22</f>
        <v>0</v>
      </c>
      <c r="AI23" s="5" t="n">
        <f aca="false">AI21-AI22</f>
        <v>0</v>
      </c>
      <c r="AJ23" s="5" t="n">
        <f aca="false">AJ21-AJ22</f>
        <v>0</v>
      </c>
      <c r="AK23" s="5" t="n">
        <f aca="false">AK21-AK22</f>
        <v>0</v>
      </c>
      <c r="AL23" s="5" t="n">
        <f aca="false">AL21-AL22</f>
        <v>0</v>
      </c>
      <c r="AM23" s="5" t="n">
        <f aca="false">AM21-AM22</f>
        <v>0</v>
      </c>
      <c r="AN23" s="5" t="n">
        <f aca="false">AN21-AN22</f>
        <v>0</v>
      </c>
      <c r="AO23" s="5" t="n">
        <f aca="false">AO21-AO22</f>
        <v>0</v>
      </c>
      <c r="AP23" s="5" t="n">
        <f aca="false">AP21-AP22</f>
        <v>0</v>
      </c>
      <c r="AQ23" s="5" t="n">
        <f aca="false">AQ21-AQ22</f>
        <v>0</v>
      </c>
      <c r="AR23" s="5" t="n">
        <f aca="false">AR21-AR22</f>
        <v>0</v>
      </c>
      <c r="AS23" s="5" t="n">
        <f aca="false">AS21-AS22</f>
        <v>0</v>
      </c>
      <c r="AT23" s="5" t="n">
        <f aca="false">AT21-AT22</f>
        <v>0</v>
      </c>
      <c r="AU23" s="5" t="n">
        <f aca="false">AU21-AU22</f>
        <v>0</v>
      </c>
      <c r="AV23" s="5" t="n">
        <f aca="false">AV21-AV22</f>
        <v>0</v>
      </c>
      <c r="AW23" s="5" t="n">
        <f aca="false">AW21-AW22</f>
        <v>0</v>
      </c>
      <c r="AX23" s="5" t="n">
        <f aca="false">AX21-AX22</f>
        <v>0</v>
      </c>
      <c r="AY23" s="5" t="n">
        <f aca="false">AY21-AY22</f>
        <v>0</v>
      </c>
      <c r="AZ23" s="5" t="n">
        <f aca="false">AZ21-AZ22</f>
        <v>0</v>
      </c>
      <c r="BA23" s="5" t="n">
        <f aca="false">BA21-BA22</f>
        <v>0</v>
      </c>
      <c r="BB23" s="5" t="n">
        <f aca="false">BB21-BB22</f>
        <v>0</v>
      </c>
      <c r="BC23" s="5" t="n">
        <f aca="false">BC21-BC22</f>
        <v>0</v>
      </c>
      <c r="BD23" s="5" t="n">
        <f aca="false">BD21-BD22</f>
        <v>0</v>
      </c>
      <c r="BE23" s="5" t="n">
        <f aca="false">BE21-BE22</f>
        <v>0</v>
      </c>
      <c r="BF23" s="5" t="n">
        <f aca="false">BF21-BF22</f>
        <v>0</v>
      </c>
      <c r="BG23" s="5" t="n">
        <f aca="false">BG21-BG22</f>
        <v>0</v>
      </c>
      <c r="BH23" s="5" t="n">
        <f aca="false">BH21-BH22</f>
        <v>0</v>
      </c>
      <c r="BI23" s="5" t="n">
        <f aca="false">BI21-BI22</f>
        <v>0</v>
      </c>
      <c r="BJ23" s="5" t="n">
        <f aca="false">BJ21-BJ22</f>
        <v>0</v>
      </c>
      <c r="BK23" s="5" t="n">
        <f aca="false">BK21-BK22</f>
        <v>0</v>
      </c>
      <c r="BL23" s="5" t="n">
        <f aca="false">BL21-BL22</f>
        <v>0</v>
      </c>
      <c r="BM23" s="5" t="n">
        <f aca="false">BM21-BM22</f>
        <v>0</v>
      </c>
      <c r="BN23" s="5" t="n">
        <f aca="false">BN21-BN22</f>
        <v>0</v>
      </c>
      <c r="BO23" s="5" t="n">
        <f aca="false">BO21-BO22</f>
        <v>0</v>
      </c>
      <c r="BP23" s="5" t="n">
        <f aca="false">BP21-BP22</f>
        <v>0</v>
      </c>
      <c r="BQ23" s="5" t="n">
        <f aca="false">BQ21-BQ22</f>
        <v>0</v>
      </c>
      <c r="BR23" s="5" t="n">
        <f aca="false">BR21-BR22</f>
        <v>0</v>
      </c>
      <c r="BS23" s="5" t="n">
        <f aca="false">BS21-BS22</f>
        <v>0</v>
      </c>
      <c r="BT23" s="5" t="n">
        <f aca="false">BT21-BT22</f>
        <v>0</v>
      </c>
      <c r="BU23" s="5" t="n">
        <f aca="false">BU21-BU22</f>
        <v>0</v>
      </c>
      <c r="BV23" s="5" t="n">
        <f aca="false">BV21-BV22</f>
        <v>0</v>
      </c>
      <c r="BW23" s="5" t="n">
        <f aca="false">BW21-BW22</f>
        <v>0</v>
      </c>
      <c r="BX23" s="5" t="n">
        <f aca="false">BX21-BX22</f>
        <v>0</v>
      </c>
      <c r="BY23" s="5" t="n">
        <f aca="false">BY21-BY22</f>
        <v>0</v>
      </c>
      <c r="BZ23" s="5" t="n">
        <f aca="false">BZ21-BZ22</f>
        <v>0</v>
      </c>
      <c r="CA23" s="5" t="n">
        <f aca="false">CA21-CA22</f>
        <v>0</v>
      </c>
      <c r="CB23" s="5" t="n">
        <f aca="false">CB21-CB22</f>
        <v>0</v>
      </c>
      <c r="CC23" s="5" t="n">
        <f aca="false">CC21-CC22</f>
        <v>0</v>
      </c>
      <c r="CD23" s="5" t="n">
        <f aca="false">CD21-CD22</f>
        <v>0</v>
      </c>
      <c r="CE23" s="5" t="n">
        <f aca="false">CE21-CE22</f>
        <v>0</v>
      </c>
      <c r="CF23" s="5" t="n">
        <f aca="false">CF21-CF22</f>
        <v>0</v>
      </c>
      <c r="CG23" s="5" t="n">
        <f aca="false">CG21-CG22</f>
        <v>0</v>
      </c>
      <c r="CH23" s="5" t="n">
        <f aca="false">CH21-CH22</f>
        <v>0</v>
      </c>
      <c r="CI23" s="5" t="n">
        <f aca="false">CI21-CI22</f>
        <v>0</v>
      </c>
      <c r="CJ23" s="5" t="n">
        <f aca="false">CJ21-CJ22</f>
        <v>0</v>
      </c>
      <c r="CK23" s="5" t="n">
        <f aca="false">CK21-CK22</f>
        <v>0</v>
      </c>
      <c r="CL23" s="5" t="n">
        <f aca="false">CL21-CL22</f>
        <v>0</v>
      </c>
      <c r="CM23" s="5" t="n">
        <f aca="false">CM21-CM22</f>
        <v>0</v>
      </c>
      <c r="CN23" s="5" t="n">
        <f aca="false">CN21-CN22</f>
        <v>0</v>
      </c>
      <c r="CO23" s="5" t="n">
        <f aca="false">CO21-CO22</f>
        <v>0</v>
      </c>
      <c r="CP23" s="5" t="n">
        <f aca="false">CP21-CP22</f>
        <v>0</v>
      </c>
      <c r="CQ23" s="5" t="n">
        <f aca="false">CQ21-CQ22</f>
        <v>0</v>
      </c>
      <c r="CR23" s="5" t="n">
        <f aca="false">CR21-CR22</f>
        <v>0</v>
      </c>
      <c r="CS23" s="5" t="n">
        <f aca="false">CS21-CS22</f>
        <v>0</v>
      </c>
      <c r="CT23" s="5" t="n">
        <f aca="false">CT21-CT22</f>
        <v>0</v>
      </c>
    </row>
    <row r="25" customFormat="false" ht="15" hidden="false" customHeight="false" outlineLevel="0" collapsed="false">
      <c r="B25" s="26" t="s">
        <v>214</v>
      </c>
      <c r="C25" s="5" t="n">
        <f aca="false">MAX(C11-C15-C19-C22,0)</f>
        <v>0</v>
      </c>
      <c r="D25" s="5" t="n">
        <f aca="false">MAX(D11-D15-D19-D22,0)</f>
        <v>0</v>
      </c>
      <c r="E25" s="5" t="n">
        <f aca="false">MAX(E11-E15-E19-E22,0)</f>
        <v>0</v>
      </c>
      <c r="F25" s="5" t="n">
        <f aca="false">MAX(F11-F15-F19-F22,0)</f>
        <v>0</v>
      </c>
      <c r="G25" s="5" t="n">
        <f aca="false">MAX(G11-G15-G19-G22,0)</f>
        <v>0</v>
      </c>
      <c r="H25" s="5" t="n">
        <f aca="false">MAX(H11-H15-H19-H22,0)</f>
        <v>0</v>
      </c>
      <c r="I25" s="5" t="n">
        <f aca="false">MAX(I11-I15-I19-I22,0)</f>
        <v>0</v>
      </c>
      <c r="J25" s="5" t="n">
        <f aca="false">MAX(J11-J15-J19-J22,0)</f>
        <v>0</v>
      </c>
      <c r="K25" s="5" t="n">
        <f aca="false">MAX(K11-K15-K19-K22,0)</f>
        <v>0</v>
      </c>
      <c r="L25" s="5" t="n">
        <f aca="false">MAX(L11-L15-L19-L22,0)</f>
        <v>0</v>
      </c>
      <c r="M25" s="5" t="n">
        <f aca="false">MAX(M11-M15-M19-M22,0)</f>
        <v>0</v>
      </c>
      <c r="N25" s="5" t="n">
        <f aca="false">MAX(N11-N15-N19-N22,0)</f>
        <v>0</v>
      </c>
      <c r="O25" s="5" t="n">
        <f aca="false">MAX(O11-O15-O19-O22,0)</f>
        <v>0</v>
      </c>
      <c r="P25" s="5" t="n">
        <f aca="false">MAX(P11-P15-P19-P22,0)</f>
        <v>0</v>
      </c>
      <c r="Q25" s="5" t="n">
        <f aca="false">MAX(Q11-Q15-Q19-Q22,0)</f>
        <v>0</v>
      </c>
      <c r="R25" s="5" t="n">
        <f aca="false">MAX(R11-R15-R19-R22,0)</f>
        <v>0</v>
      </c>
      <c r="S25" s="5" t="n">
        <f aca="false">MAX(S11-S15-S19-S22,0)</f>
        <v>0</v>
      </c>
      <c r="T25" s="5" t="n">
        <f aca="false">MAX(T11-T15-T19-T22,0)</f>
        <v>0</v>
      </c>
      <c r="U25" s="5" t="n">
        <f aca="false">MAX(U11-U15-U19-U22,0)</f>
        <v>0</v>
      </c>
      <c r="V25" s="5" t="n">
        <f aca="false">MAX(V11-V15-V19-V22,0)</f>
        <v>0</v>
      </c>
      <c r="W25" s="5" t="n">
        <f aca="false">MAX(W11-W15-W19-W22,0)</f>
        <v>0</v>
      </c>
      <c r="X25" s="5" t="n">
        <f aca="false">MAX(X11-X15-X19-X22,0)</f>
        <v>0</v>
      </c>
      <c r="Y25" s="5" t="n">
        <f aca="false">MAX(Y11-Y15-Y19-Y22,0)</f>
        <v>0</v>
      </c>
      <c r="Z25" s="5" t="n">
        <f aca="false">MAX(Z11-Z15-Z19-Z22,0)</f>
        <v>0</v>
      </c>
      <c r="AA25" s="5" t="n">
        <f aca="false">MAX(AA11-AA15-AA19-AA22,0)</f>
        <v>0</v>
      </c>
      <c r="AB25" s="5" t="n">
        <f aca="false">MAX(AB11-AB15-AB19-AB22,0)</f>
        <v>0</v>
      </c>
      <c r="AC25" s="5" t="n">
        <f aca="false">MAX(AC11-AC15-AC19-AC22,0)</f>
        <v>0</v>
      </c>
      <c r="AD25" s="5" t="n">
        <f aca="false">MAX(AD11-AD15-AD19-AD22,0)</f>
        <v>0</v>
      </c>
      <c r="AE25" s="5" t="n">
        <f aca="false">MAX(AE11-AE15-AE19-AE22,0)</f>
        <v>0</v>
      </c>
      <c r="AF25" s="5" t="n">
        <f aca="false">MAX(AF11-AF15-AF19-AF22,0)</f>
        <v>0</v>
      </c>
      <c r="AG25" s="5" t="n">
        <f aca="false">MAX(AG11-AG15-AG19-AG22,0)</f>
        <v>0</v>
      </c>
      <c r="AH25" s="5" t="n">
        <f aca="false">MAX(AH11-AH15-AH19-AH22,0)</f>
        <v>0</v>
      </c>
      <c r="AI25" s="5" t="n">
        <f aca="false">MAX(AI11-AI15-AI19-AI22,0)</f>
        <v>0</v>
      </c>
      <c r="AJ25" s="5" t="n">
        <f aca="false">MAX(AJ11-AJ15-AJ19-AJ22,0)</f>
        <v>0</v>
      </c>
      <c r="AK25" s="5" t="n">
        <f aca="false">MAX(AK11-AK15-AK19-AK22,0)</f>
        <v>0</v>
      </c>
      <c r="AL25" s="5" t="n">
        <f aca="false">MAX(AL11-AL15-AL19-AL22,0)</f>
        <v>0</v>
      </c>
      <c r="AM25" s="5" t="n">
        <f aca="false">MAX(AM11-AM15-AM19-AM22,0)</f>
        <v>0</v>
      </c>
      <c r="AN25" s="5" t="n">
        <f aca="false">MAX(AN11-AN15-AN19-AN22,0)</f>
        <v>0</v>
      </c>
      <c r="AO25" s="5" t="n">
        <f aca="false">MAX(AO11-AO15-AO19-AO22,0)</f>
        <v>0</v>
      </c>
      <c r="AP25" s="5" t="n">
        <f aca="false">MAX(AP11-AP15-AP19-AP22,0)</f>
        <v>0</v>
      </c>
      <c r="AQ25" s="5" t="n">
        <f aca="false">MAX(AQ11-AQ15-AQ19-AQ22,0)</f>
        <v>0</v>
      </c>
      <c r="AR25" s="5" t="n">
        <f aca="false">MAX(AR11-AR15-AR19-AR22,0)</f>
        <v>0</v>
      </c>
      <c r="AS25" s="5" t="n">
        <f aca="false">MAX(AS11-AS15-AS19-AS22,0)</f>
        <v>0</v>
      </c>
      <c r="AT25" s="5" t="n">
        <f aca="false">MAX(AT11-AT15-AT19-AT22,0)</f>
        <v>0</v>
      </c>
      <c r="AU25" s="5" t="n">
        <f aca="false">MAX(AU11-AU15-AU19-AU22,0)</f>
        <v>0</v>
      </c>
      <c r="AV25" s="5" t="n">
        <f aca="false">MAX(AV11-AV15-AV19-AV22,0)</f>
        <v>0</v>
      </c>
      <c r="AW25" s="5" t="n">
        <f aca="false">MAX(AW11-AW15-AW19-AW22,0)</f>
        <v>0</v>
      </c>
      <c r="AX25" s="5" t="n">
        <f aca="false">MAX(AX11-AX15-AX19-AX22,0)</f>
        <v>0</v>
      </c>
      <c r="AY25" s="5" t="n">
        <f aca="false">MAX(AY11-AY15-AY19-AY22,0)</f>
        <v>0</v>
      </c>
      <c r="AZ25" s="5" t="n">
        <f aca="false">MAX(AZ11-AZ15-AZ19-AZ22,0)</f>
        <v>0</v>
      </c>
      <c r="BA25" s="5" t="n">
        <f aca="false">MAX(BA11-BA15-BA19-BA22,0)</f>
        <v>0</v>
      </c>
      <c r="BB25" s="5" t="n">
        <f aca="false">MAX(BB11-BB15-BB19-BB22,0)</f>
        <v>0</v>
      </c>
      <c r="BC25" s="5" t="n">
        <f aca="false">MAX(BC11-BC15-BC19-BC22,0)</f>
        <v>0</v>
      </c>
      <c r="BD25" s="5" t="n">
        <f aca="false">MAX(BD11-BD15-BD19-BD22,0)</f>
        <v>0</v>
      </c>
      <c r="BE25" s="5" t="n">
        <f aca="false">MAX(BE11-BE15-BE19-BE22,0)</f>
        <v>0</v>
      </c>
      <c r="BF25" s="5" t="n">
        <f aca="false">MAX(BF11-BF15-BF19-BF22,0)</f>
        <v>0</v>
      </c>
      <c r="BG25" s="5" t="n">
        <f aca="false">MAX(BG11-BG15-BG19-BG22,0)</f>
        <v>0</v>
      </c>
      <c r="BH25" s="5" t="n">
        <f aca="false">MAX(BH11-BH15-BH19-BH22,0)</f>
        <v>0</v>
      </c>
      <c r="BI25" s="5" t="n">
        <f aca="false">MAX(BI11-BI15-BI19-BI22,0)</f>
        <v>0</v>
      </c>
      <c r="BJ25" s="5" t="n">
        <f aca="false">MAX(BJ11-BJ15-BJ19-BJ22,0)</f>
        <v>1895623.38086284</v>
      </c>
      <c r="BK25" s="5" t="n">
        <f aca="false">MAX(BK11-BK15-BK19-BK22,0)</f>
        <v>0</v>
      </c>
      <c r="BL25" s="5" t="n">
        <f aca="false">MAX(BL11-BL15-BL19-BL22,0)</f>
        <v>0</v>
      </c>
      <c r="BM25" s="5" t="n">
        <f aca="false">MAX(BM11-BM15-BM19-BM22,0)</f>
        <v>0</v>
      </c>
      <c r="BN25" s="5" t="n">
        <f aca="false">MAX(BN11-BN15-BN19-BN22,0)</f>
        <v>0</v>
      </c>
      <c r="BO25" s="5" t="n">
        <f aca="false">MAX(BO11-BO15-BO19-BO22,0)</f>
        <v>0</v>
      </c>
      <c r="BP25" s="5" t="n">
        <f aca="false">MAX(BP11-BP15-BP19-BP22,0)</f>
        <v>0</v>
      </c>
      <c r="BQ25" s="5" t="n">
        <f aca="false">MAX(BQ11-BQ15-BQ19-BQ22,0)</f>
        <v>0</v>
      </c>
      <c r="BR25" s="5" t="n">
        <f aca="false">MAX(BR11-BR15-BR19-BR22,0)</f>
        <v>0</v>
      </c>
      <c r="BS25" s="5" t="n">
        <f aca="false">MAX(BS11-BS15-BS19-BS22,0)</f>
        <v>0</v>
      </c>
      <c r="BT25" s="5" t="n">
        <f aca="false">MAX(BT11-BT15-BT19-BT22,0)</f>
        <v>0</v>
      </c>
      <c r="BU25" s="5" t="n">
        <f aca="false">MAX(BU11-BU15-BU19-BU22,0)</f>
        <v>0</v>
      </c>
      <c r="BV25" s="5" t="n">
        <f aca="false">MAX(BV11-BV15-BV19-BV22,0)</f>
        <v>0</v>
      </c>
      <c r="BW25" s="5" t="n">
        <f aca="false">MAX(BW11-BW15-BW19-BW22,0)</f>
        <v>0</v>
      </c>
      <c r="BX25" s="5" t="n">
        <f aca="false">MAX(BX11-BX15-BX19-BX22,0)</f>
        <v>0</v>
      </c>
      <c r="BY25" s="5" t="n">
        <f aca="false">MAX(BY11-BY15-BY19-BY22,0)</f>
        <v>0</v>
      </c>
      <c r="BZ25" s="5" t="n">
        <f aca="false">MAX(BZ11-BZ15-BZ19-BZ22,0)</f>
        <v>0</v>
      </c>
      <c r="CA25" s="5" t="n">
        <f aca="false">MAX(CA11-CA15-CA19-CA22,0)</f>
        <v>0</v>
      </c>
      <c r="CB25" s="5" t="n">
        <f aca="false">MAX(CB11-CB15-CB19-CB22,0)</f>
        <v>0</v>
      </c>
      <c r="CC25" s="5" t="n">
        <f aca="false">MAX(CC11-CC15-CC19-CC22,0)</f>
        <v>0</v>
      </c>
      <c r="CD25" s="5" t="n">
        <f aca="false">MAX(CD11-CD15-CD19-CD22,0)</f>
        <v>0</v>
      </c>
      <c r="CE25" s="5" t="n">
        <f aca="false">MAX(CE11-CE15-CE19-CE22,0)</f>
        <v>0</v>
      </c>
      <c r="CF25" s="5" t="n">
        <f aca="false">MAX(CF11-CF15-CF19-CF22,0)</f>
        <v>0</v>
      </c>
      <c r="CG25" s="5" t="n">
        <f aca="false">MAX(CG11-CG15-CG19-CG22,0)</f>
        <v>0</v>
      </c>
      <c r="CH25" s="5" t="n">
        <f aca="false">MAX(CH11-CH15-CH19-CH22,0)</f>
        <v>0</v>
      </c>
      <c r="CI25" s="5" t="n">
        <f aca="false">MAX(CI11-CI15-CI19-CI22,0)</f>
        <v>0</v>
      </c>
      <c r="CJ25" s="5" t="n">
        <f aca="false">MAX(CJ11-CJ15-CJ19-CJ22,0)</f>
        <v>0</v>
      </c>
      <c r="CK25" s="5" t="n">
        <f aca="false">MAX(CK11-CK15-CK19-CK22,0)</f>
        <v>0</v>
      </c>
      <c r="CL25" s="5" t="n">
        <f aca="false">MAX(CL11-CL15-CL19-CL22,0)</f>
        <v>0</v>
      </c>
      <c r="CM25" s="5" t="n">
        <f aca="false">MAX(CM11-CM15-CM19-CM22,0)</f>
        <v>0</v>
      </c>
      <c r="CN25" s="5" t="n">
        <f aca="false">MAX(CN11-CN15-CN19-CN22,0)</f>
        <v>0</v>
      </c>
      <c r="CO25" s="5" t="n">
        <f aca="false">MAX(CO11-CO15-CO19-CO22,0)</f>
        <v>0</v>
      </c>
      <c r="CP25" s="5" t="n">
        <f aca="false">MAX(CP11-CP15-CP19-CP22,0)</f>
        <v>0</v>
      </c>
      <c r="CQ25" s="5" t="n">
        <f aca="false">MAX(CQ11-CQ15-CQ19-CQ22,0)</f>
        <v>0</v>
      </c>
      <c r="CR25" s="5" t="n">
        <f aca="false">MAX(CR11-CR15-CR19-CR22,0)</f>
        <v>0</v>
      </c>
      <c r="CS25" s="5" t="n">
        <f aca="false">MAX(CS11-CS15-CS19-CS22,0)</f>
        <v>0</v>
      </c>
      <c r="CT25" s="5" t="n">
        <f aca="false">MAX(CT11-CT15-CT19-CT22,0)</f>
        <v>0</v>
      </c>
    </row>
    <row r="26" customFormat="false" ht="15" hidden="false" customHeight="false" outlineLevel="0" collapsed="false">
      <c r="B26" s="26" t="s">
        <v>215</v>
      </c>
      <c r="C26" s="5" t="n">
        <f aca="false">C25*Inputs!$B$77</f>
        <v>0</v>
      </c>
      <c r="D26" s="5" t="n">
        <f aca="false">D25*Inputs!$B$77</f>
        <v>0</v>
      </c>
      <c r="E26" s="5" t="n">
        <f aca="false">E25*Inputs!$B$77</f>
        <v>0</v>
      </c>
      <c r="F26" s="5" t="n">
        <f aca="false">F25*Inputs!$B$77</f>
        <v>0</v>
      </c>
      <c r="G26" s="5" t="n">
        <f aca="false">G25*Inputs!$B$77</f>
        <v>0</v>
      </c>
      <c r="H26" s="5" t="n">
        <f aca="false">H25*Inputs!$B$77</f>
        <v>0</v>
      </c>
      <c r="I26" s="5" t="n">
        <f aca="false">I25*Inputs!$B$77</f>
        <v>0</v>
      </c>
      <c r="J26" s="5" t="n">
        <f aca="false">J25*Inputs!$B$77</f>
        <v>0</v>
      </c>
      <c r="K26" s="5" t="n">
        <f aca="false">K25*Inputs!$B$77</f>
        <v>0</v>
      </c>
      <c r="L26" s="5" t="n">
        <f aca="false">L25*Inputs!$B$77</f>
        <v>0</v>
      </c>
      <c r="M26" s="5" t="n">
        <f aca="false">M25*Inputs!$B$77</f>
        <v>0</v>
      </c>
      <c r="N26" s="5" t="n">
        <f aca="false">N25*Inputs!$B$77</f>
        <v>0</v>
      </c>
      <c r="O26" s="5" t="n">
        <f aca="false">O25*Inputs!$B$77</f>
        <v>0</v>
      </c>
      <c r="P26" s="5" t="n">
        <f aca="false">P25*Inputs!$B$77</f>
        <v>0</v>
      </c>
      <c r="Q26" s="5" t="n">
        <f aca="false">Q25*Inputs!$B$77</f>
        <v>0</v>
      </c>
      <c r="R26" s="5" t="n">
        <f aca="false">R25*Inputs!$B$77</f>
        <v>0</v>
      </c>
      <c r="S26" s="5" t="n">
        <f aca="false">S25*Inputs!$B$77</f>
        <v>0</v>
      </c>
      <c r="T26" s="5" t="n">
        <f aca="false">T25*Inputs!$B$77</f>
        <v>0</v>
      </c>
      <c r="U26" s="5" t="n">
        <f aca="false">U25*Inputs!$B$77</f>
        <v>0</v>
      </c>
      <c r="V26" s="5" t="n">
        <f aca="false">V25*Inputs!$B$77</f>
        <v>0</v>
      </c>
      <c r="W26" s="5" t="n">
        <f aca="false">W25*Inputs!$B$77</f>
        <v>0</v>
      </c>
      <c r="X26" s="5" t="n">
        <f aca="false">X25*Inputs!$B$77</f>
        <v>0</v>
      </c>
      <c r="Y26" s="5" t="n">
        <f aca="false">Y25*Inputs!$B$77</f>
        <v>0</v>
      </c>
      <c r="Z26" s="5" t="n">
        <f aca="false">Z25*Inputs!$B$77</f>
        <v>0</v>
      </c>
      <c r="AA26" s="5" t="n">
        <f aca="false">AA25*Inputs!$B$77</f>
        <v>0</v>
      </c>
      <c r="AB26" s="5" t="n">
        <f aca="false">AB25*Inputs!$B$77</f>
        <v>0</v>
      </c>
      <c r="AC26" s="5" t="n">
        <f aca="false">AC25*Inputs!$B$77</f>
        <v>0</v>
      </c>
      <c r="AD26" s="5" t="n">
        <f aca="false">AD25*Inputs!$B$77</f>
        <v>0</v>
      </c>
      <c r="AE26" s="5" t="n">
        <f aca="false">AE25*Inputs!$B$77</f>
        <v>0</v>
      </c>
      <c r="AF26" s="5" t="n">
        <f aca="false">AF25*Inputs!$B$77</f>
        <v>0</v>
      </c>
      <c r="AG26" s="5" t="n">
        <f aca="false">AG25*Inputs!$B$77</f>
        <v>0</v>
      </c>
      <c r="AH26" s="5" t="n">
        <f aca="false">AH25*Inputs!$B$77</f>
        <v>0</v>
      </c>
      <c r="AI26" s="5" t="n">
        <f aca="false">AI25*Inputs!$B$77</f>
        <v>0</v>
      </c>
      <c r="AJ26" s="5" t="n">
        <f aca="false">AJ25*Inputs!$B$77</f>
        <v>0</v>
      </c>
      <c r="AK26" s="5" t="n">
        <f aca="false">AK25*Inputs!$B$77</f>
        <v>0</v>
      </c>
      <c r="AL26" s="5" t="n">
        <f aca="false">AL25*Inputs!$B$77</f>
        <v>0</v>
      </c>
      <c r="AM26" s="5" t="n">
        <f aca="false">AM25*Inputs!$B$77</f>
        <v>0</v>
      </c>
      <c r="AN26" s="5" t="n">
        <f aca="false">AN25*Inputs!$B$77</f>
        <v>0</v>
      </c>
      <c r="AO26" s="5" t="n">
        <f aca="false">AO25*Inputs!$B$77</f>
        <v>0</v>
      </c>
      <c r="AP26" s="5" t="n">
        <f aca="false">AP25*Inputs!$B$77</f>
        <v>0</v>
      </c>
      <c r="AQ26" s="5" t="n">
        <f aca="false">AQ25*Inputs!$B$77</f>
        <v>0</v>
      </c>
      <c r="AR26" s="5" t="n">
        <f aca="false">AR25*Inputs!$B$77</f>
        <v>0</v>
      </c>
      <c r="AS26" s="5" t="n">
        <f aca="false">AS25*Inputs!$B$77</f>
        <v>0</v>
      </c>
      <c r="AT26" s="5" t="n">
        <f aca="false">AT25*Inputs!$B$77</f>
        <v>0</v>
      </c>
      <c r="AU26" s="5" t="n">
        <f aca="false">AU25*Inputs!$B$77</f>
        <v>0</v>
      </c>
      <c r="AV26" s="5" t="n">
        <f aca="false">AV25*Inputs!$B$77</f>
        <v>0</v>
      </c>
      <c r="AW26" s="5" t="n">
        <f aca="false">AW25*Inputs!$B$77</f>
        <v>0</v>
      </c>
      <c r="AX26" s="5" t="n">
        <f aca="false">AX25*Inputs!$B$77</f>
        <v>0</v>
      </c>
      <c r="AY26" s="5" t="n">
        <f aca="false">AY25*Inputs!$B$77</f>
        <v>0</v>
      </c>
      <c r="AZ26" s="5" t="n">
        <f aca="false">AZ25*Inputs!$B$77</f>
        <v>0</v>
      </c>
      <c r="BA26" s="5" t="n">
        <f aca="false">BA25*Inputs!$B$77</f>
        <v>0</v>
      </c>
      <c r="BB26" s="5" t="n">
        <f aca="false">BB25*Inputs!$B$77</f>
        <v>0</v>
      </c>
      <c r="BC26" s="5" t="n">
        <f aca="false">BC25*Inputs!$B$77</f>
        <v>0</v>
      </c>
      <c r="BD26" s="5" t="n">
        <f aca="false">BD25*Inputs!$B$77</f>
        <v>0</v>
      </c>
      <c r="BE26" s="5" t="n">
        <f aca="false">BE25*Inputs!$B$77</f>
        <v>0</v>
      </c>
      <c r="BF26" s="5" t="n">
        <f aca="false">BF25*Inputs!$B$77</f>
        <v>0</v>
      </c>
      <c r="BG26" s="5" t="n">
        <f aca="false">BG25*Inputs!$B$77</f>
        <v>0</v>
      </c>
      <c r="BH26" s="5" t="n">
        <f aca="false">BH25*Inputs!$B$77</f>
        <v>0</v>
      </c>
      <c r="BI26" s="5" t="n">
        <f aca="false">BI25*Inputs!$B$77</f>
        <v>0</v>
      </c>
      <c r="BJ26" s="5" t="n">
        <f aca="false">BJ25*Inputs!$B$77</f>
        <v>1326936.36660399</v>
      </c>
      <c r="BK26" s="5" t="n">
        <f aca="false">BK25*Inputs!$B$77</f>
        <v>0</v>
      </c>
      <c r="BL26" s="5" t="n">
        <f aca="false">BL25*Inputs!$B$77</f>
        <v>0</v>
      </c>
      <c r="BM26" s="5" t="n">
        <f aca="false">BM25*Inputs!$B$77</f>
        <v>0</v>
      </c>
      <c r="BN26" s="5" t="n">
        <f aca="false">BN25*Inputs!$B$77</f>
        <v>0</v>
      </c>
      <c r="BO26" s="5" t="n">
        <f aca="false">BO25*Inputs!$B$77</f>
        <v>0</v>
      </c>
      <c r="BP26" s="5" t="n">
        <f aca="false">BP25*Inputs!$B$77</f>
        <v>0</v>
      </c>
      <c r="BQ26" s="5" t="n">
        <f aca="false">BQ25*Inputs!$B$77</f>
        <v>0</v>
      </c>
      <c r="BR26" s="5" t="n">
        <f aca="false">BR25*Inputs!$B$77</f>
        <v>0</v>
      </c>
      <c r="BS26" s="5" t="n">
        <f aca="false">BS25*Inputs!$B$77</f>
        <v>0</v>
      </c>
      <c r="BT26" s="5" t="n">
        <f aca="false">BT25*Inputs!$B$77</f>
        <v>0</v>
      </c>
      <c r="BU26" s="5" t="n">
        <f aca="false">BU25*Inputs!$B$77</f>
        <v>0</v>
      </c>
      <c r="BV26" s="5" t="n">
        <f aca="false">BV25*Inputs!$B$77</f>
        <v>0</v>
      </c>
      <c r="BW26" s="5" t="n">
        <f aca="false">BW25*Inputs!$B$77</f>
        <v>0</v>
      </c>
      <c r="BX26" s="5" t="n">
        <f aca="false">BX25*Inputs!$B$77</f>
        <v>0</v>
      </c>
      <c r="BY26" s="5" t="n">
        <f aca="false">BY25*Inputs!$B$77</f>
        <v>0</v>
      </c>
      <c r="BZ26" s="5" t="n">
        <f aca="false">BZ25*Inputs!$B$77</f>
        <v>0</v>
      </c>
      <c r="CA26" s="5" t="n">
        <f aca="false">CA25*Inputs!$B$77</f>
        <v>0</v>
      </c>
      <c r="CB26" s="5" t="n">
        <f aca="false">CB25*Inputs!$B$77</f>
        <v>0</v>
      </c>
      <c r="CC26" s="5" t="n">
        <f aca="false">CC25*Inputs!$B$77</f>
        <v>0</v>
      </c>
      <c r="CD26" s="5" t="n">
        <f aca="false">CD25*Inputs!$B$77</f>
        <v>0</v>
      </c>
      <c r="CE26" s="5" t="n">
        <f aca="false">CE25*Inputs!$B$77</f>
        <v>0</v>
      </c>
      <c r="CF26" s="5" t="n">
        <f aca="false">CF25*Inputs!$B$77</f>
        <v>0</v>
      </c>
      <c r="CG26" s="5" t="n">
        <f aca="false">CG25*Inputs!$B$77</f>
        <v>0</v>
      </c>
      <c r="CH26" s="5" t="n">
        <f aca="false">CH25*Inputs!$B$77</f>
        <v>0</v>
      </c>
      <c r="CI26" s="5" t="n">
        <f aca="false">CI25*Inputs!$B$77</f>
        <v>0</v>
      </c>
      <c r="CJ26" s="5" t="n">
        <f aca="false">CJ25*Inputs!$B$77</f>
        <v>0</v>
      </c>
      <c r="CK26" s="5" t="n">
        <f aca="false">CK25*Inputs!$B$77</f>
        <v>0</v>
      </c>
      <c r="CL26" s="5" t="n">
        <f aca="false">CL25*Inputs!$B$77</f>
        <v>0</v>
      </c>
      <c r="CM26" s="5" t="n">
        <f aca="false">CM25*Inputs!$B$77</f>
        <v>0</v>
      </c>
      <c r="CN26" s="5" t="n">
        <f aca="false">CN25*Inputs!$B$77</f>
        <v>0</v>
      </c>
      <c r="CO26" s="5" t="n">
        <f aca="false">CO25*Inputs!$B$77</f>
        <v>0</v>
      </c>
      <c r="CP26" s="5" t="n">
        <f aca="false">CP25*Inputs!$B$77</f>
        <v>0</v>
      </c>
      <c r="CQ26" s="5" t="n">
        <f aca="false">CQ25*Inputs!$B$77</f>
        <v>0</v>
      </c>
      <c r="CR26" s="5" t="n">
        <f aca="false">CR25*Inputs!$B$77</f>
        <v>0</v>
      </c>
      <c r="CS26" s="5" t="n">
        <f aca="false">CS25*Inputs!$B$77</f>
        <v>0</v>
      </c>
      <c r="CT26" s="5" t="n">
        <f aca="false">CT25*Inputs!$B$77</f>
        <v>0</v>
      </c>
    </row>
    <row r="27" customFormat="false" ht="15" hidden="false" customHeight="false" outlineLevel="0" collapsed="false">
      <c r="B27" s="26" t="s">
        <v>216</v>
      </c>
      <c r="C27" s="5" t="n">
        <f aca="false">C25*(1-Inputs!$B$77)</f>
        <v>0</v>
      </c>
      <c r="D27" s="5" t="n">
        <f aca="false">D25*(1-Inputs!$B$77)</f>
        <v>0</v>
      </c>
      <c r="E27" s="5" t="n">
        <f aca="false">E25*(1-Inputs!$B$77)</f>
        <v>0</v>
      </c>
      <c r="F27" s="5" t="n">
        <f aca="false">F25*(1-Inputs!$B$77)</f>
        <v>0</v>
      </c>
      <c r="G27" s="5" t="n">
        <f aca="false">G25*(1-Inputs!$B$77)</f>
        <v>0</v>
      </c>
      <c r="H27" s="5" t="n">
        <f aca="false">H25*(1-Inputs!$B$77)</f>
        <v>0</v>
      </c>
      <c r="I27" s="5" t="n">
        <f aca="false">I25*(1-Inputs!$B$77)</f>
        <v>0</v>
      </c>
      <c r="J27" s="5" t="n">
        <f aca="false">J25*(1-Inputs!$B$77)</f>
        <v>0</v>
      </c>
      <c r="K27" s="5" t="n">
        <f aca="false">K25*(1-Inputs!$B$77)</f>
        <v>0</v>
      </c>
      <c r="L27" s="5" t="n">
        <f aca="false">L25*(1-Inputs!$B$77)</f>
        <v>0</v>
      </c>
      <c r="M27" s="5" t="n">
        <f aca="false">M25*(1-Inputs!$B$77)</f>
        <v>0</v>
      </c>
      <c r="N27" s="5" t="n">
        <f aca="false">N25*(1-Inputs!$B$77)</f>
        <v>0</v>
      </c>
      <c r="O27" s="5" t="n">
        <f aca="false">O25*(1-Inputs!$B$77)</f>
        <v>0</v>
      </c>
      <c r="P27" s="5" t="n">
        <f aca="false">P25*(1-Inputs!$B$77)</f>
        <v>0</v>
      </c>
      <c r="Q27" s="5" t="n">
        <f aca="false">Q25*(1-Inputs!$B$77)</f>
        <v>0</v>
      </c>
      <c r="R27" s="5" t="n">
        <f aca="false">R25*(1-Inputs!$B$77)</f>
        <v>0</v>
      </c>
      <c r="S27" s="5" t="n">
        <f aca="false">S25*(1-Inputs!$B$77)</f>
        <v>0</v>
      </c>
      <c r="T27" s="5" t="n">
        <f aca="false">T25*(1-Inputs!$B$77)</f>
        <v>0</v>
      </c>
      <c r="U27" s="5" t="n">
        <f aca="false">U25*(1-Inputs!$B$77)</f>
        <v>0</v>
      </c>
      <c r="V27" s="5" t="n">
        <f aca="false">V25*(1-Inputs!$B$77)</f>
        <v>0</v>
      </c>
      <c r="W27" s="5" t="n">
        <f aca="false">W25*(1-Inputs!$B$77)</f>
        <v>0</v>
      </c>
      <c r="X27" s="5" t="n">
        <f aca="false">X25*(1-Inputs!$B$77)</f>
        <v>0</v>
      </c>
      <c r="Y27" s="5" t="n">
        <f aca="false">Y25*(1-Inputs!$B$77)</f>
        <v>0</v>
      </c>
      <c r="Z27" s="5" t="n">
        <f aca="false">Z25*(1-Inputs!$B$77)</f>
        <v>0</v>
      </c>
      <c r="AA27" s="5" t="n">
        <f aca="false">AA25*(1-Inputs!$B$77)</f>
        <v>0</v>
      </c>
      <c r="AB27" s="5" t="n">
        <f aca="false">AB25*(1-Inputs!$B$77)</f>
        <v>0</v>
      </c>
      <c r="AC27" s="5" t="n">
        <f aca="false">AC25*(1-Inputs!$B$77)</f>
        <v>0</v>
      </c>
      <c r="AD27" s="5" t="n">
        <f aca="false">AD25*(1-Inputs!$B$77)</f>
        <v>0</v>
      </c>
      <c r="AE27" s="5" t="n">
        <f aca="false">AE25*(1-Inputs!$B$77)</f>
        <v>0</v>
      </c>
      <c r="AF27" s="5" t="n">
        <f aca="false">AF25*(1-Inputs!$B$77)</f>
        <v>0</v>
      </c>
      <c r="AG27" s="5" t="n">
        <f aca="false">AG25*(1-Inputs!$B$77)</f>
        <v>0</v>
      </c>
      <c r="AH27" s="5" t="n">
        <f aca="false">AH25*(1-Inputs!$B$77)</f>
        <v>0</v>
      </c>
      <c r="AI27" s="5" t="n">
        <f aca="false">AI25*(1-Inputs!$B$77)</f>
        <v>0</v>
      </c>
      <c r="AJ27" s="5" t="n">
        <f aca="false">AJ25*(1-Inputs!$B$77)</f>
        <v>0</v>
      </c>
      <c r="AK27" s="5" t="n">
        <f aca="false">AK25*(1-Inputs!$B$77)</f>
        <v>0</v>
      </c>
      <c r="AL27" s="5" t="n">
        <f aca="false">AL25*(1-Inputs!$B$77)</f>
        <v>0</v>
      </c>
      <c r="AM27" s="5" t="n">
        <f aca="false">AM25*(1-Inputs!$B$77)</f>
        <v>0</v>
      </c>
      <c r="AN27" s="5" t="n">
        <f aca="false">AN25*(1-Inputs!$B$77)</f>
        <v>0</v>
      </c>
      <c r="AO27" s="5" t="n">
        <f aca="false">AO25*(1-Inputs!$B$77)</f>
        <v>0</v>
      </c>
      <c r="AP27" s="5" t="n">
        <f aca="false">AP25*(1-Inputs!$B$77)</f>
        <v>0</v>
      </c>
      <c r="AQ27" s="5" t="n">
        <f aca="false">AQ25*(1-Inputs!$B$77)</f>
        <v>0</v>
      </c>
      <c r="AR27" s="5" t="n">
        <f aca="false">AR25*(1-Inputs!$B$77)</f>
        <v>0</v>
      </c>
      <c r="AS27" s="5" t="n">
        <f aca="false">AS25*(1-Inputs!$B$77)</f>
        <v>0</v>
      </c>
      <c r="AT27" s="5" t="n">
        <f aca="false">AT25*(1-Inputs!$B$77)</f>
        <v>0</v>
      </c>
      <c r="AU27" s="5" t="n">
        <f aca="false">AU25*(1-Inputs!$B$77)</f>
        <v>0</v>
      </c>
      <c r="AV27" s="5" t="n">
        <f aca="false">AV25*(1-Inputs!$B$77)</f>
        <v>0</v>
      </c>
      <c r="AW27" s="5" t="n">
        <f aca="false">AW25*(1-Inputs!$B$77)</f>
        <v>0</v>
      </c>
      <c r="AX27" s="5" t="n">
        <f aca="false">AX25*(1-Inputs!$B$77)</f>
        <v>0</v>
      </c>
      <c r="AY27" s="5" t="n">
        <f aca="false">AY25*(1-Inputs!$B$77)</f>
        <v>0</v>
      </c>
      <c r="AZ27" s="5" t="n">
        <f aca="false">AZ25*(1-Inputs!$B$77)</f>
        <v>0</v>
      </c>
      <c r="BA27" s="5" t="n">
        <f aca="false">BA25*(1-Inputs!$B$77)</f>
        <v>0</v>
      </c>
      <c r="BB27" s="5" t="n">
        <f aca="false">BB25*(1-Inputs!$B$77)</f>
        <v>0</v>
      </c>
      <c r="BC27" s="5" t="n">
        <f aca="false">BC25*(1-Inputs!$B$77)</f>
        <v>0</v>
      </c>
      <c r="BD27" s="5" t="n">
        <f aca="false">BD25*(1-Inputs!$B$77)</f>
        <v>0</v>
      </c>
      <c r="BE27" s="5" t="n">
        <f aca="false">BE25*(1-Inputs!$B$77)</f>
        <v>0</v>
      </c>
      <c r="BF27" s="5" t="n">
        <f aca="false">BF25*(1-Inputs!$B$77)</f>
        <v>0</v>
      </c>
      <c r="BG27" s="5" t="n">
        <f aca="false">BG25*(1-Inputs!$B$77)</f>
        <v>0</v>
      </c>
      <c r="BH27" s="5" t="n">
        <f aca="false">BH25*(1-Inputs!$B$77)</f>
        <v>0</v>
      </c>
      <c r="BI27" s="5" t="n">
        <f aca="false">BI25*(1-Inputs!$B$77)</f>
        <v>0</v>
      </c>
      <c r="BJ27" s="5" t="n">
        <f aca="false">BJ25*(1-Inputs!$B$77)</f>
        <v>568687.014258851</v>
      </c>
      <c r="BK27" s="5" t="n">
        <f aca="false">BK25*(1-Inputs!$B$77)</f>
        <v>0</v>
      </c>
      <c r="BL27" s="5" t="n">
        <f aca="false">BL25*(1-Inputs!$B$77)</f>
        <v>0</v>
      </c>
      <c r="BM27" s="5" t="n">
        <f aca="false">BM25*(1-Inputs!$B$77)</f>
        <v>0</v>
      </c>
      <c r="BN27" s="5" t="n">
        <f aca="false">BN25*(1-Inputs!$B$77)</f>
        <v>0</v>
      </c>
      <c r="BO27" s="5" t="n">
        <f aca="false">BO25*(1-Inputs!$B$77)</f>
        <v>0</v>
      </c>
      <c r="BP27" s="5" t="n">
        <f aca="false">BP25*(1-Inputs!$B$77)</f>
        <v>0</v>
      </c>
      <c r="BQ27" s="5" t="n">
        <f aca="false">BQ25*(1-Inputs!$B$77)</f>
        <v>0</v>
      </c>
      <c r="BR27" s="5" t="n">
        <f aca="false">BR25*(1-Inputs!$B$77)</f>
        <v>0</v>
      </c>
      <c r="BS27" s="5" t="n">
        <f aca="false">BS25*(1-Inputs!$B$77)</f>
        <v>0</v>
      </c>
      <c r="BT27" s="5" t="n">
        <f aca="false">BT25*(1-Inputs!$B$77)</f>
        <v>0</v>
      </c>
      <c r="BU27" s="5" t="n">
        <f aca="false">BU25*(1-Inputs!$B$77)</f>
        <v>0</v>
      </c>
      <c r="BV27" s="5" t="n">
        <f aca="false">BV25*(1-Inputs!$B$77)</f>
        <v>0</v>
      </c>
      <c r="BW27" s="5" t="n">
        <f aca="false">BW25*(1-Inputs!$B$77)</f>
        <v>0</v>
      </c>
      <c r="BX27" s="5" t="n">
        <f aca="false">BX25*(1-Inputs!$B$77)</f>
        <v>0</v>
      </c>
      <c r="BY27" s="5" t="n">
        <f aca="false">BY25*(1-Inputs!$B$77)</f>
        <v>0</v>
      </c>
      <c r="BZ27" s="5" t="n">
        <f aca="false">BZ25*(1-Inputs!$B$77)</f>
        <v>0</v>
      </c>
      <c r="CA27" s="5" t="n">
        <f aca="false">CA25*(1-Inputs!$B$77)</f>
        <v>0</v>
      </c>
      <c r="CB27" s="5" t="n">
        <f aca="false">CB25*(1-Inputs!$B$77)</f>
        <v>0</v>
      </c>
      <c r="CC27" s="5" t="n">
        <f aca="false">CC25*(1-Inputs!$B$77)</f>
        <v>0</v>
      </c>
      <c r="CD27" s="5" t="n">
        <f aca="false">CD25*(1-Inputs!$B$77)</f>
        <v>0</v>
      </c>
      <c r="CE27" s="5" t="n">
        <f aca="false">CE25*(1-Inputs!$B$77)</f>
        <v>0</v>
      </c>
      <c r="CF27" s="5" t="n">
        <f aca="false">CF25*(1-Inputs!$B$77)</f>
        <v>0</v>
      </c>
      <c r="CG27" s="5" t="n">
        <f aca="false">CG25*(1-Inputs!$B$77)</f>
        <v>0</v>
      </c>
      <c r="CH27" s="5" t="n">
        <f aca="false">CH25*(1-Inputs!$B$77)</f>
        <v>0</v>
      </c>
      <c r="CI27" s="5" t="n">
        <f aca="false">CI25*(1-Inputs!$B$77)</f>
        <v>0</v>
      </c>
      <c r="CJ27" s="5" t="n">
        <f aca="false">CJ25*(1-Inputs!$B$77)</f>
        <v>0</v>
      </c>
      <c r="CK27" s="5" t="n">
        <f aca="false">CK25*(1-Inputs!$B$77)</f>
        <v>0</v>
      </c>
      <c r="CL27" s="5" t="n">
        <f aca="false">CL25*(1-Inputs!$B$77)</f>
        <v>0</v>
      </c>
      <c r="CM27" s="5" t="n">
        <f aca="false">CM25*(1-Inputs!$B$77)</f>
        <v>0</v>
      </c>
      <c r="CN27" s="5" t="n">
        <f aca="false">CN25*(1-Inputs!$B$77)</f>
        <v>0</v>
      </c>
      <c r="CO27" s="5" t="n">
        <f aca="false">CO25*(1-Inputs!$B$77)</f>
        <v>0</v>
      </c>
      <c r="CP27" s="5" t="n">
        <f aca="false">CP25*(1-Inputs!$B$77)</f>
        <v>0</v>
      </c>
      <c r="CQ27" s="5" t="n">
        <f aca="false">CQ25*(1-Inputs!$B$77)</f>
        <v>0</v>
      </c>
      <c r="CR27" s="5" t="n">
        <f aca="false">CR25*(1-Inputs!$B$77)</f>
        <v>0</v>
      </c>
      <c r="CS27" s="5" t="n">
        <f aca="false">CS25*(1-Inputs!$B$77)</f>
        <v>0</v>
      </c>
      <c r="CT27" s="5" t="n">
        <f aca="false">CT25*(1-Inputs!$B$77)</f>
        <v>0</v>
      </c>
    </row>
    <row r="29" customFormat="false" ht="15" hidden="false" customHeight="false" outlineLevel="0" collapsed="false">
      <c r="B29" s="2" t="s">
        <v>217</v>
      </c>
      <c r="C29" s="5" t="n">
        <f aca="false">-C9+C15+C19+C26</f>
        <v>-7234888.17370002</v>
      </c>
      <c r="D29" s="5" t="n">
        <f aca="false">-D9+D15+D19+D26</f>
        <v>-988505.982457879</v>
      </c>
      <c r="E29" s="5" t="n">
        <f aca="false">-E9+E15+E19+E26</f>
        <v>-1255209.31968563</v>
      </c>
      <c r="F29" s="5" t="n">
        <f aca="false">-F9+F15+F19+F26</f>
        <v>-1558849.0178664</v>
      </c>
      <c r="G29" s="5" t="n">
        <f aca="false">-G9+G15+G19+G26</f>
        <v>-1891085.47650877</v>
      </c>
      <c r="H29" s="5" t="n">
        <f aca="false">-H9+H15+H19+H26</f>
        <v>-1246458.09986488</v>
      </c>
      <c r="I29" s="5" t="n">
        <f aca="false">-I9+I15+I19+I26</f>
        <v>0</v>
      </c>
      <c r="J29" s="5" t="n">
        <f aca="false">-J9+J15+J19+J26</f>
        <v>0</v>
      </c>
      <c r="K29" s="5" t="n">
        <f aca="false">-K9+K15+K19+K26</f>
        <v>0</v>
      </c>
      <c r="L29" s="5" t="n">
        <f aca="false">-L9+L15+L19+L26</f>
        <v>0</v>
      </c>
      <c r="M29" s="5" t="n">
        <f aca="false">-M9+M15+M19+M26</f>
        <v>0</v>
      </c>
      <c r="N29" s="5" t="n">
        <f aca="false">-N9+N15+N19+N26</f>
        <v>0</v>
      </c>
      <c r="O29" s="5" t="n">
        <f aca="false">-O9+O15+O19+O26</f>
        <v>0</v>
      </c>
      <c r="P29" s="5" t="n">
        <f aca="false">-P9+P15+P19+P26</f>
        <v>0</v>
      </c>
      <c r="Q29" s="5" t="n">
        <f aca="false">-Q9+Q15+Q19+Q26</f>
        <v>0</v>
      </c>
      <c r="R29" s="5" t="n">
        <f aca="false">-R9+R15+R19+R26</f>
        <v>0</v>
      </c>
      <c r="S29" s="5" t="n">
        <f aca="false">-S9+S15+S19+S26</f>
        <v>23591.0213100409</v>
      </c>
      <c r="T29" s="5" t="n">
        <f aca="false">-T9+T15+T19+T26</f>
        <v>61420.3516375511</v>
      </c>
      <c r="U29" s="5" t="n">
        <f aca="false">-U9+U15+U19+U26</f>
        <v>99249.6819650613</v>
      </c>
      <c r="V29" s="5" t="n">
        <f aca="false">-V9+V15+V19+V26</f>
        <v>137079.012292571</v>
      </c>
      <c r="W29" s="5" t="n">
        <f aca="false">-W9+W15+W19+W26</f>
        <v>174908.342620082</v>
      </c>
      <c r="X29" s="5" t="n">
        <f aca="false">-X9+X15+X19+X26</f>
        <v>181071.006280925</v>
      </c>
      <c r="Y29" s="5" t="n">
        <f aca="false">-Y9+Y15+Y19+Y26</f>
        <v>218900.336608435</v>
      </c>
      <c r="Z29" s="5" t="n">
        <f aca="false">-Z9+Z15+Z19+Z26</f>
        <v>256729.666935946</v>
      </c>
      <c r="AA29" s="5" t="n">
        <f aca="false">-AA9+AA15+AA19+AA26</f>
        <v>299558.906518249</v>
      </c>
      <c r="AB29" s="5" t="n">
        <f aca="false">-AB9+AB15+AB19+AB26</f>
        <v>338136.96463088</v>
      </c>
      <c r="AC29" s="5" t="n">
        <f aca="false">-AC9+AC15+AC19+AC26</f>
        <v>338908.525793133</v>
      </c>
      <c r="AD29" s="5" t="n">
        <f aca="false">-AD9+AD15+AD19+AD26</f>
        <v>332604.775793133</v>
      </c>
      <c r="AE29" s="5" t="n">
        <f aca="false">-AE9+AE15+AE19+AE26</f>
        <v>332604.775793133</v>
      </c>
      <c r="AF29" s="5" t="n">
        <f aca="false">-AF9+AF15+AF19+AF26</f>
        <v>332604.775793133</v>
      </c>
      <c r="AG29" s="5" t="n">
        <f aca="false">-AG9+AG15+AG19+AG26</f>
        <v>332604.775793133</v>
      </c>
      <c r="AH29" s="5" t="n">
        <f aca="false">-AH9+AH15+AH19+AH26</f>
        <v>332604.775793133</v>
      </c>
      <c r="AI29" s="5" t="n">
        <f aca="false">-AI9+AI15+AI19+AI26</f>
        <v>216779.034645989</v>
      </c>
      <c r="AJ29" s="5" t="n">
        <f aca="false">-AJ9+AJ15+AJ19+AJ26</f>
        <v>29391.0833779681</v>
      </c>
      <c r="AK29" s="5" t="n">
        <f aca="false">-AK9+AK15+AK19+AK26</f>
        <v>29397.9668788349</v>
      </c>
      <c r="AL29" s="5" t="n">
        <f aca="false">-AL9+AL15+AL19+AL26</f>
        <v>29404.8862312688</v>
      </c>
      <c r="AM29" s="5" t="n">
        <f aca="false">-AM9+AM15+AM19+AM26</f>
        <v>35110.6495323174</v>
      </c>
      <c r="AN29" s="5" t="n">
        <f aca="false">-AN9+AN15+AN19+AN26</f>
        <v>35117.6411490386</v>
      </c>
      <c r="AO29" s="5" t="n">
        <f aca="false">-AO9+AO15+AO19+AO26</f>
        <v>35124.6691804302</v>
      </c>
      <c r="AP29" s="5" t="n">
        <f aca="false">-AP9+AP15+AP19+AP26</f>
        <v>35131.7338161519</v>
      </c>
      <c r="AQ29" s="5" t="n">
        <f aca="false">-AQ9+AQ15+AQ19+AQ26</f>
        <v>35138.8352468513</v>
      </c>
      <c r="AR29" s="5" t="n">
        <f aca="false">-AR9+AR15+AR19+AR26</f>
        <v>35145.973664169</v>
      </c>
      <c r="AS29" s="5" t="n">
        <f aca="false">-AS9+AS15+AS19+AS26</f>
        <v>35153.1492607435</v>
      </c>
      <c r="AT29" s="5" t="n">
        <f aca="false">-AT9+AT15+AT19+AT26</f>
        <v>35160.3622302169</v>
      </c>
      <c r="AU29" s="5" t="n">
        <f aca="false">-AU9+AU15+AU19+AU26</f>
        <v>35167.6127672396</v>
      </c>
      <c r="AV29" s="5" t="n">
        <f aca="false">-AV9+AV15+AV19+AV26</f>
        <v>35174.9010674759</v>
      </c>
      <c r="AW29" s="5" t="n">
        <f aca="false">-AW9+AW15+AW19+AW26</f>
        <v>35182.2273276094</v>
      </c>
      <c r="AX29" s="5" t="n">
        <f aca="false">-AX9+AX15+AX19+AX26</f>
        <v>35189.5917453477</v>
      </c>
      <c r="AY29" s="5" t="n">
        <f aca="false">-AY9+AY15+AY19+AY26</f>
        <v>40985.9463978172</v>
      </c>
      <c r="AZ29" s="5" t="n">
        <f aca="false">-AZ9+AZ15+AZ19+AZ26</f>
        <v>40993.3877280129</v>
      </c>
      <c r="BA29" s="5" t="n">
        <f aca="false">-BA9+BA15+BA19+BA26</f>
        <v>41000.8678151367</v>
      </c>
      <c r="BB29" s="5" t="n">
        <f aca="false">-BB9+BB15+BB19+BB26</f>
        <v>41008.3868610475</v>
      </c>
      <c r="BC29" s="5" t="n">
        <f aca="false">-BC9+BC15+BC19+BC26</f>
        <v>41015.9450686559</v>
      </c>
      <c r="BD29" s="5" t="n">
        <f aca="false">-BD9+BD15+BD19+BD26</f>
        <v>41023.5426419288</v>
      </c>
      <c r="BE29" s="5" t="n">
        <f aca="false">-BE9+BE15+BE19+BE26</f>
        <v>41031.1797858959</v>
      </c>
      <c r="BF29" s="5" t="n">
        <f aca="false">-BF9+BF15+BF19+BF26</f>
        <v>41038.8567066545</v>
      </c>
      <c r="BG29" s="5" t="n">
        <f aca="false">-BG9+BG15+BG19+BG26</f>
        <v>41046.5736113754</v>
      </c>
      <c r="BH29" s="5" t="n">
        <f aca="false">-BH9+BH15+BH19+BH26</f>
        <v>41054.3307083083</v>
      </c>
      <c r="BI29" s="5" t="n">
        <f aca="false">-BI9+BI15+BI19+BI26</f>
        <v>41062.1282067878</v>
      </c>
      <c r="BJ29" s="5" t="n">
        <f aca="false">-BJ9+BJ15+BJ19+BJ26</f>
        <v>15850451.3213691</v>
      </c>
      <c r="BK29" s="5" t="n">
        <f aca="false">-BK9+BK15+BK19+BK26</f>
        <v>0</v>
      </c>
      <c r="BL29" s="5" t="n">
        <f aca="false">-BL9+BL15+BL19+BL26</f>
        <v>0</v>
      </c>
      <c r="BM29" s="5" t="n">
        <f aca="false">-BM9+BM15+BM19+BM26</f>
        <v>0</v>
      </c>
      <c r="BN29" s="5" t="n">
        <f aca="false">-BN9+BN15+BN19+BN26</f>
        <v>0</v>
      </c>
      <c r="BO29" s="5" t="n">
        <f aca="false">-BO9+BO15+BO19+BO26</f>
        <v>0</v>
      </c>
      <c r="BP29" s="5" t="n">
        <f aca="false">-BP9+BP15+BP19+BP26</f>
        <v>0</v>
      </c>
      <c r="BQ29" s="5" t="n">
        <f aca="false">-BQ9+BQ15+BQ19+BQ26</f>
        <v>0</v>
      </c>
      <c r="BR29" s="5" t="n">
        <f aca="false">-BR9+BR15+BR19+BR26</f>
        <v>0</v>
      </c>
      <c r="BS29" s="5" t="n">
        <f aca="false">-BS9+BS15+BS19+BS26</f>
        <v>0</v>
      </c>
      <c r="BT29" s="5" t="n">
        <f aca="false">-BT9+BT15+BT19+BT26</f>
        <v>0</v>
      </c>
      <c r="BU29" s="5" t="n">
        <f aca="false">-BU9+BU15+BU19+BU26</f>
        <v>0</v>
      </c>
      <c r="BV29" s="5" t="n">
        <f aca="false">-BV9+BV15+BV19+BV26</f>
        <v>0</v>
      </c>
      <c r="BW29" s="5" t="n">
        <f aca="false">-BW9+BW15+BW19+BW26</f>
        <v>0</v>
      </c>
      <c r="BX29" s="5" t="n">
        <f aca="false">-BX9+BX15+BX19+BX26</f>
        <v>0</v>
      </c>
      <c r="BY29" s="5" t="n">
        <f aca="false">-BY9+BY15+BY19+BY26</f>
        <v>0</v>
      </c>
      <c r="BZ29" s="5" t="n">
        <f aca="false">-BZ9+BZ15+BZ19+BZ26</f>
        <v>0</v>
      </c>
      <c r="CA29" s="5" t="n">
        <f aca="false">-CA9+CA15+CA19+CA26</f>
        <v>0</v>
      </c>
      <c r="CB29" s="5" t="n">
        <f aca="false">-CB9+CB15+CB19+CB26</f>
        <v>0</v>
      </c>
      <c r="CC29" s="5" t="n">
        <f aca="false">-CC9+CC15+CC19+CC26</f>
        <v>0</v>
      </c>
      <c r="CD29" s="5" t="n">
        <f aca="false">-CD9+CD15+CD19+CD26</f>
        <v>0</v>
      </c>
      <c r="CE29" s="5" t="n">
        <f aca="false">-CE9+CE15+CE19+CE26</f>
        <v>0</v>
      </c>
      <c r="CF29" s="5" t="n">
        <f aca="false">-CF9+CF15+CF19+CF26</f>
        <v>0</v>
      </c>
      <c r="CG29" s="5" t="n">
        <f aca="false">-CG9+CG15+CG19+CG26</f>
        <v>0</v>
      </c>
      <c r="CH29" s="5" t="n">
        <f aca="false">-CH9+CH15+CH19+CH26</f>
        <v>0</v>
      </c>
      <c r="CI29" s="5" t="n">
        <f aca="false">-CI9+CI15+CI19+CI26</f>
        <v>0</v>
      </c>
      <c r="CJ29" s="5" t="n">
        <f aca="false">-CJ9+CJ15+CJ19+CJ26</f>
        <v>0</v>
      </c>
      <c r="CK29" s="5" t="n">
        <f aca="false">-CK9+CK15+CK19+CK26</f>
        <v>0</v>
      </c>
      <c r="CL29" s="5" t="n">
        <f aca="false">-CL9+CL15+CL19+CL26</f>
        <v>0</v>
      </c>
      <c r="CM29" s="5" t="n">
        <f aca="false">-CM9+CM15+CM19+CM26</f>
        <v>0</v>
      </c>
      <c r="CN29" s="5" t="n">
        <f aca="false">-CN9+CN15+CN19+CN26</f>
        <v>0</v>
      </c>
      <c r="CO29" s="5" t="n">
        <f aca="false">-CO9+CO15+CO19+CO26</f>
        <v>0</v>
      </c>
      <c r="CP29" s="5" t="n">
        <f aca="false">-CP9+CP15+CP19+CP26</f>
        <v>0</v>
      </c>
      <c r="CQ29" s="5" t="n">
        <f aca="false">-CQ9+CQ15+CQ19+CQ26</f>
        <v>0</v>
      </c>
      <c r="CR29" s="5" t="n">
        <f aca="false">-CR9+CR15+CR19+CR26</f>
        <v>0</v>
      </c>
      <c r="CS29" s="5" t="n">
        <f aca="false">-CS9+CS15+CS19+CS26</f>
        <v>0</v>
      </c>
      <c r="CT29" s="5" t="n">
        <f aca="false">-CT9+CT15+CT19+CT26</f>
        <v>0</v>
      </c>
    </row>
    <row r="30" customFormat="false" ht="15" hidden="false" customHeight="false" outlineLevel="0" collapsed="false">
      <c r="B30" s="2" t="s">
        <v>218</v>
      </c>
      <c r="C30" s="5" t="n">
        <f aca="false">-C10+C22+C27</f>
        <v>0</v>
      </c>
      <c r="D30" s="5" t="n">
        <f aca="false">-D10+D22+D27</f>
        <v>0</v>
      </c>
      <c r="E30" s="5" t="n">
        <f aca="false">-E10+E22+E27</f>
        <v>0</v>
      </c>
      <c r="F30" s="5" t="n">
        <f aca="false">-F10+F22+F27</f>
        <v>0</v>
      </c>
      <c r="G30" s="5" t="n">
        <f aca="false">-G10+G22+G27</f>
        <v>0</v>
      </c>
      <c r="H30" s="5" t="n">
        <f aca="false">-H10+H22+H27</f>
        <v>0</v>
      </c>
      <c r="I30" s="5" t="n">
        <f aca="false">-I10+I22+I27</f>
        <v>0</v>
      </c>
      <c r="J30" s="5" t="n">
        <f aca="false">-J10+J22+J27</f>
        <v>0</v>
      </c>
      <c r="K30" s="5" t="n">
        <f aca="false">-K10+K22+K27</f>
        <v>0</v>
      </c>
      <c r="L30" s="5" t="n">
        <f aca="false">-L10+L22+L27</f>
        <v>0</v>
      </c>
      <c r="M30" s="5" t="n">
        <f aca="false">-M10+M22+M27</f>
        <v>0</v>
      </c>
      <c r="N30" s="5" t="n">
        <f aca="false">-N10+N22+N27</f>
        <v>0</v>
      </c>
      <c r="O30" s="5" t="n">
        <f aca="false">-O10+O22+O27</f>
        <v>0</v>
      </c>
      <c r="P30" s="5" t="n">
        <f aca="false">-P10+P22+P27</f>
        <v>0</v>
      </c>
      <c r="Q30" s="5" t="n">
        <f aca="false">-Q10+Q22+Q27</f>
        <v>0</v>
      </c>
      <c r="R30" s="5" t="n">
        <f aca="false">-R10+R22+R27</f>
        <v>0</v>
      </c>
      <c r="S30" s="5" t="n">
        <f aca="false">-S10+S22+S27</f>
        <v>0</v>
      </c>
      <c r="T30" s="5" t="n">
        <f aca="false">-T10+T22+T27</f>
        <v>0</v>
      </c>
      <c r="U30" s="5" t="n">
        <f aca="false">-U10+U22+U27</f>
        <v>0</v>
      </c>
      <c r="V30" s="5" t="n">
        <f aca="false">-V10+V22+V27</f>
        <v>0</v>
      </c>
      <c r="W30" s="5" t="n">
        <f aca="false">-W10+W22+W27</f>
        <v>0</v>
      </c>
      <c r="X30" s="5" t="n">
        <f aca="false">-X10+X22+X27</f>
        <v>0</v>
      </c>
      <c r="Y30" s="5" t="n">
        <f aca="false">-Y10+Y22+Y27</f>
        <v>0</v>
      </c>
      <c r="Z30" s="5" t="n">
        <f aca="false">-Z10+Z22+Z27</f>
        <v>0</v>
      </c>
      <c r="AA30" s="5" t="n">
        <f aca="false">-AA10+AA22+AA27</f>
        <v>0</v>
      </c>
      <c r="AB30" s="5" t="n">
        <f aca="false">-AB10+AB22+AB27</f>
        <v>0</v>
      </c>
      <c r="AC30" s="5" t="n">
        <f aca="false">-AC10+AC22+AC27</f>
        <v>0</v>
      </c>
      <c r="AD30" s="5" t="n">
        <f aca="false">-AD10+AD22+AD27</f>
        <v>0</v>
      </c>
      <c r="AE30" s="5" t="n">
        <f aca="false">-AE10+AE22+AE27</f>
        <v>0</v>
      </c>
      <c r="AF30" s="5" t="n">
        <f aca="false">-AF10+AF22+AF27</f>
        <v>0</v>
      </c>
      <c r="AG30" s="5" t="n">
        <f aca="false">-AG10+AG22+AG27</f>
        <v>0</v>
      </c>
      <c r="AH30" s="5" t="n">
        <f aca="false">-AH10+AH22+AH27</f>
        <v>0</v>
      </c>
      <c r="AI30" s="5" t="n">
        <f aca="false">-AI10+AI22+AI27</f>
        <v>0</v>
      </c>
      <c r="AJ30" s="5" t="n">
        <f aca="false">-AJ10+AJ22+AJ27</f>
        <v>0</v>
      </c>
      <c r="AK30" s="5" t="n">
        <f aca="false">-AK10+AK22+AK27</f>
        <v>0</v>
      </c>
      <c r="AL30" s="5" t="n">
        <f aca="false">-AL10+AL22+AL27</f>
        <v>0</v>
      </c>
      <c r="AM30" s="5" t="n">
        <f aca="false">-AM10+AM22+AM27</f>
        <v>0</v>
      </c>
      <c r="AN30" s="5" t="n">
        <f aca="false">-AN10+AN22+AN27</f>
        <v>0</v>
      </c>
      <c r="AO30" s="5" t="n">
        <f aca="false">-AO10+AO22+AO27</f>
        <v>0</v>
      </c>
      <c r="AP30" s="5" t="n">
        <f aca="false">-AP10+AP22+AP27</f>
        <v>0</v>
      </c>
      <c r="AQ30" s="5" t="n">
        <f aca="false">-AQ10+AQ22+AQ27</f>
        <v>0</v>
      </c>
      <c r="AR30" s="5" t="n">
        <f aca="false">-AR10+AR22+AR27</f>
        <v>0</v>
      </c>
      <c r="AS30" s="5" t="n">
        <f aca="false">-AS10+AS22+AS27</f>
        <v>0</v>
      </c>
      <c r="AT30" s="5" t="n">
        <f aca="false">-AT10+AT22+AT27</f>
        <v>0</v>
      </c>
      <c r="AU30" s="5" t="n">
        <f aca="false">-AU10+AU22+AU27</f>
        <v>0</v>
      </c>
      <c r="AV30" s="5" t="n">
        <f aca="false">-AV10+AV22+AV27</f>
        <v>0</v>
      </c>
      <c r="AW30" s="5" t="n">
        <f aca="false">-AW10+AW22+AW27</f>
        <v>0</v>
      </c>
      <c r="AX30" s="5" t="n">
        <f aca="false">-AX10+AX22+AX27</f>
        <v>0</v>
      </c>
      <c r="AY30" s="5" t="n">
        <f aca="false">-AY10+AY22+AY27</f>
        <v>0</v>
      </c>
      <c r="AZ30" s="5" t="n">
        <f aca="false">-AZ10+AZ22+AZ27</f>
        <v>0</v>
      </c>
      <c r="BA30" s="5" t="n">
        <f aca="false">-BA10+BA22+BA27</f>
        <v>0</v>
      </c>
      <c r="BB30" s="5" t="n">
        <f aca="false">-BB10+BB22+BB27</f>
        <v>0</v>
      </c>
      <c r="BC30" s="5" t="n">
        <f aca="false">-BC10+BC22+BC27</f>
        <v>0</v>
      </c>
      <c r="BD30" s="5" t="n">
        <f aca="false">-BD10+BD22+BD27</f>
        <v>0</v>
      </c>
      <c r="BE30" s="5" t="n">
        <f aca="false">-BE10+BE22+BE27</f>
        <v>0</v>
      </c>
      <c r="BF30" s="5" t="n">
        <f aca="false">-BF10+BF22+BF27</f>
        <v>0</v>
      </c>
      <c r="BG30" s="5" t="n">
        <f aca="false">-BG10+BG22+BG27</f>
        <v>0</v>
      </c>
      <c r="BH30" s="5" t="n">
        <f aca="false">-BH10+BH22+BH27</f>
        <v>0</v>
      </c>
      <c r="BI30" s="5" t="n">
        <f aca="false">-BI10+BI22+BI27</f>
        <v>0</v>
      </c>
      <c r="BJ30" s="5" t="n">
        <f aca="false">-BJ10+BJ22+BJ27</f>
        <v>568687.014258851</v>
      </c>
      <c r="BK30" s="5" t="n">
        <f aca="false">-BK10+BK22+BK27</f>
        <v>0</v>
      </c>
      <c r="BL30" s="5" t="n">
        <f aca="false">-BL10+BL22+BL27</f>
        <v>0</v>
      </c>
      <c r="BM30" s="5" t="n">
        <f aca="false">-BM10+BM22+BM27</f>
        <v>0</v>
      </c>
      <c r="BN30" s="5" t="n">
        <f aca="false">-BN10+BN22+BN27</f>
        <v>0</v>
      </c>
      <c r="BO30" s="5" t="n">
        <f aca="false">-BO10+BO22+BO27</f>
        <v>0</v>
      </c>
      <c r="BP30" s="5" t="n">
        <f aca="false">-BP10+BP22+BP27</f>
        <v>0</v>
      </c>
      <c r="BQ30" s="5" t="n">
        <f aca="false">-BQ10+BQ22+BQ27</f>
        <v>0</v>
      </c>
      <c r="BR30" s="5" t="n">
        <f aca="false">-BR10+BR22+BR27</f>
        <v>0</v>
      </c>
      <c r="BS30" s="5" t="n">
        <f aca="false">-BS10+BS22+BS27</f>
        <v>0</v>
      </c>
      <c r="BT30" s="5" t="n">
        <f aca="false">-BT10+BT22+BT27</f>
        <v>0</v>
      </c>
      <c r="BU30" s="5" t="n">
        <f aca="false">-BU10+BU22+BU27</f>
        <v>0</v>
      </c>
      <c r="BV30" s="5" t="n">
        <f aca="false">-BV10+BV22+BV27</f>
        <v>0</v>
      </c>
      <c r="BW30" s="5" t="n">
        <f aca="false">-BW10+BW22+BW27</f>
        <v>0</v>
      </c>
      <c r="BX30" s="5" t="n">
        <f aca="false">-BX10+BX22+BX27</f>
        <v>0</v>
      </c>
      <c r="BY30" s="5" t="n">
        <f aca="false">-BY10+BY22+BY27</f>
        <v>0</v>
      </c>
      <c r="BZ30" s="5" t="n">
        <f aca="false">-BZ10+BZ22+BZ27</f>
        <v>0</v>
      </c>
      <c r="CA30" s="5" t="n">
        <f aca="false">-CA10+CA22+CA27</f>
        <v>0</v>
      </c>
      <c r="CB30" s="5" t="n">
        <f aca="false">-CB10+CB22+CB27</f>
        <v>0</v>
      </c>
      <c r="CC30" s="5" t="n">
        <f aca="false">-CC10+CC22+CC27</f>
        <v>0</v>
      </c>
      <c r="CD30" s="5" t="n">
        <f aca="false">-CD10+CD22+CD27</f>
        <v>0</v>
      </c>
      <c r="CE30" s="5" t="n">
        <f aca="false">-CE10+CE22+CE27</f>
        <v>0</v>
      </c>
      <c r="CF30" s="5" t="n">
        <f aca="false">-CF10+CF22+CF27</f>
        <v>0</v>
      </c>
      <c r="CG30" s="5" t="n">
        <f aca="false">-CG10+CG22+CG27</f>
        <v>0</v>
      </c>
      <c r="CH30" s="5" t="n">
        <f aca="false">-CH10+CH22+CH27</f>
        <v>0</v>
      </c>
      <c r="CI30" s="5" t="n">
        <f aca="false">-CI10+CI22+CI27</f>
        <v>0</v>
      </c>
      <c r="CJ30" s="5" t="n">
        <f aca="false">-CJ10+CJ22+CJ27</f>
        <v>0</v>
      </c>
      <c r="CK30" s="5" t="n">
        <f aca="false">-CK10+CK22+CK27</f>
        <v>0</v>
      </c>
      <c r="CL30" s="5" t="n">
        <f aca="false">-CL10+CL22+CL27</f>
        <v>0</v>
      </c>
      <c r="CM30" s="5" t="n">
        <f aca="false">-CM10+CM22+CM27</f>
        <v>0</v>
      </c>
      <c r="CN30" s="5" t="n">
        <f aca="false">-CN10+CN22+CN27</f>
        <v>0</v>
      </c>
      <c r="CO30" s="5" t="n">
        <f aca="false">-CO10+CO22+CO27</f>
        <v>0</v>
      </c>
      <c r="CP30" s="5" t="n">
        <f aca="false">-CP10+CP22+CP27</f>
        <v>0</v>
      </c>
      <c r="CQ30" s="5" t="n">
        <f aca="false">-CQ10+CQ22+CQ27</f>
        <v>0</v>
      </c>
      <c r="CR30" s="5" t="n">
        <f aca="false">-CR10+CR22+CR27</f>
        <v>0</v>
      </c>
      <c r="CS30" s="5" t="n">
        <f aca="false">-CS10+CS22+CS27</f>
        <v>0</v>
      </c>
      <c r="CT30" s="5" t="n">
        <f aca="false">-CT10+CT22+CT27</f>
        <v>0</v>
      </c>
    </row>
    <row r="32" customFormat="false" ht="15" hidden="false" customHeight="false" outlineLevel="0" collapsed="false">
      <c r="B32" s="2" t="s">
        <v>219</v>
      </c>
      <c r="C32" s="30" t="n">
        <f aca="false">IFERROR(XIRR(C29:CT29,C7:CT7,0.1),"")</f>
        <v>0.0971263544974721</v>
      </c>
    </row>
    <row r="33" customFormat="false" ht="15" hidden="false" customHeight="false" outlineLevel="0" collapsed="false">
      <c r="B33" s="2" t="s">
        <v>220</v>
      </c>
      <c r="C33" s="31" t="n">
        <f aca="false">IFERROR(SUMIF(C29:CT29,"&gt;0")/-SUMIF(C29:CT29,"&lt;0"),"")</f>
        <v>1.46885828945829</v>
      </c>
    </row>
    <row r="34" customFormat="false" ht="15" hidden="false" customHeight="false" outlineLevel="0" collapsed="false">
      <c r="B34" s="2" t="s">
        <v>221</v>
      </c>
      <c r="C34" s="5" t="n">
        <f aca="false">SUM(C29:CT29)</f>
        <v>6646064.41049733</v>
      </c>
    </row>
    <row r="35" customFormat="false" ht="15" hidden="false" customHeight="false" outlineLevel="0" collapsed="false">
      <c r="B35" s="2" t="s">
        <v>222</v>
      </c>
      <c r="C35" s="33" t="str">
        <f aca="false">IF($C$3&lt;1,"n/a (no GP cash)",IFERROR(XIRR(C30:CT30,C7:CT7,0.1),""))</f>
        <v>n/a (no GP cash)</v>
      </c>
    </row>
    <row r="36" customFormat="false" ht="15" hidden="false" customHeight="false" outlineLevel="0" collapsed="false">
      <c r="B36" s="2" t="s">
        <v>223</v>
      </c>
      <c r="C36" s="31" t="str">
        <f aca="false">IF($C$3&lt;1,"n/a (no GP cash)",IFERROR(SUMIF(C30:CT30,"&gt;0")/-SUMIF(C30:CT30,"&lt;0"),""))</f>
        <v>n/a (no GP cash)</v>
      </c>
    </row>
    <row r="37" customFormat="false" ht="15" hidden="false" customHeight="false" outlineLevel="0" collapsed="false">
      <c r="B37" s="2" t="s">
        <v>224</v>
      </c>
      <c r="C37" s="5" t="n">
        <f aca="false">SUM(C30:CT30)</f>
        <v>568687.014258851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34" t="s">
        <v>225</v>
      </c>
    </row>
    <row r="3" customFormat="false" ht="15" hidden="false" customHeight="false" outlineLevel="0" collapsed="false">
      <c r="A3" s="2" t="s">
        <v>38</v>
      </c>
      <c r="B3" s="13" t="n">
        <f aca="false">Inputs!$B$6</f>
        <v>288</v>
      </c>
    </row>
    <row r="4" customFormat="false" ht="15" hidden="false" customHeight="false" outlineLevel="0" collapsed="false">
      <c r="A4" s="2" t="s">
        <v>37</v>
      </c>
      <c r="B4" s="13" t="n">
        <f aca="false">Inputs!$B$5</f>
        <v>271710</v>
      </c>
    </row>
    <row r="5" customFormat="false" ht="15" hidden="false" customHeight="false" outlineLevel="0" collapsed="false">
      <c r="A5" s="2" t="s">
        <v>115</v>
      </c>
      <c r="B5" s="32" t="n">
        <f aca="false">Inputs!$B$86</f>
        <v>62502418.8373772</v>
      </c>
    </row>
    <row r="6" customFormat="false" ht="15" hidden="false" customHeight="false" outlineLevel="0" collapsed="false">
      <c r="A6" s="2" t="s">
        <v>226</v>
      </c>
      <c r="B6" s="32" t="n">
        <f aca="false">IFERROR(Inputs!$B$86/Inputs!$B$6,0)</f>
        <v>217022.287629782</v>
      </c>
    </row>
    <row r="7" customFormat="false" ht="15" hidden="false" customHeight="false" outlineLevel="0" collapsed="false">
      <c r="A7" s="2" t="s">
        <v>227</v>
      </c>
      <c r="B7" s="35" t="n">
        <f aca="false">IFERROR(Inputs!$B$86/Inputs!$B$5,0)</f>
        <v>230.033560919279</v>
      </c>
    </row>
    <row r="8" customFormat="false" ht="15" hidden="false" customHeight="false" outlineLevel="0" collapsed="false">
      <c r="A8" s="2" t="s">
        <v>228</v>
      </c>
      <c r="B8" s="32" t="n">
        <f aca="false">MAX('Monthly CF'!C44:CT44)</f>
        <v>48702094.1664065</v>
      </c>
    </row>
    <row r="9" customFormat="false" ht="15" hidden="false" customHeight="false" outlineLevel="0" collapsed="false">
      <c r="A9" s="2" t="s">
        <v>229</v>
      </c>
      <c r="B9" s="36" t="n">
        <f aca="false">IFERROR(MAX('Monthly CF'!C44:CT44)/Inputs!$B$86,0)</f>
        <v>0.77920335040349</v>
      </c>
    </row>
    <row r="10" customFormat="false" ht="15" hidden="false" customHeight="false" outlineLevel="0" collapsed="false">
      <c r="A10" s="2" t="s">
        <v>230</v>
      </c>
      <c r="B10" s="32" t="n">
        <f aca="false">Inputs!$B$87</f>
        <v>14174996.0700836</v>
      </c>
    </row>
    <row r="11" customFormat="false" ht="15" hidden="false" customHeight="false" outlineLevel="0" collapsed="false">
      <c r="A11" s="2" t="s">
        <v>231</v>
      </c>
      <c r="B11" s="32" t="n">
        <f aca="false">INDEX('Monthly CF'!$C$26:$CT$26,1,Inputs!$B$58)*12</f>
        <v>4132310.09663028</v>
      </c>
    </row>
    <row r="12" customFormat="false" ht="15" hidden="false" customHeight="false" outlineLevel="0" collapsed="false">
      <c r="A12" s="2" t="s">
        <v>232</v>
      </c>
      <c r="B12" s="37" t="n">
        <f aca="false">IFERROR(INDEX('Monthly CF'!$C$26:$CT$26,1,Inputs!$B$58)*12/Inputs!$B$86,0)</f>
        <v>0.0661144028262649</v>
      </c>
    </row>
    <row r="13" customFormat="false" ht="15" hidden="false" customHeight="false" outlineLevel="0" collapsed="false">
      <c r="A13" s="2" t="s">
        <v>233</v>
      </c>
      <c r="B13" s="32" t="n">
        <f aca="false">INDEX('Monthly CF'!$C$46:$CT$46,1,Inputs!$B$58)</f>
        <v>68871834.943838</v>
      </c>
    </row>
    <row r="14" customFormat="false" ht="15" hidden="false" customHeight="false" outlineLevel="0" collapsed="false">
      <c r="A14" s="2" t="s">
        <v>234</v>
      </c>
      <c r="B14" s="32" t="n">
        <f aca="false">Inputs!$B$91</f>
        <v>49878071.6777361</v>
      </c>
    </row>
    <row r="15" customFormat="false" ht="15" hidden="false" customHeight="false" outlineLevel="0" collapsed="false">
      <c r="A15" s="2" t="s">
        <v>185</v>
      </c>
      <c r="B15" s="32" t="n">
        <f aca="false">INDEX('Monthly CF'!$C$49:$CT$49,1,Inputs!$B$58)</f>
        <v>-115825.741147145</v>
      </c>
    </row>
    <row r="16" customFormat="false" ht="15" hidden="false" customHeight="false" outlineLevel="0" collapsed="false">
      <c r="A16" s="2" t="s">
        <v>235</v>
      </c>
      <c r="B16" s="38" t="n">
        <f aca="false">IFERROR(INDEX('Monthly CF'!$C$26:$CT$26,1,Inputs!$B$58)*12/((Inputs!$B$92+Inputs!$B$91*Inputs!$B$64/12)*12),0)</f>
        <v>1.13569796923184</v>
      </c>
    </row>
    <row r="17" customFormat="false" ht="15" hidden="false" customHeight="false" outlineLevel="0" collapsed="false">
      <c r="A17" s="2" t="s">
        <v>236</v>
      </c>
      <c r="B17" s="32" t="n">
        <f aca="false">IF(Inputs!$B$69="Sell",INDEX('Monthly CF'!$C$58:$CT$58,1,Inputs!$B$70),0)</f>
        <v>65794387.9510639</v>
      </c>
    </row>
    <row r="18" customFormat="false" ht="15" hidden="false" customHeight="false" outlineLevel="0" collapsed="false">
      <c r="A18" s="2" t="s">
        <v>237</v>
      </c>
      <c r="B18" s="39" t="n">
        <f aca="false">'Monthly CF'!C63</f>
        <v>0.103947623695495</v>
      </c>
    </row>
    <row r="19" customFormat="false" ht="15" hidden="false" customHeight="false" outlineLevel="0" collapsed="false">
      <c r="A19" s="2" t="s">
        <v>238</v>
      </c>
      <c r="B19" s="38" t="n">
        <f aca="false">'Monthly CF'!C64</f>
        <v>1.50897731393259</v>
      </c>
    </row>
    <row r="20" customFormat="false" ht="15" hidden="false" customHeight="false" outlineLevel="0" collapsed="false">
      <c r="A20" s="2" t="s">
        <v>198</v>
      </c>
      <c r="B20" s="32" t="n">
        <f aca="false">'Monthly CF'!C65</f>
        <v>7214751.42475618</v>
      </c>
    </row>
    <row r="21" customFormat="false" ht="15" hidden="false" customHeight="false" outlineLevel="0" collapsed="false">
      <c r="A21" s="2" t="s">
        <v>219</v>
      </c>
      <c r="B21" s="36" t="n">
        <f aca="false">Waterfall!C32</f>
        <v>0.0971263544974721</v>
      </c>
    </row>
    <row r="22" customFormat="false" ht="15" hidden="false" customHeight="false" outlineLevel="0" collapsed="false">
      <c r="A22" s="2" t="s">
        <v>222</v>
      </c>
      <c r="B22" s="36" t="str">
        <f aca="false">Waterfall!C35</f>
        <v>n/a (no GP cash)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2" t="s">
        <v>239</v>
      </c>
    </row>
    <row r="3" customFormat="false" ht="15" hidden="false" customHeight="false" outlineLevel="0" collapsed="false">
      <c r="A3" s="0" t="s">
        <v>240</v>
      </c>
    </row>
    <row r="4" customFormat="false" ht="15" hidden="false" customHeight="false" outlineLevel="0" collapsed="false">
      <c r="A4" s="0" t="s">
        <v>241</v>
      </c>
    </row>
    <row r="5" customFormat="false" ht="15" hidden="false" customHeight="false" outlineLevel="0" collapsed="false">
      <c r="A5" s="0" t="s">
        <v>242</v>
      </c>
    </row>
    <row r="6" customFormat="false" ht="15" hidden="false" customHeight="false" outlineLevel="0" collapsed="false">
      <c r="A6" s="0" t="s">
        <v>243</v>
      </c>
    </row>
    <row r="7" customFormat="false" ht="15" hidden="false" customHeight="false" outlineLevel="0" collapsed="false">
      <c r="A7" s="0" t="s">
        <v>244</v>
      </c>
    </row>
    <row r="8" customFormat="false" ht="15" hidden="false" customHeight="false" outlineLevel="0" collapsed="false">
      <c r="A8" s="0" t="s">
        <v>245</v>
      </c>
    </row>
    <row r="9" customFormat="false" ht="15" hidden="false" customHeight="false" outlineLevel="0" collapsed="false">
      <c r="A9" s="0" t="s">
        <v>246</v>
      </c>
    </row>
    <row r="10" customFormat="false" ht="15" hidden="false" customHeight="false" outlineLevel="0" collapsed="false">
      <c r="A10" s="0" t="s">
        <v>247</v>
      </c>
    </row>
    <row r="11" customFormat="false" ht="15" hidden="false" customHeight="false" outlineLevel="0" collapsed="false">
      <c r="A11" s="0" t="s">
        <v>248</v>
      </c>
    </row>
    <row r="12" customFormat="false" ht="15" hidden="false" customHeight="false" outlineLevel="0" collapsed="false">
      <c r="A12" s="0" t="s">
        <v>249</v>
      </c>
    </row>
    <row r="14" customFormat="false" ht="15" hidden="false" customHeight="false" outlineLevel="0" collapsed="false">
      <c r="A14" s="0" t="s">
        <v>250</v>
      </c>
    </row>
    <row r="15" customFormat="false" ht="15" hidden="false" customHeight="false" outlineLevel="0" collapsed="false">
      <c r="A15" s="0" t="s">
        <v>251</v>
      </c>
    </row>
    <row r="16" customFormat="false" ht="15" hidden="false" customHeight="false" outlineLevel="0" collapsed="false">
      <c r="A16" s="0" t="s">
        <v>252</v>
      </c>
    </row>
    <row r="17" customFormat="false" ht="15" hidden="false" customHeight="false" outlineLevel="0" collapsed="false">
      <c r="A17" s="0" t="s">
        <v>253</v>
      </c>
    </row>
    <row r="18" customFormat="false" ht="15" hidden="false" customHeight="false" outlineLevel="0" collapsed="false">
      <c r="A18" s="0" t="s">
        <v>254</v>
      </c>
    </row>
    <row r="19" customFormat="false" ht="15" hidden="false" customHeight="false" outlineLevel="0" collapsed="false">
      <c r="A19" s="0" t="s">
        <v>255</v>
      </c>
    </row>
    <row r="20" customFormat="false" ht="15" hidden="false" customHeight="false" outlineLevel="0" collapsed="false">
      <c r="A20" s="0" t="s">
        <v>256</v>
      </c>
    </row>
    <row r="21" customFormat="false" ht="15" hidden="false" customHeight="false" outlineLevel="0" collapsed="false">
      <c r="A21" s="0" t="s">
        <v>257</v>
      </c>
    </row>
    <row r="22" customFormat="false" ht="15" hidden="false" customHeight="false" outlineLevel="0" collapsed="false">
      <c r="A22" s="0" t="s">
        <v>258</v>
      </c>
    </row>
    <row r="23" customFormat="false" ht="15" hidden="false" customHeight="false" outlineLevel="0" collapsed="false">
      <c r="A23" s="0" t="s">
        <v>259</v>
      </c>
    </row>
    <row r="24" customFormat="false" ht="15" hidden="false" customHeight="false" outlineLevel="0" collapsed="false">
      <c r="A24" s="0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2" t="s">
        <v>261</v>
      </c>
      <c r="B1" s="2" t="s">
        <v>262</v>
      </c>
    </row>
    <row r="2" customFormat="false" ht="15" hidden="false" customHeight="false" outlineLevel="0" collapsed="false">
      <c r="A2" s="0" t="s">
        <v>263</v>
      </c>
      <c r="B2" s="0" t="str">
        <f aca="false">'Construction Budget'!C35</f>
        <v>OK</v>
      </c>
    </row>
    <row r="3" customFormat="false" ht="15" hidden="false" customHeight="false" outlineLevel="0" collapsed="false">
      <c r="A3" s="0" t="s">
        <v>264</v>
      </c>
      <c r="B3" s="0" t="str">
        <f aca="false">IF(AND(MAX('Monthly CF'!C44:CT44)/Inputs!$B$86&gt;=0.65,MAX('Monthly CF'!C44:CT44)/Inputs!$B$86&lt;=0.85),"OK","CHECK")</f>
        <v>OK</v>
      </c>
    </row>
    <row r="4" customFormat="false" ht="15" hidden="false" customHeight="false" outlineLevel="0" collapsed="false">
      <c r="A4" s="0" t="s">
        <v>265</v>
      </c>
      <c r="B4" s="0" t="str">
        <f aca="false">IF(SUMPRODUCT(('Monthly CF'!C41:CT41&gt;0)*('Monthly CF'!C39:CT39))&lt;1,"OK","ERROR")</f>
        <v>OK</v>
      </c>
    </row>
    <row r="5" customFormat="false" ht="15" hidden="false" customHeight="false" outlineLevel="0" collapsed="false">
      <c r="A5" s="0" t="s">
        <v>266</v>
      </c>
      <c r="B5" s="0" t="str">
        <f aca="false">IF(Inputs!$B$58&gt;=Inputs!$B$13,"OK","CHECK")</f>
        <v>OK</v>
      </c>
    </row>
    <row r="6" customFormat="false" ht="15" hidden="false" customHeight="false" outlineLevel="0" collapsed="false">
      <c r="A6" s="0" t="s">
        <v>267</v>
      </c>
      <c r="B6" s="0" t="str">
        <f aca="false">IF(OR(Inputs!$B$69&lt;&gt;"Sell",Inputs!$B$70&gt;Inputs!$B$58),"OK","ERROR")</f>
        <v>OK</v>
      </c>
    </row>
    <row r="7" customFormat="false" ht="15" hidden="false" customHeight="false" outlineLevel="0" collapsed="false">
      <c r="A7" s="0" t="s">
        <v>268</v>
      </c>
      <c r="B7" s="0" t="str">
        <f aca="false">IF(ABS(SUMIF(Waterfall!C29:CT29,"&gt;0")+SUMIF(Waterfall!C30:CT30,"&gt;0")-SUM(Waterfall!C11:CT11))&lt;1,"OK","ERROR")</f>
        <v>OK</v>
      </c>
    </row>
    <row r="8" customFormat="false" ht="15" hidden="false" customHeight="false" outlineLevel="0" collapsed="false">
      <c r="A8" s="0" t="s">
        <v>269</v>
      </c>
      <c r="B8" s="0" t="str">
        <f aca="false">IF(ABS(SUM(Waterfall!C8:CT8)-SUM('Monthly CF'!C38:CT38))&lt;1,"OK","ERROR")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2026-07-16T05:18:30Z</dcterms:created>
  <dc:creator>openpyxl</dc:creator>
  <dc:description/>
  <dc:language>en-US</dc:language>
  <cp:lastModifiedBy/>
  <dcterms:modified xsi:type="dcterms:W3CDTF">2026-07-16T05:18:30Z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